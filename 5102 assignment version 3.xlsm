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3"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izumi/Downloads/ACTL5102/assignment/"/>
    </mc:Choice>
  </mc:AlternateContent>
  <xr:revisionPtr revIDLastSave="0" documentId="13_ncr:1_{7E0C6DE4-0DC3-F943-B547-827A64E43D02}" xr6:coauthVersionLast="47" xr6:coauthVersionMax="47" xr10:uidLastSave="{00000000-0000-0000-0000-000000000000}"/>
  <bookViews>
    <workbookView xWindow="15240" yWindow="740" windowWidth="15000" windowHeight="18900" xr2:uid="{C03929D9-489F-564B-AA41-653E55D126A4}"/>
  </bookViews>
  <sheets>
    <sheet name="Answers" sheetId="1" r:id="rId1"/>
    <sheet name="Task a" sheetId="3" r:id="rId2"/>
    <sheet name="Task b" sheetId="2" r:id="rId3"/>
    <sheet name="Task c" sheetId="4" r:id="rId4"/>
    <sheet name="Task d" sheetId="5" r:id="rId5"/>
    <sheet name="Task e" sheetId="6" r:id="rId6"/>
    <sheet name="Task e simulation procedure" sheetId="7" r:id="rId7"/>
    <sheet name="Task f " sheetId="14" r:id="rId8"/>
    <sheet name="Task g histogram and answers" sheetId="16" r:id="rId9"/>
    <sheet name="Task g data" sheetId="10" r:id="rId10"/>
    <sheet name="Task h" sheetId="19" r:id="rId11"/>
    <sheet name="Sheet1" sheetId="17" state="hidden" r:id="rId12"/>
  </sheets>
  <functionGroups builtInGroupCount="19"/>
  <definedNames>
    <definedName name="_xlnm._FilterDatabase" localSheetId="7" hidden="1">'Task f '!$K$5:$L$104</definedName>
    <definedName name="_xlnm._FilterDatabase" localSheetId="9" hidden="1">'Task g data'!$L$4:$M$103</definedName>
    <definedName name="_xlchart.v1.0" hidden="1">'Task e simulation procedure'!$P$4</definedName>
    <definedName name="_xlchart.v1.1" hidden="1">'Task e simulation procedure'!$P$5:$P$104</definedName>
    <definedName name="_xlchart.v1.2" hidden="1">'Task e simulation procedure'!$O$4</definedName>
    <definedName name="_xlchart.v1.3" hidden="1">'Task e simulation procedure'!$O$5:$O$104</definedName>
    <definedName name="Deltat" localSheetId="7">'Task f '!$B$5</definedName>
    <definedName name="Deltat">'Task g data'!$B$7</definedName>
    <definedName name="Kappa" localSheetId="7">'Task f '!$B$2</definedName>
    <definedName name="Kappa">'Task g data'!$B$4</definedName>
    <definedName name="Sigma" localSheetId="7">'Task f '!$B$4</definedName>
    <definedName name="Sigma">'Task g data'!$B$6</definedName>
    <definedName name="solver_adj" localSheetId="5" hidden="1">'Task e'!$A$26:$C$26</definedName>
    <definedName name="solver_cvg" localSheetId="5" hidden="1">0.0001</definedName>
    <definedName name="solver_drv" localSheetId="5" hidden="1">1</definedName>
    <definedName name="solver_eng" localSheetId="5" hidden="1">1</definedName>
    <definedName name="solver_itr" localSheetId="5" hidden="1">2147483647</definedName>
    <definedName name="solver_lhs1" localSheetId="5" hidden="1">'Task e'!$A$26:$C$26</definedName>
    <definedName name="solver_lhs2" localSheetId="5" hidden="1">'Task e'!$A$26:$C$26</definedName>
    <definedName name="solver_lhs3" localSheetId="5" hidden="1">'Task e'!$D$26</definedName>
    <definedName name="solver_lin" localSheetId="5" hidden="1">2</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3</definedName>
    <definedName name="solver_opt" localSheetId="5" hidden="1">'Task e'!$B$22</definedName>
    <definedName name="solver_pre" localSheetId="5" hidden="1">0.000001</definedName>
    <definedName name="solver_rbv" localSheetId="5" hidden="1">1</definedName>
    <definedName name="solver_rel1" localSheetId="5" hidden="1">1</definedName>
    <definedName name="solver_rel2" localSheetId="5" hidden="1">3</definedName>
    <definedName name="solver_rel3" localSheetId="5" hidden="1">2</definedName>
    <definedName name="solver_rhs1" localSheetId="5" hidden="1">1</definedName>
    <definedName name="solver_rhs2" localSheetId="5" hidden="1">0</definedName>
    <definedName name="solver_rhs3" localSheetId="5" hidden="1">1</definedName>
    <definedName name="solver_rlx" localSheetId="5" hidden="1">1</definedName>
    <definedName name="solver_rsd" localSheetId="5" hidden="1">0</definedName>
    <definedName name="solver_scl" localSheetId="5" hidden="1">2</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2</definedName>
    <definedName name="solver_val" localSheetId="5" hidden="1">0</definedName>
    <definedName name="solver_ver" localSheetId="5" hidden="1">2</definedName>
    <definedName name="Theta" localSheetId="7">'Task f '!$B$3</definedName>
    <definedName name="Theta">'Task g data'!$B$5</definedName>
  </definedNames>
  <calcPr calcId="191029"/>
  <pivotCaches>
    <pivotCache cacheId="26"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7" i="1" l="1"/>
  <c r="D7" i="1"/>
  <c r="G83" i="1"/>
  <c r="G80" i="1"/>
  <c r="C79" i="1"/>
  <c r="G56" i="1"/>
  <c r="F55" i="1"/>
  <c r="E55" i="1"/>
  <c r="D55" i="1"/>
  <c r="F46" i="1"/>
  <c r="G46" i="1"/>
  <c r="E46" i="1"/>
  <c r="C13" i="19"/>
  <c r="E85" i="1" s="1"/>
  <c r="E11" i="19"/>
  <c r="E8" i="19"/>
  <c r="DB5" i="7"/>
  <c r="DC5" i="7"/>
  <c r="DD5" i="7"/>
  <c r="DE5" i="7"/>
  <c r="DF5" i="7"/>
  <c r="DG5" i="7"/>
  <c r="DH5" i="7"/>
  <c r="DI5" i="7"/>
  <c r="DJ5" i="7"/>
  <c r="DK5" i="7"/>
  <c r="DL5" i="7"/>
  <c r="DM5" i="7"/>
  <c r="DN5" i="7"/>
  <c r="DB6" i="7"/>
  <c r="DC6" i="7"/>
  <c r="DD6" i="7"/>
  <c r="DE6" i="7"/>
  <c r="DF6" i="7"/>
  <c r="DG6" i="7"/>
  <c r="DH6" i="7"/>
  <c r="DI6" i="7"/>
  <c r="DJ6" i="7"/>
  <c r="DK6" i="7"/>
  <c r="DL6" i="7"/>
  <c r="DM6" i="7"/>
  <c r="DN6" i="7"/>
  <c r="DB7" i="7"/>
  <c r="DC7" i="7"/>
  <c r="DD7" i="7"/>
  <c r="DE7" i="7"/>
  <c r="DF7" i="7"/>
  <c r="DG7" i="7"/>
  <c r="DH7" i="7"/>
  <c r="DI7" i="7"/>
  <c r="DJ7" i="7"/>
  <c r="DK7" i="7"/>
  <c r="DL7" i="7"/>
  <c r="DM7" i="7"/>
  <c r="DN7" i="7"/>
  <c r="DB8" i="7"/>
  <c r="DC8" i="7"/>
  <c r="DD8" i="7"/>
  <c r="DE8" i="7"/>
  <c r="DF8" i="7"/>
  <c r="DG8" i="7"/>
  <c r="DH8" i="7"/>
  <c r="DI8" i="7"/>
  <c r="DJ8" i="7"/>
  <c r="DK8" i="7"/>
  <c r="DL8" i="7"/>
  <c r="DM8" i="7"/>
  <c r="DN8" i="7"/>
  <c r="DB9" i="7"/>
  <c r="DC9" i="7"/>
  <c r="DD9" i="7"/>
  <c r="DE9" i="7"/>
  <c r="DF9" i="7"/>
  <c r="DG9" i="7"/>
  <c r="DH9" i="7"/>
  <c r="DI9" i="7"/>
  <c r="DJ9" i="7"/>
  <c r="DK9" i="7"/>
  <c r="DL9" i="7"/>
  <c r="DM9" i="7"/>
  <c r="DN9" i="7"/>
  <c r="DB10" i="7"/>
  <c r="DC10" i="7"/>
  <c r="DD10" i="7"/>
  <c r="DE10" i="7"/>
  <c r="DF10" i="7"/>
  <c r="DG10" i="7"/>
  <c r="DH10" i="7"/>
  <c r="DI10" i="7"/>
  <c r="DJ10" i="7"/>
  <c r="DK10" i="7"/>
  <c r="DL10" i="7"/>
  <c r="DM10" i="7"/>
  <c r="DN10" i="7"/>
  <c r="DB11" i="7"/>
  <c r="DC11" i="7"/>
  <c r="DD11" i="7"/>
  <c r="DE11" i="7"/>
  <c r="DF11" i="7"/>
  <c r="DG11" i="7"/>
  <c r="DH11" i="7"/>
  <c r="DI11" i="7"/>
  <c r="DJ11" i="7"/>
  <c r="DK11" i="7"/>
  <c r="DL11" i="7"/>
  <c r="DM11" i="7"/>
  <c r="DN11" i="7"/>
  <c r="DB12" i="7"/>
  <c r="DC12" i="7"/>
  <c r="DD12" i="7"/>
  <c r="DE12" i="7"/>
  <c r="DF12" i="7"/>
  <c r="DG12" i="7"/>
  <c r="DH12" i="7"/>
  <c r="DI12" i="7"/>
  <c r="DJ12" i="7"/>
  <c r="DK12" i="7"/>
  <c r="DL12" i="7"/>
  <c r="DM12" i="7"/>
  <c r="DN12" i="7"/>
  <c r="DB13" i="7"/>
  <c r="DC13" i="7"/>
  <c r="DD13" i="7"/>
  <c r="DE13" i="7"/>
  <c r="DF13" i="7"/>
  <c r="DG13" i="7"/>
  <c r="DH13" i="7"/>
  <c r="DI13" i="7"/>
  <c r="DJ13" i="7"/>
  <c r="DK13" i="7"/>
  <c r="DL13" i="7"/>
  <c r="DM13" i="7"/>
  <c r="DN13" i="7"/>
  <c r="DB14" i="7"/>
  <c r="DC14" i="7"/>
  <c r="DD14" i="7"/>
  <c r="DE14" i="7"/>
  <c r="DF14" i="7"/>
  <c r="DG14" i="7"/>
  <c r="DH14" i="7"/>
  <c r="DI14" i="7"/>
  <c r="DJ14" i="7"/>
  <c r="DK14" i="7"/>
  <c r="DL14" i="7"/>
  <c r="DM14" i="7"/>
  <c r="DN14" i="7"/>
  <c r="DB15" i="7"/>
  <c r="DC15" i="7"/>
  <c r="DD15" i="7"/>
  <c r="DE15" i="7"/>
  <c r="DF15" i="7"/>
  <c r="DG15" i="7"/>
  <c r="DH15" i="7"/>
  <c r="DI15" i="7"/>
  <c r="DJ15" i="7"/>
  <c r="DK15" i="7"/>
  <c r="DL15" i="7"/>
  <c r="DM15" i="7"/>
  <c r="DN15" i="7"/>
  <c r="DB16" i="7"/>
  <c r="DC16" i="7"/>
  <c r="DD16" i="7"/>
  <c r="DE16" i="7"/>
  <c r="DF16" i="7"/>
  <c r="DG16" i="7"/>
  <c r="DH16" i="7"/>
  <c r="DI16" i="7"/>
  <c r="DJ16" i="7"/>
  <c r="DK16" i="7"/>
  <c r="DL16" i="7"/>
  <c r="DM16" i="7"/>
  <c r="DN16" i="7"/>
  <c r="DB17" i="7"/>
  <c r="DC17" i="7"/>
  <c r="DD17" i="7"/>
  <c r="DE17" i="7"/>
  <c r="DF17" i="7"/>
  <c r="DG17" i="7"/>
  <c r="DH17" i="7"/>
  <c r="DI17" i="7"/>
  <c r="DJ17" i="7"/>
  <c r="DK17" i="7"/>
  <c r="DL17" i="7"/>
  <c r="DM17" i="7"/>
  <c r="DN17" i="7"/>
  <c r="DB18" i="7"/>
  <c r="DC18" i="7"/>
  <c r="DD18" i="7"/>
  <c r="DE18" i="7"/>
  <c r="DF18" i="7"/>
  <c r="DG18" i="7"/>
  <c r="DH18" i="7"/>
  <c r="DI18" i="7"/>
  <c r="DJ18" i="7"/>
  <c r="DK18" i="7"/>
  <c r="DL18" i="7"/>
  <c r="DM18" i="7"/>
  <c r="DN18" i="7"/>
  <c r="DB19" i="7"/>
  <c r="DC19" i="7"/>
  <c r="DD19" i="7"/>
  <c r="DE19" i="7"/>
  <c r="DF19" i="7"/>
  <c r="DG19" i="7"/>
  <c r="DH19" i="7"/>
  <c r="DI19" i="7"/>
  <c r="DJ19" i="7"/>
  <c r="DK19" i="7"/>
  <c r="DL19" i="7"/>
  <c r="DM19" i="7"/>
  <c r="DN19" i="7"/>
  <c r="DB20" i="7"/>
  <c r="DC20" i="7"/>
  <c r="DD20" i="7"/>
  <c r="DE20" i="7"/>
  <c r="DF20" i="7"/>
  <c r="DG20" i="7"/>
  <c r="DH20" i="7"/>
  <c r="DI20" i="7"/>
  <c r="DJ20" i="7"/>
  <c r="DK20" i="7"/>
  <c r="DL20" i="7"/>
  <c r="DM20" i="7"/>
  <c r="DN20" i="7"/>
  <c r="DB21" i="7"/>
  <c r="DC21" i="7"/>
  <c r="DD21" i="7"/>
  <c r="DE21" i="7"/>
  <c r="DF21" i="7"/>
  <c r="DG21" i="7"/>
  <c r="DH21" i="7"/>
  <c r="DI21" i="7"/>
  <c r="DJ21" i="7"/>
  <c r="DK21" i="7"/>
  <c r="DL21" i="7"/>
  <c r="DM21" i="7"/>
  <c r="DN21" i="7"/>
  <c r="DB22" i="7"/>
  <c r="DC22" i="7"/>
  <c r="DD22" i="7"/>
  <c r="DE22" i="7"/>
  <c r="DF22" i="7"/>
  <c r="DG22" i="7"/>
  <c r="DH22" i="7"/>
  <c r="DI22" i="7"/>
  <c r="DJ22" i="7"/>
  <c r="DK22" i="7"/>
  <c r="DL22" i="7"/>
  <c r="DM22" i="7"/>
  <c r="DN22" i="7"/>
  <c r="DB23" i="7"/>
  <c r="DC23" i="7"/>
  <c r="DD23" i="7"/>
  <c r="DE23" i="7"/>
  <c r="DF23" i="7"/>
  <c r="DG23" i="7"/>
  <c r="DH23" i="7"/>
  <c r="DI23" i="7"/>
  <c r="DJ23" i="7"/>
  <c r="DK23" i="7"/>
  <c r="DL23" i="7"/>
  <c r="DM23" i="7"/>
  <c r="DN23" i="7"/>
  <c r="DB24" i="7"/>
  <c r="DC24" i="7"/>
  <c r="DD24" i="7"/>
  <c r="DE24" i="7"/>
  <c r="DF24" i="7"/>
  <c r="DG24" i="7"/>
  <c r="DH24" i="7"/>
  <c r="DI24" i="7"/>
  <c r="DJ24" i="7"/>
  <c r="DK24" i="7"/>
  <c r="DL24" i="7"/>
  <c r="DM24" i="7"/>
  <c r="DN24" i="7"/>
  <c r="DB25" i="7"/>
  <c r="DC25" i="7"/>
  <c r="DD25" i="7"/>
  <c r="DE25" i="7"/>
  <c r="DF25" i="7"/>
  <c r="DG25" i="7"/>
  <c r="DH25" i="7"/>
  <c r="DI25" i="7"/>
  <c r="DJ25" i="7"/>
  <c r="DK25" i="7"/>
  <c r="DL25" i="7"/>
  <c r="DM25" i="7"/>
  <c r="DN25" i="7"/>
  <c r="DB26" i="7"/>
  <c r="DC26" i="7"/>
  <c r="DD26" i="7"/>
  <c r="DE26" i="7"/>
  <c r="DF26" i="7"/>
  <c r="DG26" i="7"/>
  <c r="DH26" i="7"/>
  <c r="DI26" i="7"/>
  <c r="DJ26" i="7"/>
  <c r="DK26" i="7"/>
  <c r="DL26" i="7"/>
  <c r="DM26" i="7"/>
  <c r="DN26" i="7"/>
  <c r="DB27" i="7"/>
  <c r="DC27" i="7"/>
  <c r="DD27" i="7"/>
  <c r="DE27" i="7"/>
  <c r="DF27" i="7"/>
  <c r="DG27" i="7"/>
  <c r="DH27" i="7"/>
  <c r="DI27" i="7"/>
  <c r="DJ27" i="7"/>
  <c r="DK27" i="7"/>
  <c r="DL27" i="7"/>
  <c r="DM27" i="7"/>
  <c r="DN27" i="7"/>
  <c r="DB28" i="7"/>
  <c r="DC28" i="7"/>
  <c r="DD28" i="7"/>
  <c r="DE28" i="7"/>
  <c r="DF28" i="7"/>
  <c r="DG28" i="7"/>
  <c r="DH28" i="7"/>
  <c r="DI28" i="7"/>
  <c r="DJ28" i="7"/>
  <c r="DK28" i="7"/>
  <c r="DL28" i="7"/>
  <c r="DM28" i="7"/>
  <c r="DN28" i="7"/>
  <c r="DB29" i="7"/>
  <c r="DC29" i="7"/>
  <c r="DD29" i="7"/>
  <c r="DE29" i="7"/>
  <c r="DF29" i="7"/>
  <c r="DG29" i="7"/>
  <c r="DH29" i="7"/>
  <c r="DI29" i="7"/>
  <c r="DJ29" i="7"/>
  <c r="DK29" i="7"/>
  <c r="DL29" i="7"/>
  <c r="DM29" i="7"/>
  <c r="DN29" i="7"/>
  <c r="DB30" i="7"/>
  <c r="DC30" i="7"/>
  <c r="DD30" i="7"/>
  <c r="DE30" i="7"/>
  <c r="DF30" i="7"/>
  <c r="DG30" i="7"/>
  <c r="DH30" i="7"/>
  <c r="DI30" i="7"/>
  <c r="DJ30" i="7"/>
  <c r="DK30" i="7"/>
  <c r="DL30" i="7"/>
  <c r="DM30" i="7"/>
  <c r="DN30" i="7"/>
  <c r="DB31" i="7"/>
  <c r="DC31" i="7"/>
  <c r="DD31" i="7"/>
  <c r="DE31" i="7"/>
  <c r="DF31" i="7"/>
  <c r="DG31" i="7"/>
  <c r="DH31" i="7"/>
  <c r="DI31" i="7"/>
  <c r="DJ31" i="7"/>
  <c r="DK31" i="7"/>
  <c r="DL31" i="7"/>
  <c r="DM31" i="7"/>
  <c r="DN31" i="7"/>
  <c r="DB32" i="7"/>
  <c r="DC32" i="7"/>
  <c r="DD32" i="7"/>
  <c r="DE32" i="7"/>
  <c r="DF32" i="7"/>
  <c r="DG32" i="7"/>
  <c r="DH32" i="7"/>
  <c r="DI32" i="7"/>
  <c r="DJ32" i="7"/>
  <c r="DK32" i="7"/>
  <c r="DL32" i="7"/>
  <c r="DM32" i="7"/>
  <c r="DN32" i="7"/>
  <c r="DB33" i="7"/>
  <c r="DC33" i="7"/>
  <c r="DD33" i="7"/>
  <c r="DE33" i="7"/>
  <c r="DF33" i="7"/>
  <c r="DG33" i="7"/>
  <c r="DH33" i="7"/>
  <c r="DI33" i="7"/>
  <c r="DJ33" i="7"/>
  <c r="DK33" i="7"/>
  <c r="DL33" i="7"/>
  <c r="DM33" i="7"/>
  <c r="DN33" i="7"/>
  <c r="DB34" i="7"/>
  <c r="DC34" i="7"/>
  <c r="DD34" i="7"/>
  <c r="DE34" i="7"/>
  <c r="DF34" i="7"/>
  <c r="DG34" i="7"/>
  <c r="DH34" i="7"/>
  <c r="DI34" i="7"/>
  <c r="DJ34" i="7"/>
  <c r="DK34" i="7"/>
  <c r="DL34" i="7"/>
  <c r="DM34" i="7"/>
  <c r="DN34" i="7"/>
  <c r="DB35" i="7"/>
  <c r="DC35" i="7"/>
  <c r="DD35" i="7"/>
  <c r="DE35" i="7"/>
  <c r="DF35" i="7"/>
  <c r="DG35" i="7"/>
  <c r="DH35" i="7"/>
  <c r="DI35" i="7"/>
  <c r="DJ35" i="7"/>
  <c r="DK35" i="7"/>
  <c r="DL35" i="7"/>
  <c r="DM35" i="7"/>
  <c r="DN35" i="7"/>
  <c r="DB36" i="7"/>
  <c r="DC36" i="7"/>
  <c r="DD36" i="7"/>
  <c r="DE36" i="7"/>
  <c r="DF36" i="7"/>
  <c r="DG36" i="7"/>
  <c r="DH36" i="7"/>
  <c r="DI36" i="7"/>
  <c r="DJ36" i="7"/>
  <c r="DK36" i="7"/>
  <c r="DL36" i="7"/>
  <c r="DM36" i="7"/>
  <c r="DN36" i="7"/>
  <c r="DB37" i="7"/>
  <c r="DC37" i="7"/>
  <c r="DD37" i="7"/>
  <c r="DE37" i="7"/>
  <c r="DF37" i="7"/>
  <c r="DG37" i="7"/>
  <c r="DH37" i="7"/>
  <c r="DI37" i="7"/>
  <c r="DJ37" i="7"/>
  <c r="DK37" i="7"/>
  <c r="DL37" i="7"/>
  <c r="DM37" i="7"/>
  <c r="DN37" i="7"/>
  <c r="DB38" i="7"/>
  <c r="DC38" i="7"/>
  <c r="DD38" i="7"/>
  <c r="DE38" i="7"/>
  <c r="DF38" i="7"/>
  <c r="DG38" i="7"/>
  <c r="DH38" i="7"/>
  <c r="DI38" i="7"/>
  <c r="DJ38" i="7"/>
  <c r="DK38" i="7"/>
  <c r="DL38" i="7"/>
  <c r="DM38" i="7"/>
  <c r="DN38" i="7"/>
  <c r="DB39" i="7"/>
  <c r="DC39" i="7"/>
  <c r="DD39" i="7"/>
  <c r="DE39" i="7"/>
  <c r="DF39" i="7"/>
  <c r="DG39" i="7"/>
  <c r="DH39" i="7"/>
  <c r="DI39" i="7"/>
  <c r="DJ39" i="7"/>
  <c r="DK39" i="7"/>
  <c r="DL39" i="7"/>
  <c r="DM39" i="7"/>
  <c r="DN39" i="7"/>
  <c r="DB40" i="7"/>
  <c r="DC40" i="7"/>
  <c r="DD40" i="7"/>
  <c r="DE40" i="7"/>
  <c r="DF40" i="7"/>
  <c r="DG40" i="7"/>
  <c r="DH40" i="7"/>
  <c r="DI40" i="7"/>
  <c r="DJ40" i="7"/>
  <c r="DK40" i="7"/>
  <c r="DL40" i="7"/>
  <c r="DM40" i="7"/>
  <c r="DN40" i="7"/>
  <c r="DB41" i="7"/>
  <c r="DC41" i="7"/>
  <c r="DD41" i="7"/>
  <c r="DE41" i="7"/>
  <c r="DF41" i="7"/>
  <c r="DG41" i="7"/>
  <c r="DH41" i="7"/>
  <c r="DI41" i="7"/>
  <c r="DJ41" i="7"/>
  <c r="DK41" i="7"/>
  <c r="DL41" i="7"/>
  <c r="DM41" i="7"/>
  <c r="DN41" i="7"/>
  <c r="DB42" i="7"/>
  <c r="DC42" i="7"/>
  <c r="DD42" i="7"/>
  <c r="DE42" i="7"/>
  <c r="DF42" i="7"/>
  <c r="DG42" i="7"/>
  <c r="DH42" i="7"/>
  <c r="DI42" i="7"/>
  <c r="DJ42" i="7"/>
  <c r="DK42" i="7"/>
  <c r="DL42" i="7"/>
  <c r="DM42" i="7"/>
  <c r="DN42" i="7"/>
  <c r="DB43" i="7"/>
  <c r="DC43" i="7"/>
  <c r="DD43" i="7"/>
  <c r="DE43" i="7"/>
  <c r="DF43" i="7"/>
  <c r="DG43" i="7"/>
  <c r="DH43" i="7"/>
  <c r="DI43" i="7"/>
  <c r="DJ43" i="7"/>
  <c r="DK43" i="7"/>
  <c r="DL43" i="7"/>
  <c r="DM43" i="7"/>
  <c r="DN43" i="7"/>
  <c r="DB44" i="7"/>
  <c r="DC44" i="7"/>
  <c r="DD44" i="7"/>
  <c r="DE44" i="7"/>
  <c r="DF44" i="7"/>
  <c r="DG44" i="7"/>
  <c r="DH44" i="7"/>
  <c r="DI44" i="7"/>
  <c r="DJ44" i="7"/>
  <c r="DK44" i="7"/>
  <c r="DL44" i="7"/>
  <c r="DM44" i="7"/>
  <c r="DN44" i="7"/>
  <c r="DB45" i="7"/>
  <c r="DC45" i="7"/>
  <c r="DD45" i="7"/>
  <c r="DE45" i="7"/>
  <c r="DF45" i="7"/>
  <c r="DG45" i="7"/>
  <c r="DH45" i="7"/>
  <c r="DI45" i="7"/>
  <c r="DJ45" i="7"/>
  <c r="DK45" i="7"/>
  <c r="DL45" i="7"/>
  <c r="DM45" i="7"/>
  <c r="DN45" i="7"/>
  <c r="DB46" i="7"/>
  <c r="DC46" i="7"/>
  <c r="DD46" i="7"/>
  <c r="DE46" i="7"/>
  <c r="DF46" i="7"/>
  <c r="DG46" i="7"/>
  <c r="DH46" i="7"/>
  <c r="DI46" i="7"/>
  <c r="DJ46" i="7"/>
  <c r="DK46" i="7"/>
  <c r="DL46" i="7"/>
  <c r="DM46" i="7"/>
  <c r="DN46" i="7"/>
  <c r="DB47" i="7"/>
  <c r="DC47" i="7"/>
  <c r="DD47" i="7"/>
  <c r="DE47" i="7"/>
  <c r="DF47" i="7"/>
  <c r="DG47" i="7"/>
  <c r="DH47" i="7"/>
  <c r="DI47" i="7"/>
  <c r="DJ47" i="7"/>
  <c r="DK47" i="7"/>
  <c r="DL47" i="7"/>
  <c r="DM47" i="7"/>
  <c r="DN47" i="7"/>
  <c r="DB48" i="7"/>
  <c r="DC48" i="7"/>
  <c r="DD48" i="7"/>
  <c r="DE48" i="7"/>
  <c r="DF48" i="7"/>
  <c r="DG48" i="7"/>
  <c r="DH48" i="7"/>
  <c r="DI48" i="7"/>
  <c r="DJ48" i="7"/>
  <c r="DK48" i="7"/>
  <c r="DL48" i="7"/>
  <c r="DM48" i="7"/>
  <c r="DN48" i="7"/>
  <c r="DB49" i="7"/>
  <c r="DC49" i="7"/>
  <c r="DD49" i="7"/>
  <c r="DE49" i="7"/>
  <c r="DF49" i="7"/>
  <c r="DG49" i="7"/>
  <c r="DH49" i="7"/>
  <c r="DI49" i="7"/>
  <c r="DJ49" i="7"/>
  <c r="DK49" i="7"/>
  <c r="DL49" i="7"/>
  <c r="DM49" i="7"/>
  <c r="DN49" i="7"/>
  <c r="DB50" i="7"/>
  <c r="DC50" i="7"/>
  <c r="DD50" i="7"/>
  <c r="DE50" i="7"/>
  <c r="DF50" i="7"/>
  <c r="DG50" i="7"/>
  <c r="DH50" i="7"/>
  <c r="DI50" i="7"/>
  <c r="DJ50" i="7"/>
  <c r="DK50" i="7"/>
  <c r="DL50" i="7"/>
  <c r="DM50" i="7"/>
  <c r="DN50" i="7"/>
  <c r="DB51" i="7"/>
  <c r="DC51" i="7"/>
  <c r="DD51" i="7"/>
  <c r="DE51" i="7"/>
  <c r="DF51" i="7"/>
  <c r="DG51" i="7"/>
  <c r="DH51" i="7"/>
  <c r="DI51" i="7"/>
  <c r="DJ51" i="7"/>
  <c r="DK51" i="7"/>
  <c r="DL51" i="7"/>
  <c r="DM51" i="7"/>
  <c r="DN51" i="7"/>
  <c r="DB52" i="7"/>
  <c r="DC52" i="7"/>
  <c r="DD52" i="7"/>
  <c r="DE52" i="7"/>
  <c r="DF52" i="7"/>
  <c r="DG52" i="7"/>
  <c r="DH52" i="7"/>
  <c r="DI52" i="7"/>
  <c r="DJ52" i="7"/>
  <c r="DK52" i="7"/>
  <c r="DL52" i="7"/>
  <c r="DM52" i="7"/>
  <c r="DN52" i="7"/>
  <c r="DB53" i="7"/>
  <c r="DC53" i="7"/>
  <c r="DD53" i="7"/>
  <c r="DE53" i="7"/>
  <c r="DF53" i="7"/>
  <c r="DG53" i="7"/>
  <c r="DH53" i="7"/>
  <c r="DI53" i="7"/>
  <c r="DJ53" i="7"/>
  <c r="DK53" i="7"/>
  <c r="DL53" i="7"/>
  <c r="DM53" i="7"/>
  <c r="DN53" i="7"/>
  <c r="DB54" i="7"/>
  <c r="DC54" i="7"/>
  <c r="DD54" i="7"/>
  <c r="DE54" i="7"/>
  <c r="DF54" i="7"/>
  <c r="DG54" i="7"/>
  <c r="DH54" i="7"/>
  <c r="DI54" i="7"/>
  <c r="DJ54" i="7"/>
  <c r="DK54" i="7"/>
  <c r="DL54" i="7"/>
  <c r="DM54" i="7"/>
  <c r="DN54" i="7"/>
  <c r="DB55" i="7"/>
  <c r="DC55" i="7"/>
  <c r="DD55" i="7"/>
  <c r="DE55" i="7"/>
  <c r="DF55" i="7"/>
  <c r="DG55" i="7"/>
  <c r="DH55" i="7"/>
  <c r="DI55" i="7"/>
  <c r="DJ55" i="7"/>
  <c r="DK55" i="7"/>
  <c r="DL55" i="7"/>
  <c r="DM55" i="7"/>
  <c r="DN55" i="7"/>
  <c r="DB56" i="7"/>
  <c r="DC56" i="7"/>
  <c r="DD56" i="7"/>
  <c r="DE56" i="7"/>
  <c r="DF56" i="7"/>
  <c r="DG56" i="7"/>
  <c r="DH56" i="7"/>
  <c r="DI56" i="7"/>
  <c r="DJ56" i="7"/>
  <c r="DK56" i="7"/>
  <c r="DL56" i="7"/>
  <c r="DM56" i="7"/>
  <c r="DN56" i="7"/>
  <c r="DB57" i="7"/>
  <c r="DC57" i="7"/>
  <c r="DD57" i="7"/>
  <c r="DE57" i="7"/>
  <c r="DF57" i="7"/>
  <c r="DG57" i="7"/>
  <c r="DH57" i="7"/>
  <c r="DI57" i="7"/>
  <c r="DJ57" i="7"/>
  <c r="DK57" i="7"/>
  <c r="DL57" i="7"/>
  <c r="DM57" i="7"/>
  <c r="DN57" i="7"/>
  <c r="DB58" i="7"/>
  <c r="DC58" i="7"/>
  <c r="DD58" i="7"/>
  <c r="DE58" i="7"/>
  <c r="DF58" i="7"/>
  <c r="DG58" i="7"/>
  <c r="DH58" i="7"/>
  <c r="DI58" i="7"/>
  <c r="DJ58" i="7"/>
  <c r="DK58" i="7"/>
  <c r="DL58" i="7"/>
  <c r="DM58" i="7"/>
  <c r="DN58" i="7"/>
  <c r="DB59" i="7"/>
  <c r="DC59" i="7"/>
  <c r="DD59" i="7"/>
  <c r="DE59" i="7"/>
  <c r="DF59" i="7"/>
  <c r="DG59" i="7"/>
  <c r="DH59" i="7"/>
  <c r="DI59" i="7"/>
  <c r="DJ59" i="7"/>
  <c r="DK59" i="7"/>
  <c r="DL59" i="7"/>
  <c r="DM59" i="7"/>
  <c r="DN59" i="7"/>
  <c r="DB60" i="7"/>
  <c r="DC60" i="7"/>
  <c r="DD60" i="7"/>
  <c r="DE60" i="7"/>
  <c r="DF60" i="7"/>
  <c r="DG60" i="7"/>
  <c r="DH60" i="7"/>
  <c r="DI60" i="7"/>
  <c r="DJ60" i="7"/>
  <c r="DK60" i="7"/>
  <c r="DL60" i="7"/>
  <c r="DM60" i="7"/>
  <c r="DN60" i="7"/>
  <c r="DB61" i="7"/>
  <c r="DC61" i="7"/>
  <c r="DD61" i="7"/>
  <c r="DE61" i="7"/>
  <c r="DF61" i="7"/>
  <c r="DG61" i="7"/>
  <c r="DH61" i="7"/>
  <c r="DI61" i="7"/>
  <c r="DJ61" i="7"/>
  <c r="DK61" i="7"/>
  <c r="DL61" i="7"/>
  <c r="DM61" i="7"/>
  <c r="DN61" i="7"/>
  <c r="DB62" i="7"/>
  <c r="DC62" i="7"/>
  <c r="DD62" i="7"/>
  <c r="DE62" i="7"/>
  <c r="DF62" i="7"/>
  <c r="DG62" i="7"/>
  <c r="DH62" i="7"/>
  <c r="DI62" i="7"/>
  <c r="DJ62" i="7"/>
  <c r="DK62" i="7"/>
  <c r="DL62" i="7"/>
  <c r="DM62" i="7"/>
  <c r="DN62" i="7"/>
  <c r="DB63" i="7"/>
  <c r="DC63" i="7"/>
  <c r="DD63" i="7"/>
  <c r="DE63" i="7"/>
  <c r="DF63" i="7"/>
  <c r="DG63" i="7"/>
  <c r="DH63" i="7"/>
  <c r="DI63" i="7"/>
  <c r="DJ63" i="7"/>
  <c r="DK63" i="7"/>
  <c r="DL63" i="7"/>
  <c r="DM63" i="7"/>
  <c r="DN63" i="7"/>
  <c r="DB64" i="7"/>
  <c r="DC64" i="7"/>
  <c r="DD64" i="7"/>
  <c r="DE64" i="7"/>
  <c r="DF64" i="7"/>
  <c r="DG64" i="7"/>
  <c r="DH64" i="7"/>
  <c r="DI64" i="7"/>
  <c r="DJ64" i="7"/>
  <c r="DK64" i="7"/>
  <c r="DL64" i="7"/>
  <c r="DM64" i="7"/>
  <c r="DN64" i="7"/>
  <c r="DB65" i="7"/>
  <c r="DC65" i="7"/>
  <c r="DD65" i="7"/>
  <c r="DE65" i="7"/>
  <c r="DF65" i="7"/>
  <c r="DG65" i="7"/>
  <c r="DH65" i="7"/>
  <c r="DI65" i="7"/>
  <c r="DJ65" i="7"/>
  <c r="DK65" i="7"/>
  <c r="DL65" i="7"/>
  <c r="DM65" i="7"/>
  <c r="DN65" i="7"/>
  <c r="DB66" i="7"/>
  <c r="DC66" i="7"/>
  <c r="DD66" i="7"/>
  <c r="DE66" i="7"/>
  <c r="DF66" i="7"/>
  <c r="DG66" i="7"/>
  <c r="DH66" i="7"/>
  <c r="DI66" i="7"/>
  <c r="DJ66" i="7"/>
  <c r="DK66" i="7"/>
  <c r="DL66" i="7"/>
  <c r="DM66" i="7"/>
  <c r="DN66" i="7"/>
  <c r="DB67" i="7"/>
  <c r="DC67" i="7"/>
  <c r="DD67" i="7"/>
  <c r="DE67" i="7"/>
  <c r="DF67" i="7"/>
  <c r="DG67" i="7"/>
  <c r="DH67" i="7"/>
  <c r="DI67" i="7"/>
  <c r="DJ67" i="7"/>
  <c r="DK67" i="7"/>
  <c r="DL67" i="7"/>
  <c r="DM67" i="7"/>
  <c r="DN67" i="7"/>
  <c r="DB68" i="7"/>
  <c r="DC68" i="7"/>
  <c r="DD68" i="7"/>
  <c r="DE68" i="7"/>
  <c r="DF68" i="7"/>
  <c r="DG68" i="7"/>
  <c r="DH68" i="7"/>
  <c r="DI68" i="7"/>
  <c r="DJ68" i="7"/>
  <c r="DK68" i="7"/>
  <c r="DL68" i="7"/>
  <c r="DM68" i="7"/>
  <c r="DN68" i="7"/>
  <c r="DB69" i="7"/>
  <c r="DC69" i="7"/>
  <c r="DD69" i="7"/>
  <c r="DE69" i="7"/>
  <c r="DF69" i="7"/>
  <c r="DG69" i="7"/>
  <c r="DH69" i="7"/>
  <c r="DI69" i="7"/>
  <c r="DJ69" i="7"/>
  <c r="DK69" i="7"/>
  <c r="DL69" i="7"/>
  <c r="DM69" i="7"/>
  <c r="DN69" i="7"/>
  <c r="DB70" i="7"/>
  <c r="DC70" i="7"/>
  <c r="DD70" i="7"/>
  <c r="DE70" i="7"/>
  <c r="DF70" i="7"/>
  <c r="DG70" i="7"/>
  <c r="DH70" i="7"/>
  <c r="DI70" i="7"/>
  <c r="DJ70" i="7"/>
  <c r="DK70" i="7"/>
  <c r="DL70" i="7"/>
  <c r="DM70" i="7"/>
  <c r="DN70" i="7"/>
  <c r="DB71" i="7"/>
  <c r="DC71" i="7"/>
  <c r="DD71" i="7"/>
  <c r="DE71" i="7"/>
  <c r="DF71" i="7"/>
  <c r="DG71" i="7"/>
  <c r="DH71" i="7"/>
  <c r="DI71" i="7"/>
  <c r="DJ71" i="7"/>
  <c r="DK71" i="7"/>
  <c r="DL71" i="7"/>
  <c r="DM71" i="7"/>
  <c r="DN71" i="7"/>
  <c r="DB72" i="7"/>
  <c r="DC72" i="7"/>
  <c r="DD72" i="7"/>
  <c r="DE72" i="7"/>
  <c r="DF72" i="7"/>
  <c r="DG72" i="7"/>
  <c r="DH72" i="7"/>
  <c r="DI72" i="7"/>
  <c r="DJ72" i="7"/>
  <c r="DK72" i="7"/>
  <c r="DL72" i="7"/>
  <c r="DM72" i="7"/>
  <c r="DN72" i="7"/>
  <c r="DB73" i="7"/>
  <c r="DC73" i="7"/>
  <c r="DD73" i="7"/>
  <c r="DE73" i="7"/>
  <c r="DF73" i="7"/>
  <c r="DG73" i="7"/>
  <c r="DH73" i="7"/>
  <c r="DI73" i="7"/>
  <c r="DJ73" i="7"/>
  <c r="DK73" i="7"/>
  <c r="DL73" i="7"/>
  <c r="DM73" i="7"/>
  <c r="DN73" i="7"/>
  <c r="DB74" i="7"/>
  <c r="DC74" i="7"/>
  <c r="DD74" i="7"/>
  <c r="DE74" i="7"/>
  <c r="DF74" i="7"/>
  <c r="DG74" i="7"/>
  <c r="DH74" i="7"/>
  <c r="DI74" i="7"/>
  <c r="DJ74" i="7"/>
  <c r="DK74" i="7"/>
  <c r="DL74" i="7"/>
  <c r="DM74" i="7"/>
  <c r="DN74" i="7"/>
  <c r="DB75" i="7"/>
  <c r="DC75" i="7"/>
  <c r="DD75" i="7"/>
  <c r="DE75" i="7"/>
  <c r="DF75" i="7"/>
  <c r="DG75" i="7"/>
  <c r="DH75" i="7"/>
  <c r="DI75" i="7"/>
  <c r="DJ75" i="7"/>
  <c r="DK75" i="7"/>
  <c r="DL75" i="7"/>
  <c r="DM75" i="7"/>
  <c r="DN75" i="7"/>
  <c r="DB76" i="7"/>
  <c r="DC76" i="7"/>
  <c r="DD76" i="7"/>
  <c r="DE76" i="7"/>
  <c r="DF76" i="7"/>
  <c r="DG76" i="7"/>
  <c r="DH76" i="7"/>
  <c r="DI76" i="7"/>
  <c r="DJ76" i="7"/>
  <c r="DK76" i="7"/>
  <c r="DL76" i="7"/>
  <c r="DM76" i="7"/>
  <c r="DN76" i="7"/>
  <c r="DB77" i="7"/>
  <c r="DC77" i="7"/>
  <c r="DD77" i="7"/>
  <c r="DE77" i="7"/>
  <c r="DF77" i="7"/>
  <c r="DG77" i="7"/>
  <c r="DH77" i="7"/>
  <c r="DI77" i="7"/>
  <c r="DJ77" i="7"/>
  <c r="DK77" i="7"/>
  <c r="DL77" i="7"/>
  <c r="DM77" i="7"/>
  <c r="DN77" i="7"/>
  <c r="DB78" i="7"/>
  <c r="DC78" i="7"/>
  <c r="DD78" i="7"/>
  <c r="DE78" i="7"/>
  <c r="DF78" i="7"/>
  <c r="DG78" i="7"/>
  <c r="DH78" i="7"/>
  <c r="DI78" i="7"/>
  <c r="DJ78" i="7"/>
  <c r="DK78" i="7"/>
  <c r="DL78" i="7"/>
  <c r="DM78" i="7"/>
  <c r="DN78" i="7"/>
  <c r="DB79" i="7"/>
  <c r="DC79" i="7"/>
  <c r="DD79" i="7"/>
  <c r="DE79" i="7"/>
  <c r="DF79" i="7"/>
  <c r="DG79" i="7"/>
  <c r="DH79" i="7"/>
  <c r="DI79" i="7"/>
  <c r="DJ79" i="7"/>
  <c r="DK79" i="7"/>
  <c r="DL79" i="7"/>
  <c r="DM79" i="7"/>
  <c r="DN79" i="7"/>
  <c r="DB80" i="7"/>
  <c r="DC80" i="7"/>
  <c r="DD80" i="7"/>
  <c r="DE80" i="7"/>
  <c r="DF80" i="7"/>
  <c r="DG80" i="7"/>
  <c r="DH80" i="7"/>
  <c r="DI80" i="7"/>
  <c r="DJ80" i="7"/>
  <c r="DK80" i="7"/>
  <c r="DL80" i="7"/>
  <c r="DM80" i="7"/>
  <c r="DN80" i="7"/>
  <c r="DB81" i="7"/>
  <c r="DC81" i="7"/>
  <c r="DD81" i="7"/>
  <c r="DE81" i="7"/>
  <c r="DF81" i="7"/>
  <c r="DG81" i="7"/>
  <c r="DH81" i="7"/>
  <c r="DI81" i="7"/>
  <c r="DJ81" i="7"/>
  <c r="DK81" i="7"/>
  <c r="DL81" i="7"/>
  <c r="DM81" i="7"/>
  <c r="DN81" i="7"/>
  <c r="DB82" i="7"/>
  <c r="DC82" i="7"/>
  <c r="DD82" i="7"/>
  <c r="DE82" i="7"/>
  <c r="DF82" i="7"/>
  <c r="DG82" i="7"/>
  <c r="DH82" i="7"/>
  <c r="DI82" i="7"/>
  <c r="DJ82" i="7"/>
  <c r="DK82" i="7"/>
  <c r="DL82" i="7"/>
  <c r="DM82" i="7"/>
  <c r="DN82" i="7"/>
  <c r="DB83" i="7"/>
  <c r="DC83" i="7"/>
  <c r="DD83" i="7"/>
  <c r="DE83" i="7"/>
  <c r="DF83" i="7"/>
  <c r="DG83" i="7"/>
  <c r="DH83" i="7"/>
  <c r="DI83" i="7"/>
  <c r="DJ83" i="7"/>
  <c r="DK83" i="7"/>
  <c r="DL83" i="7"/>
  <c r="DM83" i="7"/>
  <c r="DN83" i="7"/>
  <c r="DB84" i="7"/>
  <c r="DC84" i="7"/>
  <c r="DD84" i="7"/>
  <c r="DE84" i="7"/>
  <c r="DF84" i="7"/>
  <c r="DG84" i="7"/>
  <c r="DH84" i="7"/>
  <c r="DI84" i="7"/>
  <c r="DJ84" i="7"/>
  <c r="DK84" i="7"/>
  <c r="DL84" i="7"/>
  <c r="DM84" i="7"/>
  <c r="DN84" i="7"/>
  <c r="DB85" i="7"/>
  <c r="DC85" i="7"/>
  <c r="DD85" i="7"/>
  <c r="DE85" i="7"/>
  <c r="DF85" i="7"/>
  <c r="DG85" i="7"/>
  <c r="DH85" i="7"/>
  <c r="DI85" i="7"/>
  <c r="DJ85" i="7"/>
  <c r="DK85" i="7"/>
  <c r="DL85" i="7"/>
  <c r="DM85" i="7"/>
  <c r="DN85" i="7"/>
  <c r="DB86" i="7"/>
  <c r="DC86" i="7"/>
  <c r="DD86" i="7"/>
  <c r="DE86" i="7"/>
  <c r="DF86" i="7"/>
  <c r="DG86" i="7"/>
  <c r="DH86" i="7"/>
  <c r="DI86" i="7"/>
  <c r="DJ86" i="7"/>
  <c r="DK86" i="7"/>
  <c r="DL86" i="7"/>
  <c r="DM86" i="7"/>
  <c r="DN86" i="7"/>
  <c r="DB87" i="7"/>
  <c r="DC87" i="7"/>
  <c r="DD87" i="7"/>
  <c r="DE87" i="7"/>
  <c r="DF87" i="7"/>
  <c r="DG87" i="7"/>
  <c r="DH87" i="7"/>
  <c r="DI87" i="7"/>
  <c r="DJ87" i="7"/>
  <c r="DK87" i="7"/>
  <c r="DL87" i="7"/>
  <c r="DM87" i="7"/>
  <c r="DN87" i="7"/>
  <c r="DB88" i="7"/>
  <c r="DC88" i="7"/>
  <c r="DD88" i="7"/>
  <c r="DE88" i="7"/>
  <c r="DF88" i="7"/>
  <c r="DG88" i="7"/>
  <c r="DH88" i="7"/>
  <c r="DI88" i="7"/>
  <c r="DJ88" i="7"/>
  <c r="DK88" i="7"/>
  <c r="DL88" i="7"/>
  <c r="DM88" i="7"/>
  <c r="DN88" i="7"/>
  <c r="DB89" i="7"/>
  <c r="DC89" i="7"/>
  <c r="DD89" i="7"/>
  <c r="DE89" i="7"/>
  <c r="DF89" i="7"/>
  <c r="DG89" i="7"/>
  <c r="DH89" i="7"/>
  <c r="DI89" i="7"/>
  <c r="DJ89" i="7"/>
  <c r="DK89" i="7"/>
  <c r="DL89" i="7"/>
  <c r="DM89" i="7"/>
  <c r="DN89" i="7"/>
  <c r="DB90" i="7"/>
  <c r="DC90" i="7"/>
  <c r="DD90" i="7"/>
  <c r="DE90" i="7"/>
  <c r="DF90" i="7"/>
  <c r="DG90" i="7"/>
  <c r="DH90" i="7"/>
  <c r="DI90" i="7"/>
  <c r="DJ90" i="7"/>
  <c r="DK90" i="7"/>
  <c r="DL90" i="7"/>
  <c r="DM90" i="7"/>
  <c r="DN90" i="7"/>
  <c r="DB91" i="7"/>
  <c r="DC91" i="7"/>
  <c r="DD91" i="7"/>
  <c r="DE91" i="7"/>
  <c r="DF91" i="7"/>
  <c r="DG91" i="7"/>
  <c r="DH91" i="7"/>
  <c r="DI91" i="7"/>
  <c r="DJ91" i="7"/>
  <c r="DK91" i="7"/>
  <c r="DL91" i="7"/>
  <c r="DM91" i="7"/>
  <c r="DN91" i="7"/>
  <c r="DB92" i="7"/>
  <c r="DC92" i="7"/>
  <c r="DD92" i="7"/>
  <c r="DE92" i="7"/>
  <c r="DF92" i="7"/>
  <c r="DG92" i="7"/>
  <c r="DH92" i="7"/>
  <c r="DI92" i="7"/>
  <c r="DJ92" i="7"/>
  <c r="DK92" i="7"/>
  <c r="DL92" i="7"/>
  <c r="DM92" i="7"/>
  <c r="DN92" i="7"/>
  <c r="DB93" i="7"/>
  <c r="DC93" i="7"/>
  <c r="DD93" i="7"/>
  <c r="DE93" i="7"/>
  <c r="DF93" i="7"/>
  <c r="DG93" i="7"/>
  <c r="DH93" i="7"/>
  <c r="DI93" i="7"/>
  <c r="DJ93" i="7"/>
  <c r="DK93" i="7"/>
  <c r="DL93" i="7"/>
  <c r="DM93" i="7"/>
  <c r="DN93" i="7"/>
  <c r="DB94" i="7"/>
  <c r="DC94" i="7"/>
  <c r="DD94" i="7"/>
  <c r="DE94" i="7"/>
  <c r="DF94" i="7"/>
  <c r="DG94" i="7"/>
  <c r="DH94" i="7"/>
  <c r="DI94" i="7"/>
  <c r="DJ94" i="7"/>
  <c r="DK94" i="7"/>
  <c r="DL94" i="7"/>
  <c r="DM94" i="7"/>
  <c r="DN94" i="7"/>
  <c r="DB95" i="7"/>
  <c r="DC95" i="7"/>
  <c r="DD95" i="7"/>
  <c r="DE95" i="7"/>
  <c r="DF95" i="7"/>
  <c r="DG95" i="7"/>
  <c r="DH95" i="7"/>
  <c r="DI95" i="7"/>
  <c r="DJ95" i="7"/>
  <c r="DK95" i="7"/>
  <c r="DL95" i="7"/>
  <c r="DM95" i="7"/>
  <c r="DN95" i="7"/>
  <c r="DB96" i="7"/>
  <c r="DC96" i="7"/>
  <c r="DD96" i="7"/>
  <c r="DE96" i="7"/>
  <c r="DF96" i="7"/>
  <c r="DG96" i="7"/>
  <c r="DH96" i="7"/>
  <c r="DI96" i="7"/>
  <c r="DJ96" i="7"/>
  <c r="DK96" i="7"/>
  <c r="DL96" i="7"/>
  <c r="DM96" i="7"/>
  <c r="DN96" i="7"/>
  <c r="DB97" i="7"/>
  <c r="DC97" i="7"/>
  <c r="DD97" i="7"/>
  <c r="DE97" i="7"/>
  <c r="DF97" i="7"/>
  <c r="DG97" i="7"/>
  <c r="DH97" i="7"/>
  <c r="DI97" i="7"/>
  <c r="DJ97" i="7"/>
  <c r="DK97" i="7"/>
  <c r="DL97" i="7"/>
  <c r="DM97" i="7"/>
  <c r="DN97" i="7"/>
  <c r="DB98" i="7"/>
  <c r="DC98" i="7"/>
  <c r="DD98" i="7"/>
  <c r="DE98" i="7"/>
  <c r="DF98" i="7"/>
  <c r="DG98" i="7"/>
  <c r="DH98" i="7"/>
  <c r="DI98" i="7"/>
  <c r="DJ98" i="7"/>
  <c r="DK98" i="7"/>
  <c r="DL98" i="7"/>
  <c r="DM98" i="7"/>
  <c r="DN98" i="7"/>
  <c r="DB99" i="7"/>
  <c r="DC99" i="7"/>
  <c r="DD99" i="7"/>
  <c r="DE99" i="7"/>
  <c r="DF99" i="7"/>
  <c r="DG99" i="7"/>
  <c r="DH99" i="7"/>
  <c r="DI99" i="7"/>
  <c r="DJ99" i="7"/>
  <c r="DK99" i="7"/>
  <c r="DL99" i="7"/>
  <c r="DM99" i="7"/>
  <c r="DN99" i="7"/>
  <c r="DB100" i="7"/>
  <c r="DC100" i="7"/>
  <c r="DD100" i="7"/>
  <c r="DE100" i="7"/>
  <c r="DF100" i="7"/>
  <c r="DG100" i="7"/>
  <c r="DH100" i="7"/>
  <c r="DI100" i="7"/>
  <c r="DJ100" i="7"/>
  <c r="DK100" i="7"/>
  <c r="DL100" i="7"/>
  <c r="DM100" i="7"/>
  <c r="DN100" i="7"/>
  <c r="DB101" i="7"/>
  <c r="DC101" i="7"/>
  <c r="DD101" i="7"/>
  <c r="DE101" i="7"/>
  <c r="DF101" i="7"/>
  <c r="DG101" i="7"/>
  <c r="DH101" i="7"/>
  <c r="DI101" i="7"/>
  <c r="DJ101" i="7"/>
  <c r="DK101" i="7"/>
  <c r="DL101" i="7"/>
  <c r="DM101" i="7"/>
  <c r="DN101" i="7"/>
  <c r="DB102" i="7"/>
  <c r="DC102" i="7"/>
  <c r="DD102" i="7"/>
  <c r="DE102" i="7"/>
  <c r="DF102" i="7"/>
  <c r="DG102" i="7"/>
  <c r="DH102" i="7"/>
  <c r="DI102" i="7"/>
  <c r="DJ102" i="7"/>
  <c r="DK102" i="7"/>
  <c r="DL102" i="7"/>
  <c r="DM102" i="7"/>
  <c r="DN102" i="7"/>
  <c r="DB103" i="7"/>
  <c r="DC103" i="7"/>
  <c r="DD103" i="7"/>
  <c r="DE103" i="7"/>
  <c r="DF103" i="7"/>
  <c r="DG103" i="7"/>
  <c r="DH103" i="7"/>
  <c r="DI103" i="7"/>
  <c r="DJ103" i="7"/>
  <c r="DK103" i="7"/>
  <c r="DL103" i="7"/>
  <c r="DM103" i="7"/>
  <c r="DN103" i="7"/>
  <c r="DB104" i="7"/>
  <c r="DC104" i="7"/>
  <c r="DD104" i="7"/>
  <c r="DE104" i="7"/>
  <c r="DF104" i="7"/>
  <c r="DG104" i="7"/>
  <c r="DH104" i="7"/>
  <c r="DI104" i="7"/>
  <c r="DJ104" i="7"/>
  <c r="DK104" i="7"/>
  <c r="DL104" i="7"/>
  <c r="DM104" i="7"/>
  <c r="DN104" i="7"/>
  <c r="DB105" i="7"/>
  <c r="DC105" i="7"/>
  <c r="DD105" i="7"/>
  <c r="DE105" i="7"/>
  <c r="DF105" i="7"/>
  <c r="DG105" i="7"/>
  <c r="DH105" i="7"/>
  <c r="DI105" i="7"/>
  <c r="DJ105" i="7"/>
  <c r="DK105" i="7"/>
  <c r="DL105" i="7"/>
  <c r="DM105" i="7"/>
  <c r="DN105" i="7"/>
  <c r="DB106" i="7"/>
  <c r="DC106" i="7"/>
  <c r="DD106" i="7"/>
  <c r="DE106" i="7"/>
  <c r="DF106" i="7"/>
  <c r="DG106" i="7"/>
  <c r="DH106" i="7"/>
  <c r="DI106" i="7"/>
  <c r="DJ106" i="7"/>
  <c r="DK106" i="7"/>
  <c r="DL106" i="7"/>
  <c r="DM106" i="7"/>
  <c r="DN106" i="7"/>
  <c r="DB107" i="7"/>
  <c r="DC107" i="7"/>
  <c r="DD107" i="7"/>
  <c r="DE107" i="7"/>
  <c r="DF107" i="7"/>
  <c r="DG107" i="7"/>
  <c r="DH107" i="7"/>
  <c r="DI107" i="7"/>
  <c r="DJ107" i="7"/>
  <c r="DK107" i="7"/>
  <c r="DL107" i="7"/>
  <c r="DM107" i="7"/>
  <c r="DN107" i="7"/>
  <c r="DB108" i="7"/>
  <c r="DC108" i="7"/>
  <c r="DD108" i="7"/>
  <c r="DE108" i="7"/>
  <c r="DF108" i="7"/>
  <c r="DG108" i="7"/>
  <c r="DH108" i="7"/>
  <c r="DI108" i="7"/>
  <c r="DJ108" i="7"/>
  <c r="DK108" i="7"/>
  <c r="DL108" i="7"/>
  <c r="DM108" i="7"/>
  <c r="DN108" i="7"/>
  <c r="DB109" i="7"/>
  <c r="DC109" i="7"/>
  <c r="DD109" i="7"/>
  <c r="DE109" i="7"/>
  <c r="DF109" i="7"/>
  <c r="DG109" i="7"/>
  <c r="DH109" i="7"/>
  <c r="DI109" i="7"/>
  <c r="DJ109" i="7"/>
  <c r="DK109" i="7"/>
  <c r="DL109" i="7"/>
  <c r="DM109" i="7"/>
  <c r="DN109" i="7"/>
  <c r="DB110" i="7"/>
  <c r="DC110" i="7"/>
  <c r="DD110" i="7"/>
  <c r="DE110" i="7"/>
  <c r="DF110" i="7"/>
  <c r="DG110" i="7"/>
  <c r="DH110" i="7"/>
  <c r="DI110" i="7"/>
  <c r="DJ110" i="7"/>
  <c r="DK110" i="7"/>
  <c r="DL110" i="7"/>
  <c r="DM110" i="7"/>
  <c r="DN110" i="7"/>
  <c r="DB111" i="7"/>
  <c r="DC111" i="7"/>
  <c r="DD111" i="7"/>
  <c r="DE111" i="7"/>
  <c r="DF111" i="7"/>
  <c r="DG111" i="7"/>
  <c r="DH111" i="7"/>
  <c r="DI111" i="7"/>
  <c r="DJ111" i="7"/>
  <c r="DK111" i="7"/>
  <c r="DL111" i="7"/>
  <c r="DM111" i="7"/>
  <c r="DN111" i="7"/>
  <c r="DB112" i="7"/>
  <c r="DC112" i="7"/>
  <c r="DD112" i="7"/>
  <c r="DE112" i="7"/>
  <c r="DF112" i="7"/>
  <c r="DG112" i="7"/>
  <c r="DH112" i="7"/>
  <c r="DI112" i="7"/>
  <c r="DJ112" i="7"/>
  <c r="DK112" i="7"/>
  <c r="DL112" i="7"/>
  <c r="DM112" i="7"/>
  <c r="DN112" i="7"/>
  <c r="DB113" i="7"/>
  <c r="DC113" i="7"/>
  <c r="DD113" i="7"/>
  <c r="DE113" i="7"/>
  <c r="DF113" i="7"/>
  <c r="DG113" i="7"/>
  <c r="DH113" i="7"/>
  <c r="DI113" i="7"/>
  <c r="DJ113" i="7"/>
  <c r="DK113" i="7"/>
  <c r="DL113" i="7"/>
  <c r="DM113" i="7"/>
  <c r="DN113" i="7"/>
  <c r="DB114" i="7"/>
  <c r="DC114" i="7"/>
  <c r="DD114" i="7"/>
  <c r="DE114" i="7"/>
  <c r="DF114" i="7"/>
  <c r="DG114" i="7"/>
  <c r="DH114" i="7"/>
  <c r="DI114" i="7"/>
  <c r="DJ114" i="7"/>
  <c r="DK114" i="7"/>
  <c r="DL114" i="7"/>
  <c r="DM114" i="7"/>
  <c r="DN114" i="7"/>
  <c r="DB115" i="7"/>
  <c r="DC115" i="7"/>
  <c r="DD115" i="7"/>
  <c r="DE115" i="7"/>
  <c r="DF115" i="7"/>
  <c r="DG115" i="7"/>
  <c r="DH115" i="7"/>
  <c r="DI115" i="7"/>
  <c r="DJ115" i="7"/>
  <c r="DK115" i="7"/>
  <c r="DL115" i="7"/>
  <c r="DM115" i="7"/>
  <c r="DN115" i="7"/>
  <c r="DB116" i="7"/>
  <c r="DC116" i="7"/>
  <c r="DD116" i="7"/>
  <c r="DE116" i="7"/>
  <c r="DF116" i="7"/>
  <c r="DG116" i="7"/>
  <c r="DH116" i="7"/>
  <c r="DI116" i="7"/>
  <c r="DJ116" i="7"/>
  <c r="DK116" i="7"/>
  <c r="DL116" i="7"/>
  <c r="DM116" i="7"/>
  <c r="DN116" i="7"/>
  <c r="DB117" i="7"/>
  <c r="DC117" i="7"/>
  <c r="DD117" i="7"/>
  <c r="DE117" i="7"/>
  <c r="DF117" i="7"/>
  <c r="DG117" i="7"/>
  <c r="DH117" i="7"/>
  <c r="DI117" i="7"/>
  <c r="DJ117" i="7"/>
  <c r="DK117" i="7"/>
  <c r="DL117" i="7"/>
  <c r="DM117" i="7"/>
  <c r="DN117" i="7"/>
  <c r="DB118" i="7"/>
  <c r="DC118" i="7"/>
  <c r="DD118" i="7"/>
  <c r="DE118" i="7"/>
  <c r="DF118" i="7"/>
  <c r="DG118" i="7"/>
  <c r="DH118" i="7"/>
  <c r="DI118" i="7"/>
  <c r="DJ118" i="7"/>
  <c r="DK118" i="7"/>
  <c r="DL118" i="7"/>
  <c r="DM118" i="7"/>
  <c r="DN118" i="7"/>
  <c r="DB119" i="7"/>
  <c r="DC119" i="7"/>
  <c r="DD119" i="7"/>
  <c r="DE119" i="7"/>
  <c r="DF119" i="7"/>
  <c r="DG119" i="7"/>
  <c r="DH119" i="7"/>
  <c r="DI119" i="7"/>
  <c r="DJ119" i="7"/>
  <c r="DK119" i="7"/>
  <c r="DL119" i="7"/>
  <c r="DM119" i="7"/>
  <c r="DN119" i="7"/>
  <c r="DB120" i="7"/>
  <c r="DC120" i="7"/>
  <c r="DD120" i="7"/>
  <c r="DE120" i="7"/>
  <c r="DF120" i="7"/>
  <c r="DG120" i="7"/>
  <c r="DH120" i="7"/>
  <c r="DI120" i="7"/>
  <c r="DJ120" i="7"/>
  <c r="DK120" i="7"/>
  <c r="DL120" i="7"/>
  <c r="DM120" i="7"/>
  <c r="DN120" i="7"/>
  <c r="DB121" i="7"/>
  <c r="DC121" i="7"/>
  <c r="DD121" i="7"/>
  <c r="DE121" i="7"/>
  <c r="DF121" i="7"/>
  <c r="DG121" i="7"/>
  <c r="DH121" i="7"/>
  <c r="DI121" i="7"/>
  <c r="DJ121" i="7"/>
  <c r="DK121" i="7"/>
  <c r="DL121" i="7"/>
  <c r="DM121" i="7"/>
  <c r="DN121" i="7"/>
  <c r="DB122" i="7"/>
  <c r="DC122" i="7"/>
  <c r="DD122" i="7"/>
  <c r="DE122" i="7"/>
  <c r="DF122" i="7"/>
  <c r="DG122" i="7"/>
  <c r="DH122" i="7"/>
  <c r="DI122" i="7"/>
  <c r="DJ122" i="7"/>
  <c r="DK122" i="7"/>
  <c r="DL122" i="7"/>
  <c r="DM122" i="7"/>
  <c r="DN122" i="7"/>
  <c r="DB123" i="7"/>
  <c r="DC123" i="7"/>
  <c r="DD123" i="7"/>
  <c r="DE123" i="7"/>
  <c r="DF123" i="7"/>
  <c r="DG123" i="7"/>
  <c r="DH123" i="7"/>
  <c r="DI123" i="7"/>
  <c r="DJ123" i="7"/>
  <c r="DK123" i="7"/>
  <c r="DL123" i="7"/>
  <c r="DM123" i="7"/>
  <c r="DN123" i="7"/>
  <c r="DB124" i="7"/>
  <c r="DC124" i="7"/>
  <c r="DD124" i="7"/>
  <c r="DE124" i="7"/>
  <c r="DF124" i="7"/>
  <c r="DG124" i="7"/>
  <c r="DH124" i="7"/>
  <c r="DI124" i="7"/>
  <c r="DJ124" i="7"/>
  <c r="DK124" i="7"/>
  <c r="DL124" i="7"/>
  <c r="DM124" i="7"/>
  <c r="DN124" i="7"/>
  <c r="DB125" i="7"/>
  <c r="DC125" i="7"/>
  <c r="DD125" i="7"/>
  <c r="DE125" i="7"/>
  <c r="DF125" i="7"/>
  <c r="DG125" i="7"/>
  <c r="DH125" i="7"/>
  <c r="DI125" i="7"/>
  <c r="DJ125" i="7"/>
  <c r="DK125" i="7"/>
  <c r="DL125" i="7"/>
  <c r="DM125" i="7"/>
  <c r="DN125" i="7"/>
  <c r="DB126" i="7"/>
  <c r="DC126" i="7"/>
  <c r="DD126" i="7"/>
  <c r="DE126" i="7"/>
  <c r="DF126" i="7"/>
  <c r="DG126" i="7"/>
  <c r="DH126" i="7"/>
  <c r="DI126" i="7"/>
  <c r="DJ126" i="7"/>
  <c r="DK126" i="7"/>
  <c r="DL126" i="7"/>
  <c r="DM126" i="7"/>
  <c r="DN126" i="7"/>
  <c r="CJ5" i="7"/>
  <c r="CK5" i="7"/>
  <c r="CL5" i="7"/>
  <c r="CM5" i="7"/>
  <c r="CN5" i="7"/>
  <c r="CO5" i="7"/>
  <c r="CP5" i="7"/>
  <c r="CQ5" i="7"/>
  <c r="CR5" i="7"/>
  <c r="CS5" i="7"/>
  <c r="CT5" i="7"/>
  <c r="CU5" i="7"/>
  <c r="CV5" i="7"/>
  <c r="CW5" i="7"/>
  <c r="CX5" i="7"/>
  <c r="CY5" i="7"/>
  <c r="CZ5" i="7"/>
  <c r="DA5" i="7"/>
  <c r="CJ6" i="7"/>
  <c r="CK6" i="7"/>
  <c r="CL6" i="7"/>
  <c r="CM6" i="7"/>
  <c r="CN6" i="7"/>
  <c r="CO6" i="7"/>
  <c r="CP6" i="7"/>
  <c r="CQ6" i="7"/>
  <c r="CR6" i="7"/>
  <c r="CS6" i="7"/>
  <c r="CT6" i="7"/>
  <c r="CU6" i="7"/>
  <c r="CV6" i="7"/>
  <c r="CW6" i="7"/>
  <c r="CX6" i="7"/>
  <c r="CY6" i="7"/>
  <c r="CZ6" i="7"/>
  <c r="DA6" i="7"/>
  <c r="CJ7" i="7"/>
  <c r="CK7" i="7"/>
  <c r="CL7" i="7"/>
  <c r="CM7" i="7"/>
  <c r="CN7" i="7"/>
  <c r="CO7" i="7"/>
  <c r="CP7" i="7"/>
  <c r="CQ7" i="7"/>
  <c r="CR7" i="7"/>
  <c r="CS7" i="7"/>
  <c r="CT7" i="7"/>
  <c r="CU7" i="7"/>
  <c r="CV7" i="7"/>
  <c r="CW7" i="7"/>
  <c r="CX7" i="7"/>
  <c r="CY7" i="7"/>
  <c r="CZ7" i="7"/>
  <c r="DA7" i="7"/>
  <c r="CJ8" i="7"/>
  <c r="CK8" i="7"/>
  <c r="CL8" i="7"/>
  <c r="CM8" i="7"/>
  <c r="CN8" i="7"/>
  <c r="CO8" i="7"/>
  <c r="CP8" i="7"/>
  <c r="CQ8" i="7"/>
  <c r="CR8" i="7"/>
  <c r="CS8" i="7"/>
  <c r="CT8" i="7"/>
  <c r="CU8" i="7"/>
  <c r="CV8" i="7"/>
  <c r="CW8" i="7"/>
  <c r="CX8" i="7"/>
  <c r="CY8" i="7"/>
  <c r="CZ8" i="7"/>
  <c r="DA8" i="7"/>
  <c r="CJ9" i="7"/>
  <c r="CK9" i="7"/>
  <c r="CL9" i="7"/>
  <c r="CM9" i="7"/>
  <c r="CN9" i="7"/>
  <c r="CO9" i="7"/>
  <c r="CP9" i="7"/>
  <c r="CQ9" i="7"/>
  <c r="CR9" i="7"/>
  <c r="CS9" i="7"/>
  <c r="CT9" i="7"/>
  <c r="CU9" i="7"/>
  <c r="CV9" i="7"/>
  <c r="CW9" i="7"/>
  <c r="CX9" i="7"/>
  <c r="CY9" i="7"/>
  <c r="CZ9" i="7"/>
  <c r="DA9" i="7"/>
  <c r="CJ10" i="7"/>
  <c r="CK10" i="7"/>
  <c r="CL10" i="7"/>
  <c r="CM10" i="7"/>
  <c r="CN10" i="7"/>
  <c r="CO10" i="7"/>
  <c r="CP10" i="7"/>
  <c r="CQ10" i="7"/>
  <c r="CR10" i="7"/>
  <c r="CS10" i="7"/>
  <c r="CT10" i="7"/>
  <c r="CU10" i="7"/>
  <c r="CV10" i="7"/>
  <c r="CW10" i="7"/>
  <c r="CX10" i="7"/>
  <c r="CY10" i="7"/>
  <c r="CZ10" i="7"/>
  <c r="DA10" i="7"/>
  <c r="CJ11" i="7"/>
  <c r="CK11" i="7"/>
  <c r="CL11" i="7"/>
  <c r="CM11" i="7"/>
  <c r="CN11" i="7"/>
  <c r="CO11" i="7"/>
  <c r="CP11" i="7"/>
  <c r="CQ11" i="7"/>
  <c r="CR11" i="7"/>
  <c r="CS11" i="7"/>
  <c r="CT11" i="7"/>
  <c r="CU11" i="7"/>
  <c r="CV11" i="7"/>
  <c r="CW11" i="7"/>
  <c r="CX11" i="7"/>
  <c r="CY11" i="7"/>
  <c r="CZ11" i="7"/>
  <c r="DA11" i="7"/>
  <c r="CJ12" i="7"/>
  <c r="CK12" i="7"/>
  <c r="CL12" i="7"/>
  <c r="CM12" i="7"/>
  <c r="CN12" i="7"/>
  <c r="CO12" i="7"/>
  <c r="CP12" i="7"/>
  <c r="CQ12" i="7"/>
  <c r="CR12" i="7"/>
  <c r="CS12" i="7"/>
  <c r="CT12" i="7"/>
  <c r="CU12" i="7"/>
  <c r="CV12" i="7"/>
  <c r="CW12" i="7"/>
  <c r="CX12" i="7"/>
  <c r="CY12" i="7"/>
  <c r="CZ12" i="7"/>
  <c r="DA12" i="7"/>
  <c r="CJ13" i="7"/>
  <c r="CK13" i="7"/>
  <c r="CL13" i="7"/>
  <c r="CM13" i="7"/>
  <c r="CN13" i="7"/>
  <c r="CO13" i="7"/>
  <c r="CP13" i="7"/>
  <c r="CQ13" i="7"/>
  <c r="CR13" i="7"/>
  <c r="CS13" i="7"/>
  <c r="CT13" i="7"/>
  <c r="CU13" i="7"/>
  <c r="CV13" i="7"/>
  <c r="CW13" i="7"/>
  <c r="CX13" i="7"/>
  <c r="CY13" i="7"/>
  <c r="CZ13" i="7"/>
  <c r="DA13" i="7"/>
  <c r="CJ14" i="7"/>
  <c r="CK14" i="7"/>
  <c r="CL14" i="7"/>
  <c r="CM14" i="7"/>
  <c r="CN14" i="7"/>
  <c r="CO14" i="7"/>
  <c r="CP14" i="7"/>
  <c r="CQ14" i="7"/>
  <c r="CR14" i="7"/>
  <c r="CS14" i="7"/>
  <c r="CT14" i="7"/>
  <c r="CU14" i="7"/>
  <c r="CV14" i="7"/>
  <c r="CW14" i="7"/>
  <c r="CX14" i="7"/>
  <c r="CY14" i="7"/>
  <c r="CZ14" i="7"/>
  <c r="DA14" i="7"/>
  <c r="CJ15" i="7"/>
  <c r="CK15" i="7"/>
  <c r="CL15" i="7"/>
  <c r="CM15" i="7"/>
  <c r="CN15" i="7"/>
  <c r="CO15" i="7"/>
  <c r="CP15" i="7"/>
  <c r="CQ15" i="7"/>
  <c r="CR15" i="7"/>
  <c r="CS15" i="7"/>
  <c r="CT15" i="7"/>
  <c r="CU15" i="7"/>
  <c r="CV15" i="7"/>
  <c r="CW15" i="7"/>
  <c r="CX15" i="7"/>
  <c r="CY15" i="7"/>
  <c r="CZ15" i="7"/>
  <c r="DA15" i="7"/>
  <c r="CJ16" i="7"/>
  <c r="CK16" i="7"/>
  <c r="CL16" i="7"/>
  <c r="CM16" i="7"/>
  <c r="CN16" i="7"/>
  <c r="CO16" i="7"/>
  <c r="CP16" i="7"/>
  <c r="CQ16" i="7"/>
  <c r="CR16" i="7"/>
  <c r="CS16" i="7"/>
  <c r="CT16" i="7"/>
  <c r="CU16" i="7"/>
  <c r="CV16" i="7"/>
  <c r="CW16" i="7"/>
  <c r="CX16" i="7"/>
  <c r="CY16" i="7"/>
  <c r="CZ16" i="7"/>
  <c r="DA16" i="7"/>
  <c r="CJ17" i="7"/>
  <c r="CK17" i="7"/>
  <c r="CL17" i="7"/>
  <c r="CM17" i="7"/>
  <c r="CN17" i="7"/>
  <c r="CO17" i="7"/>
  <c r="CP17" i="7"/>
  <c r="CQ17" i="7"/>
  <c r="CR17" i="7"/>
  <c r="CS17" i="7"/>
  <c r="CT17" i="7"/>
  <c r="CU17" i="7"/>
  <c r="CV17" i="7"/>
  <c r="CW17" i="7"/>
  <c r="CX17" i="7"/>
  <c r="CY17" i="7"/>
  <c r="CZ17" i="7"/>
  <c r="DA17" i="7"/>
  <c r="CJ18" i="7"/>
  <c r="CK18" i="7"/>
  <c r="CL18" i="7"/>
  <c r="CM18" i="7"/>
  <c r="CN18" i="7"/>
  <c r="CO18" i="7"/>
  <c r="CP18" i="7"/>
  <c r="CQ18" i="7"/>
  <c r="CR18" i="7"/>
  <c r="CS18" i="7"/>
  <c r="CT18" i="7"/>
  <c r="CU18" i="7"/>
  <c r="CV18" i="7"/>
  <c r="CW18" i="7"/>
  <c r="CX18" i="7"/>
  <c r="CY18" i="7"/>
  <c r="CZ18" i="7"/>
  <c r="DA18" i="7"/>
  <c r="CJ19" i="7"/>
  <c r="CK19" i="7"/>
  <c r="CL19" i="7"/>
  <c r="CM19" i="7"/>
  <c r="CN19" i="7"/>
  <c r="CO19" i="7"/>
  <c r="CP19" i="7"/>
  <c r="CQ19" i="7"/>
  <c r="CR19" i="7"/>
  <c r="CS19" i="7"/>
  <c r="CT19" i="7"/>
  <c r="CU19" i="7"/>
  <c r="CV19" i="7"/>
  <c r="CW19" i="7"/>
  <c r="CX19" i="7"/>
  <c r="CY19" i="7"/>
  <c r="CZ19" i="7"/>
  <c r="DA19" i="7"/>
  <c r="CJ20" i="7"/>
  <c r="CK20" i="7"/>
  <c r="CL20" i="7"/>
  <c r="CM20" i="7"/>
  <c r="CN20" i="7"/>
  <c r="CO20" i="7"/>
  <c r="CP20" i="7"/>
  <c r="CQ20" i="7"/>
  <c r="CR20" i="7"/>
  <c r="CS20" i="7"/>
  <c r="CT20" i="7"/>
  <c r="CU20" i="7"/>
  <c r="CV20" i="7"/>
  <c r="CW20" i="7"/>
  <c r="CX20" i="7"/>
  <c r="CY20" i="7"/>
  <c r="CZ20" i="7"/>
  <c r="DA20" i="7"/>
  <c r="CJ21" i="7"/>
  <c r="CK21" i="7"/>
  <c r="CL21" i="7"/>
  <c r="CM21" i="7"/>
  <c r="CN21" i="7"/>
  <c r="CO21" i="7"/>
  <c r="CP21" i="7"/>
  <c r="CQ21" i="7"/>
  <c r="CR21" i="7"/>
  <c r="CS21" i="7"/>
  <c r="CT21" i="7"/>
  <c r="CU21" i="7"/>
  <c r="CV21" i="7"/>
  <c r="CW21" i="7"/>
  <c r="CX21" i="7"/>
  <c r="CY21" i="7"/>
  <c r="CZ21" i="7"/>
  <c r="DA21" i="7"/>
  <c r="CJ22" i="7"/>
  <c r="CK22" i="7"/>
  <c r="CL22" i="7"/>
  <c r="CM22" i="7"/>
  <c r="CN22" i="7"/>
  <c r="CO22" i="7"/>
  <c r="CP22" i="7"/>
  <c r="CQ22" i="7"/>
  <c r="CR22" i="7"/>
  <c r="CS22" i="7"/>
  <c r="CT22" i="7"/>
  <c r="CU22" i="7"/>
  <c r="CV22" i="7"/>
  <c r="CW22" i="7"/>
  <c r="CX22" i="7"/>
  <c r="CY22" i="7"/>
  <c r="CZ22" i="7"/>
  <c r="DA22" i="7"/>
  <c r="CJ23" i="7"/>
  <c r="CK23" i="7"/>
  <c r="CL23" i="7"/>
  <c r="CM23" i="7"/>
  <c r="CN23" i="7"/>
  <c r="CO23" i="7"/>
  <c r="CP23" i="7"/>
  <c r="CQ23" i="7"/>
  <c r="CR23" i="7"/>
  <c r="CS23" i="7"/>
  <c r="CT23" i="7"/>
  <c r="CU23" i="7"/>
  <c r="CV23" i="7"/>
  <c r="CW23" i="7"/>
  <c r="CX23" i="7"/>
  <c r="CY23" i="7"/>
  <c r="CZ23" i="7"/>
  <c r="DA23" i="7"/>
  <c r="CJ24" i="7"/>
  <c r="CK24" i="7"/>
  <c r="CL24" i="7"/>
  <c r="CM24" i="7"/>
  <c r="CN24" i="7"/>
  <c r="CO24" i="7"/>
  <c r="CP24" i="7"/>
  <c r="CQ24" i="7"/>
  <c r="CR24" i="7"/>
  <c r="CS24" i="7"/>
  <c r="CT24" i="7"/>
  <c r="CU24" i="7"/>
  <c r="CV24" i="7"/>
  <c r="CW24" i="7"/>
  <c r="CX24" i="7"/>
  <c r="CY24" i="7"/>
  <c r="CZ24" i="7"/>
  <c r="DA24" i="7"/>
  <c r="CJ25" i="7"/>
  <c r="CK25" i="7"/>
  <c r="CL25" i="7"/>
  <c r="CM25" i="7"/>
  <c r="CN25" i="7"/>
  <c r="CO25" i="7"/>
  <c r="CP25" i="7"/>
  <c r="CQ25" i="7"/>
  <c r="CR25" i="7"/>
  <c r="CS25" i="7"/>
  <c r="CT25" i="7"/>
  <c r="CU25" i="7"/>
  <c r="CV25" i="7"/>
  <c r="CW25" i="7"/>
  <c r="CX25" i="7"/>
  <c r="CY25" i="7"/>
  <c r="CZ25" i="7"/>
  <c r="DA25" i="7"/>
  <c r="CJ26" i="7"/>
  <c r="CK26" i="7"/>
  <c r="CL26" i="7"/>
  <c r="CM26" i="7"/>
  <c r="CN26" i="7"/>
  <c r="CO26" i="7"/>
  <c r="CP26" i="7"/>
  <c r="CQ26" i="7"/>
  <c r="CR26" i="7"/>
  <c r="CS26" i="7"/>
  <c r="CT26" i="7"/>
  <c r="CU26" i="7"/>
  <c r="CV26" i="7"/>
  <c r="CW26" i="7"/>
  <c r="CX26" i="7"/>
  <c r="CY26" i="7"/>
  <c r="CZ26" i="7"/>
  <c r="DA26" i="7"/>
  <c r="CJ27" i="7"/>
  <c r="CK27" i="7"/>
  <c r="CL27" i="7"/>
  <c r="CM27" i="7"/>
  <c r="CN27" i="7"/>
  <c r="CO27" i="7"/>
  <c r="CP27" i="7"/>
  <c r="CQ27" i="7"/>
  <c r="CR27" i="7"/>
  <c r="CS27" i="7"/>
  <c r="CT27" i="7"/>
  <c r="CU27" i="7"/>
  <c r="CV27" i="7"/>
  <c r="CW27" i="7"/>
  <c r="CX27" i="7"/>
  <c r="CY27" i="7"/>
  <c r="CZ27" i="7"/>
  <c r="DA27" i="7"/>
  <c r="CJ28" i="7"/>
  <c r="CK28" i="7"/>
  <c r="CL28" i="7"/>
  <c r="CM28" i="7"/>
  <c r="CN28" i="7"/>
  <c r="CO28" i="7"/>
  <c r="CP28" i="7"/>
  <c r="CQ28" i="7"/>
  <c r="CR28" i="7"/>
  <c r="CS28" i="7"/>
  <c r="CT28" i="7"/>
  <c r="CU28" i="7"/>
  <c r="CV28" i="7"/>
  <c r="CW28" i="7"/>
  <c r="CX28" i="7"/>
  <c r="CY28" i="7"/>
  <c r="CZ28" i="7"/>
  <c r="DA28" i="7"/>
  <c r="CJ29" i="7"/>
  <c r="CK29" i="7"/>
  <c r="CL29" i="7"/>
  <c r="CM29" i="7"/>
  <c r="CN29" i="7"/>
  <c r="CO29" i="7"/>
  <c r="CP29" i="7"/>
  <c r="CQ29" i="7"/>
  <c r="CR29" i="7"/>
  <c r="CS29" i="7"/>
  <c r="CT29" i="7"/>
  <c r="CU29" i="7"/>
  <c r="CV29" i="7"/>
  <c r="CW29" i="7"/>
  <c r="CX29" i="7"/>
  <c r="CY29" i="7"/>
  <c r="CZ29" i="7"/>
  <c r="DA29" i="7"/>
  <c r="CJ30" i="7"/>
  <c r="CK30" i="7"/>
  <c r="CL30" i="7"/>
  <c r="CM30" i="7"/>
  <c r="CN30" i="7"/>
  <c r="CO30" i="7"/>
  <c r="CP30" i="7"/>
  <c r="CQ30" i="7"/>
  <c r="CR30" i="7"/>
  <c r="CS30" i="7"/>
  <c r="CT30" i="7"/>
  <c r="CU30" i="7"/>
  <c r="CV30" i="7"/>
  <c r="CW30" i="7"/>
  <c r="CX30" i="7"/>
  <c r="CY30" i="7"/>
  <c r="CZ30" i="7"/>
  <c r="DA30" i="7"/>
  <c r="CJ31" i="7"/>
  <c r="CK31" i="7"/>
  <c r="CL31" i="7"/>
  <c r="CM31" i="7"/>
  <c r="CN31" i="7"/>
  <c r="CO31" i="7"/>
  <c r="CP31" i="7"/>
  <c r="CQ31" i="7"/>
  <c r="CR31" i="7"/>
  <c r="CS31" i="7"/>
  <c r="CT31" i="7"/>
  <c r="CU31" i="7"/>
  <c r="CV31" i="7"/>
  <c r="CW31" i="7"/>
  <c r="CX31" i="7"/>
  <c r="CY31" i="7"/>
  <c r="CZ31" i="7"/>
  <c r="DA31" i="7"/>
  <c r="CJ32" i="7"/>
  <c r="CK32" i="7"/>
  <c r="CL32" i="7"/>
  <c r="CM32" i="7"/>
  <c r="CN32" i="7"/>
  <c r="CO32" i="7"/>
  <c r="CP32" i="7"/>
  <c r="CQ32" i="7"/>
  <c r="CR32" i="7"/>
  <c r="CS32" i="7"/>
  <c r="CT32" i="7"/>
  <c r="CU32" i="7"/>
  <c r="CV32" i="7"/>
  <c r="CW32" i="7"/>
  <c r="CX32" i="7"/>
  <c r="CY32" i="7"/>
  <c r="CZ32" i="7"/>
  <c r="DA32" i="7"/>
  <c r="CJ33" i="7"/>
  <c r="CK33" i="7"/>
  <c r="CL33" i="7"/>
  <c r="CM33" i="7"/>
  <c r="CN33" i="7"/>
  <c r="CO33" i="7"/>
  <c r="CP33" i="7"/>
  <c r="CQ33" i="7"/>
  <c r="CR33" i="7"/>
  <c r="CS33" i="7"/>
  <c r="CT33" i="7"/>
  <c r="CU33" i="7"/>
  <c r="CV33" i="7"/>
  <c r="CW33" i="7"/>
  <c r="CX33" i="7"/>
  <c r="CY33" i="7"/>
  <c r="CZ33" i="7"/>
  <c r="DA33" i="7"/>
  <c r="CJ34" i="7"/>
  <c r="CK34" i="7"/>
  <c r="CL34" i="7"/>
  <c r="CM34" i="7"/>
  <c r="CN34" i="7"/>
  <c r="CO34" i="7"/>
  <c r="CP34" i="7"/>
  <c r="CQ34" i="7"/>
  <c r="CR34" i="7"/>
  <c r="CS34" i="7"/>
  <c r="CT34" i="7"/>
  <c r="CU34" i="7"/>
  <c r="CV34" i="7"/>
  <c r="CW34" i="7"/>
  <c r="CX34" i="7"/>
  <c r="CY34" i="7"/>
  <c r="CZ34" i="7"/>
  <c r="DA34" i="7"/>
  <c r="CJ35" i="7"/>
  <c r="CK35" i="7"/>
  <c r="CL35" i="7"/>
  <c r="CM35" i="7"/>
  <c r="CN35" i="7"/>
  <c r="CO35" i="7"/>
  <c r="CP35" i="7"/>
  <c r="CQ35" i="7"/>
  <c r="CR35" i="7"/>
  <c r="CS35" i="7"/>
  <c r="CT35" i="7"/>
  <c r="CU35" i="7"/>
  <c r="CV35" i="7"/>
  <c r="CW35" i="7"/>
  <c r="CX35" i="7"/>
  <c r="CY35" i="7"/>
  <c r="CZ35" i="7"/>
  <c r="DA35" i="7"/>
  <c r="CJ36" i="7"/>
  <c r="CK36" i="7"/>
  <c r="CL36" i="7"/>
  <c r="CM36" i="7"/>
  <c r="CN36" i="7"/>
  <c r="CO36" i="7"/>
  <c r="CP36" i="7"/>
  <c r="CQ36" i="7"/>
  <c r="CR36" i="7"/>
  <c r="CS36" i="7"/>
  <c r="CT36" i="7"/>
  <c r="CU36" i="7"/>
  <c r="CV36" i="7"/>
  <c r="CW36" i="7"/>
  <c r="CX36" i="7"/>
  <c r="CY36" i="7"/>
  <c r="CZ36" i="7"/>
  <c r="DA36" i="7"/>
  <c r="CJ37" i="7"/>
  <c r="CK37" i="7"/>
  <c r="CL37" i="7"/>
  <c r="CM37" i="7"/>
  <c r="CN37" i="7"/>
  <c r="CO37" i="7"/>
  <c r="CP37" i="7"/>
  <c r="CQ37" i="7"/>
  <c r="CR37" i="7"/>
  <c r="CS37" i="7"/>
  <c r="CT37" i="7"/>
  <c r="CU37" i="7"/>
  <c r="CV37" i="7"/>
  <c r="CW37" i="7"/>
  <c r="CX37" i="7"/>
  <c r="CY37" i="7"/>
  <c r="CZ37" i="7"/>
  <c r="DA37" i="7"/>
  <c r="CJ38" i="7"/>
  <c r="CK38" i="7"/>
  <c r="CL38" i="7"/>
  <c r="CM38" i="7"/>
  <c r="CN38" i="7"/>
  <c r="CO38" i="7"/>
  <c r="CP38" i="7"/>
  <c r="CQ38" i="7"/>
  <c r="CR38" i="7"/>
  <c r="CS38" i="7"/>
  <c r="CT38" i="7"/>
  <c r="CU38" i="7"/>
  <c r="CV38" i="7"/>
  <c r="CW38" i="7"/>
  <c r="CX38" i="7"/>
  <c r="CY38" i="7"/>
  <c r="CZ38" i="7"/>
  <c r="DA38" i="7"/>
  <c r="CJ39" i="7"/>
  <c r="CK39" i="7"/>
  <c r="CL39" i="7"/>
  <c r="CM39" i="7"/>
  <c r="CN39" i="7"/>
  <c r="CO39" i="7"/>
  <c r="CP39" i="7"/>
  <c r="CQ39" i="7"/>
  <c r="CR39" i="7"/>
  <c r="CS39" i="7"/>
  <c r="CT39" i="7"/>
  <c r="CU39" i="7"/>
  <c r="CV39" i="7"/>
  <c r="CW39" i="7"/>
  <c r="CX39" i="7"/>
  <c r="CY39" i="7"/>
  <c r="CZ39" i="7"/>
  <c r="DA39" i="7"/>
  <c r="CJ40" i="7"/>
  <c r="CK40" i="7"/>
  <c r="CL40" i="7"/>
  <c r="CM40" i="7"/>
  <c r="CN40" i="7"/>
  <c r="CO40" i="7"/>
  <c r="CP40" i="7"/>
  <c r="CQ40" i="7"/>
  <c r="CR40" i="7"/>
  <c r="CS40" i="7"/>
  <c r="CT40" i="7"/>
  <c r="CU40" i="7"/>
  <c r="CV40" i="7"/>
  <c r="CW40" i="7"/>
  <c r="CX40" i="7"/>
  <c r="CY40" i="7"/>
  <c r="CZ40" i="7"/>
  <c r="DA40" i="7"/>
  <c r="CJ41" i="7"/>
  <c r="CK41" i="7"/>
  <c r="CL41" i="7"/>
  <c r="CM41" i="7"/>
  <c r="CN41" i="7"/>
  <c r="CO41" i="7"/>
  <c r="CP41" i="7"/>
  <c r="CQ41" i="7"/>
  <c r="CR41" i="7"/>
  <c r="CS41" i="7"/>
  <c r="CT41" i="7"/>
  <c r="CU41" i="7"/>
  <c r="CV41" i="7"/>
  <c r="CW41" i="7"/>
  <c r="CX41" i="7"/>
  <c r="CY41" i="7"/>
  <c r="CZ41" i="7"/>
  <c r="DA41" i="7"/>
  <c r="CJ42" i="7"/>
  <c r="CK42" i="7"/>
  <c r="CL42" i="7"/>
  <c r="CM42" i="7"/>
  <c r="CN42" i="7"/>
  <c r="CO42" i="7"/>
  <c r="CP42" i="7"/>
  <c r="CQ42" i="7"/>
  <c r="CR42" i="7"/>
  <c r="CS42" i="7"/>
  <c r="CT42" i="7"/>
  <c r="CU42" i="7"/>
  <c r="CV42" i="7"/>
  <c r="CW42" i="7"/>
  <c r="CX42" i="7"/>
  <c r="CY42" i="7"/>
  <c r="CZ42" i="7"/>
  <c r="DA42" i="7"/>
  <c r="CJ43" i="7"/>
  <c r="CK43" i="7"/>
  <c r="CL43" i="7"/>
  <c r="CM43" i="7"/>
  <c r="CN43" i="7"/>
  <c r="CO43" i="7"/>
  <c r="CP43" i="7"/>
  <c r="CQ43" i="7"/>
  <c r="CR43" i="7"/>
  <c r="CS43" i="7"/>
  <c r="CT43" i="7"/>
  <c r="CU43" i="7"/>
  <c r="CV43" i="7"/>
  <c r="CW43" i="7"/>
  <c r="CX43" i="7"/>
  <c r="CY43" i="7"/>
  <c r="CZ43" i="7"/>
  <c r="DA43" i="7"/>
  <c r="CJ44" i="7"/>
  <c r="CK44" i="7"/>
  <c r="CL44" i="7"/>
  <c r="CM44" i="7"/>
  <c r="CN44" i="7"/>
  <c r="CO44" i="7"/>
  <c r="CP44" i="7"/>
  <c r="CQ44" i="7"/>
  <c r="CR44" i="7"/>
  <c r="CS44" i="7"/>
  <c r="CT44" i="7"/>
  <c r="CU44" i="7"/>
  <c r="CV44" i="7"/>
  <c r="CW44" i="7"/>
  <c r="CX44" i="7"/>
  <c r="CY44" i="7"/>
  <c r="CZ44" i="7"/>
  <c r="DA44" i="7"/>
  <c r="CJ45" i="7"/>
  <c r="CK45" i="7"/>
  <c r="CL45" i="7"/>
  <c r="CM45" i="7"/>
  <c r="CN45" i="7"/>
  <c r="CO45" i="7"/>
  <c r="CP45" i="7"/>
  <c r="CQ45" i="7"/>
  <c r="CR45" i="7"/>
  <c r="CS45" i="7"/>
  <c r="CT45" i="7"/>
  <c r="CU45" i="7"/>
  <c r="CV45" i="7"/>
  <c r="CW45" i="7"/>
  <c r="CX45" i="7"/>
  <c r="CY45" i="7"/>
  <c r="CZ45" i="7"/>
  <c r="DA45" i="7"/>
  <c r="CJ46" i="7"/>
  <c r="CK46" i="7"/>
  <c r="CL46" i="7"/>
  <c r="CM46" i="7"/>
  <c r="CN46" i="7"/>
  <c r="CO46" i="7"/>
  <c r="CP46" i="7"/>
  <c r="CQ46" i="7"/>
  <c r="CR46" i="7"/>
  <c r="CS46" i="7"/>
  <c r="CT46" i="7"/>
  <c r="CU46" i="7"/>
  <c r="CV46" i="7"/>
  <c r="CW46" i="7"/>
  <c r="CX46" i="7"/>
  <c r="CY46" i="7"/>
  <c r="CZ46" i="7"/>
  <c r="DA46" i="7"/>
  <c r="CJ47" i="7"/>
  <c r="CK47" i="7"/>
  <c r="CL47" i="7"/>
  <c r="CM47" i="7"/>
  <c r="CN47" i="7"/>
  <c r="CO47" i="7"/>
  <c r="CP47" i="7"/>
  <c r="CQ47" i="7"/>
  <c r="CR47" i="7"/>
  <c r="CS47" i="7"/>
  <c r="CT47" i="7"/>
  <c r="CU47" i="7"/>
  <c r="CV47" i="7"/>
  <c r="CW47" i="7"/>
  <c r="CX47" i="7"/>
  <c r="CY47" i="7"/>
  <c r="CZ47" i="7"/>
  <c r="DA47" i="7"/>
  <c r="CJ48" i="7"/>
  <c r="CK48" i="7"/>
  <c r="CL48" i="7"/>
  <c r="CM48" i="7"/>
  <c r="CN48" i="7"/>
  <c r="CO48" i="7"/>
  <c r="CP48" i="7"/>
  <c r="CQ48" i="7"/>
  <c r="CR48" i="7"/>
  <c r="CS48" i="7"/>
  <c r="CT48" i="7"/>
  <c r="CU48" i="7"/>
  <c r="CV48" i="7"/>
  <c r="CW48" i="7"/>
  <c r="CX48" i="7"/>
  <c r="CY48" i="7"/>
  <c r="CZ48" i="7"/>
  <c r="DA48" i="7"/>
  <c r="CJ49" i="7"/>
  <c r="CK49" i="7"/>
  <c r="CL49" i="7"/>
  <c r="CM49" i="7"/>
  <c r="CN49" i="7"/>
  <c r="CO49" i="7"/>
  <c r="CP49" i="7"/>
  <c r="CQ49" i="7"/>
  <c r="CR49" i="7"/>
  <c r="CS49" i="7"/>
  <c r="CT49" i="7"/>
  <c r="CU49" i="7"/>
  <c r="CV49" i="7"/>
  <c r="CW49" i="7"/>
  <c r="CX49" i="7"/>
  <c r="CY49" i="7"/>
  <c r="CZ49" i="7"/>
  <c r="DA49" i="7"/>
  <c r="CJ50" i="7"/>
  <c r="CK50" i="7"/>
  <c r="CL50" i="7"/>
  <c r="CM50" i="7"/>
  <c r="CN50" i="7"/>
  <c r="CO50" i="7"/>
  <c r="CP50" i="7"/>
  <c r="CQ50" i="7"/>
  <c r="CR50" i="7"/>
  <c r="CS50" i="7"/>
  <c r="CT50" i="7"/>
  <c r="CU50" i="7"/>
  <c r="CV50" i="7"/>
  <c r="CW50" i="7"/>
  <c r="CX50" i="7"/>
  <c r="CY50" i="7"/>
  <c r="CZ50" i="7"/>
  <c r="DA50" i="7"/>
  <c r="CJ51" i="7"/>
  <c r="CK51" i="7"/>
  <c r="CL51" i="7"/>
  <c r="CM51" i="7"/>
  <c r="CN51" i="7"/>
  <c r="CO51" i="7"/>
  <c r="CP51" i="7"/>
  <c r="CQ51" i="7"/>
  <c r="CR51" i="7"/>
  <c r="CS51" i="7"/>
  <c r="CT51" i="7"/>
  <c r="CU51" i="7"/>
  <c r="CV51" i="7"/>
  <c r="CW51" i="7"/>
  <c r="CX51" i="7"/>
  <c r="CY51" i="7"/>
  <c r="CZ51" i="7"/>
  <c r="DA51" i="7"/>
  <c r="CJ52" i="7"/>
  <c r="CK52" i="7"/>
  <c r="CL52" i="7"/>
  <c r="CM52" i="7"/>
  <c r="CN52" i="7"/>
  <c r="CO52" i="7"/>
  <c r="CP52" i="7"/>
  <c r="CQ52" i="7"/>
  <c r="CR52" i="7"/>
  <c r="CS52" i="7"/>
  <c r="CT52" i="7"/>
  <c r="CU52" i="7"/>
  <c r="CV52" i="7"/>
  <c r="CW52" i="7"/>
  <c r="CX52" i="7"/>
  <c r="CY52" i="7"/>
  <c r="CZ52" i="7"/>
  <c r="DA52" i="7"/>
  <c r="CJ53" i="7"/>
  <c r="CK53" i="7"/>
  <c r="CL53" i="7"/>
  <c r="CM53" i="7"/>
  <c r="CN53" i="7"/>
  <c r="CO53" i="7"/>
  <c r="CP53" i="7"/>
  <c r="CQ53" i="7"/>
  <c r="CR53" i="7"/>
  <c r="CS53" i="7"/>
  <c r="CT53" i="7"/>
  <c r="CU53" i="7"/>
  <c r="CV53" i="7"/>
  <c r="CW53" i="7"/>
  <c r="CX53" i="7"/>
  <c r="CY53" i="7"/>
  <c r="CZ53" i="7"/>
  <c r="DA53" i="7"/>
  <c r="CJ54" i="7"/>
  <c r="CK54" i="7"/>
  <c r="CL54" i="7"/>
  <c r="CM54" i="7"/>
  <c r="CN54" i="7"/>
  <c r="CO54" i="7"/>
  <c r="CP54" i="7"/>
  <c r="CQ54" i="7"/>
  <c r="CR54" i="7"/>
  <c r="CS54" i="7"/>
  <c r="CT54" i="7"/>
  <c r="CU54" i="7"/>
  <c r="CV54" i="7"/>
  <c r="CW54" i="7"/>
  <c r="CX54" i="7"/>
  <c r="CY54" i="7"/>
  <c r="CZ54" i="7"/>
  <c r="DA54" i="7"/>
  <c r="CJ55" i="7"/>
  <c r="CK55" i="7"/>
  <c r="CL55" i="7"/>
  <c r="CM55" i="7"/>
  <c r="CN55" i="7"/>
  <c r="CO55" i="7"/>
  <c r="CP55" i="7"/>
  <c r="CQ55" i="7"/>
  <c r="CR55" i="7"/>
  <c r="CS55" i="7"/>
  <c r="CT55" i="7"/>
  <c r="CU55" i="7"/>
  <c r="CV55" i="7"/>
  <c r="CW55" i="7"/>
  <c r="CX55" i="7"/>
  <c r="CY55" i="7"/>
  <c r="CZ55" i="7"/>
  <c r="DA55" i="7"/>
  <c r="CJ56" i="7"/>
  <c r="CK56" i="7"/>
  <c r="CL56" i="7"/>
  <c r="CM56" i="7"/>
  <c r="CN56" i="7"/>
  <c r="CO56" i="7"/>
  <c r="CP56" i="7"/>
  <c r="CQ56" i="7"/>
  <c r="CR56" i="7"/>
  <c r="CS56" i="7"/>
  <c r="CT56" i="7"/>
  <c r="CU56" i="7"/>
  <c r="CV56" i="7"/>
  <c r="CW56" i="7"/>
  <c r="CX56" i="7"/>
  <c r="CY56" i="7"/>
  <c r="CZ56" i="7"/>
  <c r="DA56" i="7"/>
  <c r="CJ57" i="7"/>
  <c r="CK57" i="7"/>
  <c r="CL57" i="7"/>
  <c r="CM57" i="7"/>
  <c r="CN57" i="7"/>
  <c r="CO57" i="7"/>
  <c r="CP57" i="7"/>
  <c r="CQ57" i="7"/>
  <c r="CR57" i="7"/>
  <c r="CS57" i="7"/>
  <c r="CT57" i="7"/>
  <c r="CU57" i="7"/>
  <c r="CV57" i="7"/>
  <c r="CW57" i="7"/>
  <c r="CX57" i="7"/>
  <c r="CY57" i="7"/>
  <c r="CZ57" i="7"/>
  <c r="DA57" i="7"/>
  <c r="CJ58" i="7"/>
  <c r="CK58" i="7"/>
  <c r="CL58" i="7"/>
  <c r="CM58" i="7"/>
  <c r="CN58" i="7"/>
  <c r="CO58" i="7"/>
  <c r="CP58" i="7"/>
  <c r="CQ58" i="7"/>
  <c r="CR58" i="7"/>
  <c r="CS58" i="7"/>
  <c r="CT58" i="7"/>
  <c r="CU58" i="7"/>
  <c r="CV58" i="7"/>
  <c r="CW58" i="7"/>
  <c r="CX58" i="7"/>
  <c r="CY58" i="7"/>
  <c r="CZ58" i="7"/>
  <c r="DA58" i="7"/>
  <c r="CJ59" i="7"/>
  <c r="CK59" i="7"/>
  <c r="CL59" i="7"/>
  <c r="CM59" i="7"/>
  <c r="CN59" i="7"/>
  <c r="CO59" i="7"/>
  <c r="CP59" i="7"/>
  <c r="CQ59" i="7"/>
  <c r="CR59" i="7"/>
  <c r="CS59" i="7"/>
  <c r="CT59" i="7"/>
  <c r="CU59" i="7"/>
  <c r="CV59" i="7"/>
  <c r="CW59" i="7"/>
  <c r="CX59" i="7"/>
  <c r="CY59" i="7"/>
  <c r="CZ59" i="7"/>
  <c r="DA59" i="7"/>
  <c r="CJ60" i="7"/>
  <c r="CK60" i="7"/>
  <c r="CL60" i="7"/>
  <c r="CM60" i="7"/>
  <c r="CN60" i="7"/>
  <c r="CO60" i="7"/>
  <c r="CP60" i="7"/>
  <c r="CQ60" i="7"/>
  <c r="CR60" i="7"/>
  <c r="CS60" i="7"/>
  <c r="CT60" i="7"/>
  <c r="CU60" i="7"/>
  <c r="CV60" i="7"/>
  <c r="CW60" i="7"/>
  <c r="CX60" i="7"/>
  <c r="CY60" i="7"/>
  <c r="CZ60" i="7"/>
  <c r="DA60" i="7"/>
  <c r="CJ61" i="7"/>
  <c r="CK61" i="7"/>
  <c r="CL61" i="7"/>
  <c r="CM61" i="7"/>
  <c r="CN61" i="7"/>
  <c r="CO61" i="7"/>
  <c r="CP61" i="7"/>
  <c r="CQ61" i="7"/>
  <c r="CR61" i="7"/>
  <c r="CS61" i="7"/>
  <c r="CT61" i="7"/>
  <c r="CU61" i="7"/>
  <c r="CV61" i="7"/>
  <c r="CW61" i="7"/>
  <c r="CX61" i="7"/>
  <c r="CY61" i="7"/>
  <c r="CZ61" i="7"/>
  <c r="DA61" i="7"/>
  <c r="CJ62" i="7"/>
  <c r="CK62" i="7"/>
  <c r="CL62" i="7"/>
  <c r="CM62" i="7"/>
  <c r="CN62" i="7"/>
  <c r="CO62" i="7"/>
  <c r="CP62" i="7"/>
  <c r="CQ62" i="7"/>
  <c r="CR62" i="7"/>
  <c r="CS62" i="7"/>
  <c r="CT62" i="7"/>
  <c r="CU62" i="7"/>
  <c r="CV62" i="7"/>
  <c r="CW62" i="7"/>
  <c r="CX62" i="7"/>
  <c r="CY62" i="7"/>
  <c r="CZ62" i="7"/>
  <c r="DA62" i="7"/>
  <c r="CJ63" i="7"/>
  <c r="CK63" i="7"/>
  <c r="CL63" i="7"/>
  <c r="CM63" i="7"/>
  <c r="CN63" i="7"/>
  <c r="CO63" i="7"/>
  <c r="CP63" i="7"/>
  <c r="CQ63" i="7"/>
  <c r="CR63" i="7"/>
  <c r="CS63" i="7"/>
  <c r="CT63" i="7"/>
  <c r="CU63" i="7"/>
  <c r="CV63" i="7"/>
  <c r="CW63" i="7"/>
  <c r="CX63" i="7"/>
  <c r="CY63" i="7"/>
  <c r="CZ63" i="7"/>
  <c r="DA63" i="7"/>
  <c r="CJ64" i="7"/>
  <c r="CK64" i="7"/>
  <c r="CL64" i="7"/>
  <c r="CM64" i="7"/>
  <c r="CN64" i="7"/>
  <c r="CO64" i="7"/>
  <c r="CP64" i="7"/>
  <c r="CQ64" i="7"/>
  <c r="CR64" i="7"/>
  <c r="CS64" i="7"/>
  <c r="CT64" i="7"/>
  <c r="CU64" i="7"/>
  <c r="CV64" i="7"/>
  <c r="CW64" i="7"/>
  <c r="CX64" i="7"/>
  <c r="CY64" i="7"/>
  <c r="CZ64" i="7"/>
  <c r="DA64" i="7"/>
  <c r="CJ65" i="7"/>
  <c r="CK65" i="7"/>
  <c r="CL65" i="7"/>
  <c r="CM65" i="7"/>
  <c r="CN65" i="7"/>
  <c r="CO65" i="7"/>
  <c r="CP65" i="7"/>
  <c r="CQ65" i="7"/>
  <c r="CR65" i="7"/>
  <c r="CS65" i="7"/>
  <c r="CT65" i="7"/>
  <c r="CU65" i="7"/>
  <c r="CV65" i="7"/>
  <c r="CW65" i="7"/>
  <c r="CX65" i="7"/>
  <c r="CY65" i="7"/>
  <c r="CZ65" i="7"/>
  <c r="DA65" i="7"/>
  <c r="CJ66" i="7"/>
  <c r="CK66" i="7"/>
  <c r="CL66" i="7"/>
  <c r="CM66" i="7"/>
  <c r="CN66" i="7"/>
  <c r="CO66" i="7"/>
  <c r="CP66" i="7"/>
  <c r="CQ66" i="7"/>
  <c r="CR66" i="7"/>
  <c r="CS66" i="7"/>
  <c r="CT66" i="7"/>
  <c r="CU66" i="7"/>
  <c r="CV66" i="7"/>
  <c r="CW66" i="7"/>
  <c r="CX66" i="7"/>
  <c r="CY66" i="7"/>
  <c r="CZ66" i="7"/>
  <c r="DA66" i="7"/>
  <c r="CJ67" i="7"/>
  <c r="CK67" i="7"/>
  <c r="CL67" i="7"/>
  <c r="CM67" i="7"/>
  <c r="CN67" i="7"/>
  <c r="CO67" i="7"/>
  <c r="CP67" i="7"/>
  <c r="CQ67" i="7"/>
  <c r="CR67" i="7"/>
  <c r="CS67" i="7"/>
  <c r="CT67" i="7"/>
  <c r="CU67" i="7"/>
  <c r="CV67" i="7"/>
  <c r="CW67" i="7"/>
  <c r="CX67" i="7"/>
  <c r="CY67" i="7"/>
  <c r="CZ67" i="7"/>
  <c r="DA67" i="7"/>
  <c r="CJ68" i="7"/>
  <c r="CK68" i="7"/>
  <c r="CL68" i="7"/>
  <c r="CM68" i="7"/>
  <c r="CN68" i="7"/>
  <c r="CO68" i="7"/>
  <c r="CP68" i="7"/>
  <c r="CQ68" i="7"/>
  <c r="CR68" i="7"/>
  <c r="CS68" i="7"/>
  <c r="CT68" i="7"/>
  <c r="CU68" i="7"/>
  <c r="CV68" i="7"/>
  <c r="CW68" i="7"/>
  <c r="CX68" i="7"/>
  <c r="CY68" i="7"/>
  <c r="CZ68" i="7"/>
  <c r="DA68" i="7"/>
  <c r="CJ69" i="7"/>
  <c r="CK69" i="7"/>
  <c r="CL69" i="7"/>
  <c r="CM69" i="7"/>
  <c r="CN69" i="7"/>
  <c r="CO69" i="7"/>
  <c r="CP69" i="7"/>
  <c r="CQ69" i="7"/>
  <c r="CR69" i="7"/>
  <c r="CS69" i="7"/>
  <c r="CT69" i="7"/>
  <c r="CU69" i="7"/>
  <c r="CV69" i="7"/>
  <c r="CW69" i="7"/>
  <c r="CX69" i="7"/>
  <c r="CY69" i="7"/>
  <c r="CZ69" i="7"/>
  <c r="DA69" i="7"/>
  <c r="CJ70" i="7"/>
  <c r="CK70" i="7"/>
  <c r="CL70" i="7"/>
  <c r="CM70" i="7"/>
  <c r="CN70" i="7"/>
  <c r="CO70" i="7"/>
  <c r="CP70" i="7"/>
  <c r="CQ70" i="7"/>
  <c r="CR70" i="7"/>
  <c r="CS70" i="7"/>
  <c r="CT70" i="7"/>
  <c r="CU70" i="7"/>
  <c r="CV70" i="7"/>
  <c r="CW70" i="7"/>
  <c r="CX70" i="7"/>
  <c r="CY70" i="7"/>
  <c r="CZ70" i="7"/>
  <c r="DA70" i="7"/>
  <c r="CJ71" i="7"/>
  <c r="CK71" i="7"/>
  <c r="CL71" i="7"/>
  <c r="CM71" i="7"/>
  <c r="CN71" i="7"/>
  <c r="CO71" i="7"/>
  <c r="CP71" i="7"/>
  <c r="CQ71" i="7"/>
  <c r="CR71" i="7"/>
  <c r="CS71" i="7"/>
  <c r="CT71" i="7"/>
  <c r="CU71" i="7"/>
  <c r="CV71" i="7"/>
  <c r="CW71" i="7"/>
  <c r="CX71" i="7"/>
  <c r="CY71" i="7"/>
  <c r="CZ71" i="7"/>
  <c r="DA71" i="7"/>
  <c r="CJ72" i="7"/>
  <c r="CK72" i="7"/>
  <c r="CL72" i="7"/>
  <c r="CM72" i="7"/>
  <c r="CN72" i="7"/>
  <c r="CO72" i="7"/>
  <c r="CP72" i="7"/>
  <c r="CQ72" i="7"/>
  <c r="CR72" i="7"/>
  <c r="CS72" i="7"/>
  <c r="CT72" i="7"/>
  <c r="CU72" i="7"/>
  <c r="CV72" i="7"/>
  <c r="CW72" i="7"/>
  <c r="CX72" i="7"/>
  <c r="CY72" i="7"/>
  <c r="CZ72" i="7"/>
  <c r="DA72" i="7"/>
  <c r="CJ73" i="7"/>
  <c r="CK73" i="7"/>
  <c r="CL73" i="7"/>
  <c r="CM73" i="7"/>
  <c r="CN73" i="7"/>
  <c r="CO73" i="7"/>
  <c r="CP73" i="7"/>
  <c r="CQ73" i="7"/>
  <c r="CR73" i="7"/>
  <c r="CS73" i="7"/>
  <c r="CT73" i="7"/>
  <c r="CU73" i="7"/>
  <c r="CV73" i="7"/>
  <c r="CW73" i="7"/>
  <c r="CX73" i="7"/>
  <c r="CY73" i="7"/>
  <c r="CZ73" i="7"/>
  <c r="DA73" i="7"/>
  <c r="CJ74" i="7"/>
  <c r="CK74" i="7"/>
  <c r="CL74" i="7"/>
  <c r="CM74" i="7"/>
  <c r="CN74" i="7"/>
  <c r="CO74" i="7"/>
  <c r="CP74" i="7"/>
  <c r="CQ74" i="7"/>
  <c r="CR74" i="7"/>
  <c r="CS74" i="7"/>
  <c r="CT74" i="7"/>
  <c r="CU74" i="7"/>
  <c r="CV74" i="7"/>
  <c r="CW74" i="7"/>
  <c r="CX74" i="7"/>
  <c r="CY74" i="7"/>
  <c r="CZ74" i="7"/>
  <c r="DA74" i="7"/>
  <c r="CJ75" i="7"/>
  <c r="CK75" i="7"/>
  <c r="CL75" i="7"/>
  <c r="CM75" i="7"/>
  <c r="CN75" i="7"/>
  <c r="CO75" i="7"/>
  <c r="CP75" i="7"/>
  <c r="CQ75" i="7"/>
  <c r="CR75" i="7"/>
  <c r="CS75" i="7"/>
  <c r="CT75" i="7"/>
  <c r="CU75" i="7"/>
  <c r="CV75" i="7"/>
  <c r="CW75" i="7"/>
  <c r="CX75" i="7"/>
  <c r="CY75" i="7"/>
  <c r="CZ75" i="7"/>
  <c r="DA75" i="7"/>
  <c r="CJ76" i="7"/>
  <c r="CK76" i="7"/>
  <c r="CL76" i="7"/>
  <c r="CM76" i="7"/>
  <c r="CN76" i="7"/>
  <c r="CO76" i="7"/>
  <c r="CP76" i="7"/>
  <c r="CQ76" i="7"/>
  <c r="CR76" i="7"/>
  <c r="CS76" i="7"/>
  <c r="CT76" i="7"/>
  <c r="CU76" i="7"/>
  <c r="CV76" i="7"/>
  <c r="CW76" i="7"/>
  <c r="CX76" i="7"/>
  <c r="CY76" i="7"/>
  <c r="CZ76" i="7"/>
  <c r="DA76" i="7"/>
  <c r="CJ77" i="7"/>
  <c r="CK77" i="7"/>
  <c r="CL77" i="7"/>
  <c r="CM77" i="7"/>
  <c r="CN77" i="7"/>
  <c r="CO77" i="7"/>
  <c r="CP77" i="7"/>
  <c r="CQ77" i="7"/>
  <c r="CR77" i="7"/>
  <c r="CS77" i="7"/>
  <c r="CT77" i="7"/>
  <c r="CU77" i="7"/>
  <c r="CV77" i="7"/>
  <c r="CW77" i="7"/>
  <c r="CX77" i="7"/>
  <c r="CY77" i="7"/>
  <c r="CZ77" i="7"/>
  <c r="DA77" i="7"/>
  <c r="CJ78" i="7"/>
  <c r="CK78" i="7"/>
  <c r="CL78" i="7"/>
  <c r="CM78" i="7"/>
  <c r="CN78" i="7"/>
  <c r="CO78" i="7"/>
  <c r="CP78" i="7"/>
  <c r="CQ78" i="7"/>
  <c r="CR78" i="7"/>
  <c r="CS78" i="7"/>
  <c r="CT78" i="7"/>
  <c r="CU78" i="7"/>
  <c r="CV78" i="7"/>
  <c r="CW78" i="7"/>
  <c r="CX78" i="7"/>
  <c r="CY78" i="7"/>
  <c r="CZ78" i="7"/>
  <c r="DA78" i="7"/>
  <c r="CJ79" i="7"/>
  <c r="CK79" i="7"/>
  <c r="CL79" i="7"/>
  <c r="CM79" i="7"/>
  <c r="CN79" i="7"/>
  <c r="CO79" i="7"/>
  <c r="CP79" i="7"/>
  <c r="CQ79" i="7"/>
  <c r="CR79" i="7"/>
  <c r="CS79" i="7"/>
  <c r="CT79" i="7"/>
  <c r="CU79" i="7"/>
  <c r="CV79" i="7"/>
  <c r="CW79" i="7"/>
  <c r="CX79" i="7"/>
  <c r="CY79" i="7"/>
  <c r="CZ79" i="7"/>
  <c r="DA79" i="7"/>
  <c r="CJ80" i="7"/>
  <c r="CK80" i="7"/>
  <c r="CL80" i="7"/>
  <c r="CM80" i="7"/>
  <c r="CN80" i="7"/>
  <c r="CO80" i="7"/>
  <c r="CP80" i="7"/>
  <c r="CQ80" i="7"/>
  <c r="CR80" i="7"/>
  <c r="CS80" i="7"/>
  <c r="CT80" i="7"/>
  <c r="CU80" i="7"/>
  <c r="CV80" i="7"/>
  <c r="CW80" i="7"/>
  <c r="CX80" i="7"/>
  <c r="CY80" i="7"/>
  <c r="CZ80" i="7"/>
  <c r="DA80" i="7"/>
  <c r="CJ81" i="7"/>
  <c r="CK81" i="7"/>
  <c r="CL81" i="7"/>
  <c r="CM81" i="7"/>
  <c r="CN81" i="7"/>
  <c r="CO81" i="7"/>
  <c r="CP81" i="7"/>
  <c r="CQ81" i="7"/>
  <c r="CR81" i="7"/>
  <c r="CS81" i="7"/>
  <c r="CT81" i="7"/>
  <c r="CU81" i="7"/>
  <c r="CV81" i="7"/>
  <c r="CW81" i="7"/>
  <c r="CX81" i="7"/>
  <c r="CY81" i="7"/>
  <c r="CZ81" i="7"/>
  <c r="DA81" i="7"/>
  <c r="CJ82" i="7"/>
  <c r="CK82" i="7"/>
  <c r="CL82" i="7"/>
  <c r="CM82" i="7"/>
  <c r="CN82" i="7"/>
  <c r="CO82" i="7"/>
  <c r="CP82" i="7"/>
  <c r="CQ82" i="7"/>
  <c r="CR82" i="7"/>
  <c r="CS82" i="7"/>
  <c r="CT82" i="7"/>
  <c r="CU82" i="7"/>
  <c r="CV82" i="7"/>
  <c r="CW82" i="7"/>
  <c r="CX82" i="7"/>
  <c r="CY82" i="7"/>
  <c r="CZ82" i="7"/>
  <c r="DA82" i="7"/>
  <c r="CJ83" i="7"/>
  <c r="CK83" i="7"/>
  <c r="CL83" i="7"/>
  <c r="CM83" i="7"/>
  <c r="CN83" i="7"/>
  <c r="CO83" i="7"/>
  <c r="CP83" i="7"/>
  <c r="CQ83" i="7"/>
  <c r="CR83" i="7"/>
  <c r="CS83" i="7"/>
  <c r="CT83" i="7"/>
  <c r="CU83" i="7"/>
  <c r="CV83" i="7"/>
  <c r="CW83" i="7"/>
  <c r="CX83" i="7"/>
  <c r="CY83" i="7"/>
  <c r="CZ83" i="7"/>
  <c r="DA83" i="7"/>
  <c r="CJ84" i="7"/>
  <c r="CK84" i="7"/>
  <c r="CL84" i="7"/>
  <c r="CM84" i="7"/>
  <c r="CN84" i="7"/>
  <c r="CO84" i="7"/>
  <c r="CP84" i="7"/>
  <c r="CQ84" i="7"/>
  <c r="CR84" i="7"/>
  <c r="CS84" i="7"/>
  <c r="CT84" i="7"/>
  <c r="CU84" i="7"/>
  <c r="CV84" i="7"/>
  <c r="CW84" i="7"/>
  <c r="CX84" i="7"/>
  <c r="CY84" i="7"/>
  <c r="CZ84" i="7"/>
  <c r="DA84" i="7"/>
  <c r="CJ85" i="7"/>
  <c r="CK85" i="7"/>
  <c r="CL85" i="7"/>
  <c r="CM85" i="7"/>
  <c r="CN85" i="7"/>
  <c r="CO85" i="7"/>
  <c r="CP85" i="7"/>
  <c r="CQ85" i="7"/>
  <c r="CR85" i="7"/>
  <c r="CS85" i="7"/>
  <c r="CT85" i="7"/>
  <c r="CU85" i="7"/>
  <c r="CV85" i="7"/>
  <c r="CW85" i="7"/>
  <c r="CX85" i="7"/>
  <c r="CY85" i="7"/>
  <c r="CZ85" i="7"/>
  <c r="DA85" i="7"/>
  <c r="CJ86" i="7"/>
  <c r="CK86" i="7"/>
  <c r="CL86" i="7"/>
  <c r="CM86" i="7"/>
  <c r="CN86" i="7"/>
  <c r="CO86" i="7"/>
  <c r="CP86" i="7"/>
  <c r="CQ86" i="7"/>
  <c r="CR86" i="7"/>
  <c r="CS86" i="7"/>
  <c r="CT86" i="7"/>
  <c r="CU86" i="7"/>
  <c r="CV86" i="7"/>
  <c r="CW86" i="7"/>
  <c r="CX86" i="7"/>
  <c r="CY86" i="7"/>
  <c r="CZ86" i="7"/>
  <c r="DA86" i="7"/>
  <c r="CJ87" i="7"/>
  <c r="CK87" i="7"/>
  <c r="CL87" i="7"/>
  <c r="CM87" i="7"/>
  <c r="CN87" i="7"/>
  <c r="CO87" i="7"/>
  <c r="CP87" i="7"/>
  <c r="CQ87" i="7"/>
  <c r="CR87" i="7"/>
  <c r="CS87" i="7"/>
  <c r="CT87" i="7"/>
  <c r="CU87" i="7"/>
  <c r="CV87" i="7"/>
  <c r="CW87" i="7"/>
  <c r="CX87" i="7"/>
  <c r="CY87" i="7"/>
  <c r="CZ87" i="7"/>
  <c r="DA87" i="7"/>
  <c r="CJ88" i="7"/>
  <c r="CK88" i="7"/>
  <c r="CL88" i="7"/>
  <c r="CM88" i="7"/>
  <c r="CN88" i="7"/>
  <c r="CO88" i="7"/>
  <c r="CP88" i="7"/>
  <c r="CQ88" i="7"/>
  <c r="CR88" i="7"/>
  <c r="CS88" i="7"/>
  <c r="CT88" i="7"/>
  <c r="CU88" i="7"/>
  <c r="CV88" i="7"/>
  <c r="CW88" i="7"/>
  <c r="CX88" i="7"/>
  <c r="CY88" i="7"/>
  <c r="CZ88" i="7"/>
  <c r="DA88" i="7"/>
  <c r="CJ89" i="7"/>
  <c r="CK89" i="7"/>
  <c r="CL89" i="7"/>
  <c r="CM89" i="7"/>
  <c r="CN89" i="7"/>
  <c r="CO89" i="7"/>
  <c r="CP89" i="7"/>
  <c r="CQ89" i="7"/>
  <c r="CR89" i="7"/>
  <c r="CS89" i="7"/>
  <c r="CT89" i="7"/>
  <c r="CU89" i="7"/>
  <c r="CV89" i="7"/>
  <c r="CW89" i="7"/>
  <c r="CX89" i="7"/>
  <c r="CY89" i="7"/>
  <c r="CZ89" i="7"/>
  <c r="DA89" i="7"/>
  <c r="CJ90" i="7"/>
  <c r="CK90" i="7"/>
  <c r="CL90" i="7"/>
  <c r="CM90" i="7"/>
  <c r="CN90" i="7"/>
  <c r="CO90" i="7"/>
  <c r="CP90" i="7"/>
  <c r="CQ90" i="7"/>
  <c r="CR90" i="7"/>
  <c r="CS90" i="7"/>
  <c r="CT90" i="7"/>
  <c r="CU90" i="7"/>
  <c r="CV90" i="7"/>
  <c r="CW90" i="7"/>
  <c r="CX90" i="7"/>
  <c r="CY90" i="7"/>
  <c r="CZ90" i="7"/>
  <c r="DA90" i="7"/>
  <c r="CJ91" i="7"/>
  <c r="CK91" i="7"/>
  <c r="CL91" i="7"/>
  <c r="CM91" i="7"/>
  <c r="CN91" i="7"/>
  <c r="CO91" i="7"/>
  <c r="CP91" i="7"/>
  <c r="CQ91" i="7"/>
  <c r="CR91" i="7"/>
  <c r="CS91" i="7"/>
  <c r="CT91" i="7"/>
  <c r="CU91" i="7"/>
  <c r="CV91" i="7"/>
  <c r="CW91" i="7"/>
  <c r="CX91" i="7"/>
  <c r="CY91" i="7"/>
  <c r="CZ91" i="7"/>
  <c r="DA91" i="7"/>
  <c r="CJ92" i="7"/>
  <c r="CK92" i="7"/>
  <c r="CL92" i="7"/>
  <c r="CM92" i="7"/>
  <c r="CN92" i="7"/>
  <c r="CO92" i="7"/>
  <c r="CP92" i="7"/>
  <c r="CQ92" i="7"/>
  <c r="CR92" i="7"/>
  <c r="CS92" i="7"/>
  <c r="CT92" i="7"/>
  <c r="CU92" i="7"/>
  <c r="CV92" i="7"/>
  <c r="CW92" i="7"/>
  <c r="CX92" i="7"/>
  <c r="CY92" i="7"/>
  <c r="CZ92" i="7"/>
  <c r="DA92" i="7"/>
  <c r="CJ93" i="7"/>
  <c r="CK93" i="7"/>
  <c r="CL93" i="7"/>
  <c r="CM93" i="7"/>
  <c r="CN93" i="7"/>
  <c r="CO93" i="7"/>
  <c r="CP93" i="7"/>
  <c r="CQ93" i="7"/>
  <c r="CR93" i="7"/>
  <c r="CS93" i="7"/>
  <c r="CT93" i="7"/>
  <c r="CU93" i="7"/>
  <c r="CV93" i="7"/>
  <c r="CW93" i="7"/>
  <c r="CX93" i="7"/>
  <c r="CY93" i="7"/>
  <c r="CZ93" i="7"/>
  <c r="DA93" i="7"/>
  <c r="CJ94" i="7"/>
  <c r="CK94" i="7"/>
  <c r="CL94" i="7"/>
  <c r="CM94" i="7"/>
  <c r="CN94" i="7"/>
  <c r="CO94" i="7"/>
  <c r="CP94" i="7"/>
  <c r="CQ94" i="7"/>
  <c r="CR94" i="7"/>
  <c r="CS94" i="7"/>
  <c r="CT94" i="7"/>
  <c r="CU94" i="7"/>
  <c r="CV94" i="7"/>
  <c r="CW94" i="7"/>
  <c r="CX94" i="7"/>
  <c r="CY94" i="7"/>
  <c r="CZ94" i="7"/>
  <c r="DA94" i="7"/>
  <c r="CJ95" i="7"/>
  <c r="CK95" i="7"/>
  <c r="CL95" i="7"/>
  <c r="CM95" i="7"/>
  <c r="CN95" i="7"/>
  <c r="CO95" i="7"/>
  <c r="CP95" i="7"/>
  <c r="CQ95" i="7"/>
  <c r="CR95" i="7"/>
  <c r="CS95" i="7"/>
  <c r="CT95" i="7"/>
  <c r="CU95" i="7"/>
  <c r="CV95" i="7"/>
  <c r="CW95" i="7"/>
  <c r="CX95" i="7"/>
  <c r="CY95" i="7"/>
  <c r="CZ95" i="7"/>
  <c r="DA95" i="7"/>
  <c r="CJ96" i="7"/>
  <c r="CK96" i="7"/>
  <c r="CL96" i="7"/>
  <c r="CM96" i="7"/>
  <c r="CN96" i="7"/>
  <c r="CO96" i="7"/>
  <c r="CP96" i="7"/>
  <c r="CQ96" i="7"/>
  <c r="CR96" i="7"/>
  <c r="CS96" i="7"/>
  <c r="CT96" i="7"/>
  <c r="CU96" i="7"/>
  <c r="CV96" i="7"/>
  <c r="CW96" i="7"/>
  <c r="CX96" i="7"/>
  <c r="CY96" i="7"/>
  <c r="CZ96" i="7"/>
  <c r="DA96" i="7"/>
  <c r="CJ97" i="7"/>
  <c r="CK97" i="7"/>
  <c r="CL97" i="7"/>
  <c r="CM97" i="7"/>
  <c r="CN97" i="7"/>
  <c r="CO97" i="7"/>
  <c r="CP97" i="7"/>
  <c r="CQ97" i="7"/>
  <c r="CR97" i="7"/>
  <c r="CS97" i="7"/>
  <c r="CT97" i="7"/>
  <c r="CU97" i="7"/>
  <c r="CV97" i="7"/>
  <c r="CW97" i="7"/>
  <c r="CX97" i="7"/>
  <c r="CY97" i="7"/>
  <c r="CZ97" i="7"/>
  <c r="DA97" i="7"/>
  <c r="CJ98" i="7"/>
  <c r="CK98" i="7"/>
  <c r="CL98" i="7"/>
  <c r="CM98" i="7"/>
  <c r="CN98" i="7"/>
  <c r="CO98" i="7"/>
  <c r="CP98" i="7"/>
  <c r="CQ98" i="7"/>
  <c r="CR98" i="7"/>
  <c r="CS98" i="7"/>
  <c r="CT98" i="7"/>
  <c r="CU98" i="7"/>
  <c r="CV98" i="7"/>
  <c r="CW98" i="7"/>
  <c r="CX98" i="7"/>
  <c r="CY98" i="7"/>
  <c r="CZ98" i="7"/>
  <c r="DA98" i="7"/>
  <c r="CJ99" i="7"/>
  <c r="CK99" i="7"/>
  <c r="CL99" i="7"/>
  <c r="CM99" i="7"/>
  <c r="CN99" i="7"/>
  <c r="CO99" i="7"/>
  <c r="CP99" i="7"/>
  <c r="CQ99" i="7"/>
  <c r="CR99" i="7"/>
  <c r="CS99" i="7"/>
  <c r="CT99" i="7"/>
  <c r="CU99" i="7"/>
  <c r="CV99" i="7"/>
  <c r="CW99" i="7"/>
  <c r="CX99" i="7"/>
  <c r="CY99" i="7"/>
  <c r="CZ99" i="7"/>
  <c r="DA99" i="7"/>
  <c r="CJ100" i="7"/>
  <c r="CK100" i="7"/>
  <c r="CL100" i="7"/>
  <c r="CM100" i="7"/>
  <c r="CN100" i="7"/>
  <c r="CO100" i="7"/>
  <c r="CP100" i="7"/>
  <c r="CQ100" i="7"/>
  <c r="CR100" i="7"/>
  <c r="CS100" i="7"/>
  <c r="CT100" i="7"/>
  <c r="CU100" i="7"/>
  <c r="CV100" i="7"/>
  <c r="CW100" i="7"/>
  <c r="CX100" i="7"/>
  <c r="CY100" i="7"/>
  <c r="CZ100" i="7"/>
  <c r="DA100" i="7"/>
  <c r="CJ101" i="7"/>
  <c r="CK101" i="7"/>
  <c r="CL101" i="7"/>
  <c r="CM101" i="7"/>
  <c r="CN101" i="7"/>
  <c r="CO101" i="7"/>
  <c r="CP101" i="7"/>
  <c r="CQ101" i="7"/>
  <c r="CR101" i="7"/>
  <c r="CS101" i="7"/>
  <c r="CT101" i="7"/>
  <c r="CU101" i="7"/>
  <c r="CV101" i="7"/>
  <c r="CW101" i="7"/>
  <c r="CX101" i="7"/>
  <c r="CY101" i="7"/>
  <c r="CZ101" i="7"/>
  <c r="DA101" i="7"/>
  <c r="CJ102" i="7"/>
  <c r="CK102" i="7"/>
  <c r="CL102" i="7"/>
  <c r="CM102" i="7"/>
  <c r="CN102" i="7"/>
  <c r="CO102" i="7"/>
  <c r="CP102" i="7"/>
  <c r="CQ102" i="7"/>
  <c r="CR102" i="7"/>
  <c r="CS102" i="7"/>
  <c r="CT102" i="7"/>
  <c r="CU102" i="7"/>
  <c r="CV102" i="7"/>
  <c r="CW102" i="7"/>
  <c r="CX102" i="7"/>
  <c r="CY102" i="7"/>
  <c r="CZ102" i="7"/>
  <c r="DA102" i="7"/>
  <c r="CJ103" i="7"/>
  <c r="CK103" i="7"/>
  <c r="CL103" i="7"/>
  <c r="CM103" i="7"/>
  <c r="CN103" i="7"/>
  <c r="CO103" i="7"/>
  <c r="CP103" i="7"/>
  <c r="CQ103" i="7"/>
  <c r="CR103" i="7"/>
  <c r="CS103" i="7"/>
  <c r="CT103" i="7"/>
  <c r="CU103" i="7"/>
  <c r="CV103" i="7"/>
  <c r="CW103" i="7"/>
  <c r="CX103" i="7"/>
  <c r="CY103" i="7"/>
  <c r="CZ103" i="7"/>
  <c r="DA103" i="7"/>
  <c r="CJ104" i="7"/>
  <c r="CK104" i="7"/>
  <c r="CL104" i="7"/>
  <c r="CM104" i="7"/>
  <c r="CN104" i="7"/>
  <c r="CO104" i="7"/>
  <c r="CP104" i="7"/>
  <c r="CQ104" i="7"/>
  <c r="CR104" i="7"/>
  <c r="CS104" i="7"/>
  <c r="CT104" i="7"/>
  <c r="CU104" i="7"/>
  <c r="CV104" i="7"/>
  <c r="CW104" i="7"/>
  <c r="CX104" i="7"/>
  <c r="CY104" i="7"/>
  <c r="CZ104" i="7"/>
  <c r="DA104" i="7"/>
  <c r="CJ105" i="7"/>
  <c r="CK105" i="7"/>
  <c r="CL105" i="7"/>
  <c r="CM105" i="7"/>
  <c r="CN105" i="7"/>
  <c r="CO105" i="7"/>
  <c r="CP105" i="7"/>
  <c r="CQ105" i="7"/>
  <c r="CR105" i="7"/>
  <c r="CS105" i="7"/>
  <c r="CT105" i="7"/>
  <c r="CU105" i="7"/>
  <c r="CV105" i="7"/>
  <c r="CW105" i="7"/>
  <c r="CX105" i="7"/>
  <c r="CY105" i="7"/>
  <c r="CZ105" i="7"/>
  <c r="DA105" i="7"/>
  <c r="CJ106" i="7"/>
  <c r="CK106" i="7"/>
  <c r="CL106" i="7"/>
  <c r="CM106" i="7"/>
  <c r="CN106" i="7"/>
  <c r="CO106" i="7"/>
  <c r="CP106" i="7"/>
  <c r="CQ106" i="7"/>
  <c r="CR106" i="7"/>
  <c r="CS106" i="7"/>
  <c r="CT106" i="7"/>
  <c r="CU106" i="7"/>
  <c r="CV106" i="7"/>
  <c r="CW106" i="7"/>
  <c r="CX106" i="7"/>
  <c r="CY106" i="7"/>
  <c r="CZ106" i="7"/>
  <c r="DA106" i="7"/>
  <c r="CJ107" i="7"/>
  <c r="CK107" i="7"/>
  <c r="CL107" i="7"/>
  <c r="CM107" i="7"/>
  <c r="CN107" i="7"/>
  <c r="CO107" i="7"/>
  <c r="CP107" i="7"/>
  <c r="CQ107" i="7"/>
  <c r="CR107" i="7"/>
  <c r="CS107" i="7"/>
  <c r="CT107" i="7"/>
  <c r="CU107" i="7"/>
  <c r="CV107" i="7"/>
  <c r="CW107" i="7"/>
  <c r="CX107" i="7"/>
  <c r="CY107" i="7"/>
  <c r="CZ107" i="7"/>
  <c r="DA107" i="7"/>
  <c r="CJ108" i="7"/>
  <c r="CK108" i="7"/>
  <c r="CL108" i="7"/>
  <c r="CM108" i="7"/>
  <c r="CN108" i="7"/>
  <c r="CO108" i="7"/>
  <c r="CP108" i="7"/>
  <c r="CQ108" i="7"/>
  <c r="CR108" i="7"/>
  <c r="CS108" i="7"/>
  <c r="CT108" i="7"/>
  <c r="CU108" i="7"/>
  <c r="CV108" i="7"/>
  <c r="CW108" i="7"/>
  <c r="CX108" i="7"/>
  <c r="CY108" i="7"/>
  <c r="CZ108" i="7"/>
  <c r="DA108" i="7"/>
  <c r="CJ109" i="7"/>
  <c r="CK109" i="7"/>
  <c r="CL109" i="7"/>
  <c r="CM109" i="7"/>
  <c r="CN109" i="7"/>
  <c r="CO109" i="7"/>
  <c r="CP109" i="7"/>
  <c r="CQ109" i="7"/>
  <c r="CR109" i="7"/>
  <c r="CS109" i="7"/>
  <c r="CT109" i="7"/>
  <c r="CU109" i="7"/>
  <c r="CV109" i="7"/>
  <c r="CW109" i="7"/>
  <c r="CX109" i="7"/>
  <c r="CY109" i="7"/>
  <c r="CZ109" i="7"/>
  <c r="DA109" i="7"/>
  <c r="CJ110" i="7"/>
  <c r="CK110" i="7"/>
  <c r="CL110" i="7"/>
  <c r="CM110" i="7"/>
  <c r="CN110" i="7"/>
  <c r="CO110" i="7"/>
  <c r="CP110" i="7"/>
  <c r="CQ110" i="7"/>
  <c r="CR110" i="7"/>
  <c r="CS110" i="7"/>
  <c r="CT110" i="7"/>
  <c r="CU110" i="7"/>
  <c r="CV110" i="7"/>
  <c r="CW110" i="7"/>
  <c r="CX110" i="7"/>
  <c r="CY110" i="7"/>
  <c r="CZ110" i="7"/>
  <c r="DA110" i="7"/>
  <c r="CJ111" i="7"/>
  <c r="CK111" i="7"/>
  <c r="CL111" i="7"/>
  <c r="CM111" i="7"/>
  <c r="CN111" i="7"/>
  <c r="CO111" i="7"/>
  <c r="CP111" i="7"/>
  <c r="CQ111" i="7"/>
  <c r="CR111" i="7"/>
  <c r="CS111" i="7"/>
  <c r="CT111" i="7"/>
  <c r="CU111" i="7"/>
  <c r="CV111" i="7"/>
  <c r="CW111" i="7"/>
  <c r="CX111" i="7"/>
  <c r="CY111" i="7"/>
  <c r="CZ111" i="7"/>
  <c r="DA111" i="7"/>
  <c r="CJ112" i="7"/>
  <c r="CK112" i="7"/>
  <c r="CL112" i="7"/>
  <c r="CM112" i="7"/>
  <c r="CN112" i="7"/>
  <c r="CO112" i="7"/>
  <c r="CP112" i="7"/>
  <c r="CQ112" i="7"/>
  <c r="CR112" i="7"/>
  <c r="CS112" i="7"/>
  <c r="CT112" i="7"/>
  <c r="CU112" i="7"/>
  <c r="CV112" i="7"/>
  <c r="CW112" i="7"/>
  <c r="CX112" i="7"/>
  <c r="CY112" i="7"/>
  <c r="CZ112" i="7"/>
  <c r="DA112" i="7"/>
  <c r="CJ113" i="7"/>
  <c r="CK113" i="7"/>
  <c r="CL113" i="7"/>
  <c r="CM113" i="7"/>
  <c r="CN113" i="7"/>
  <c r="CO113" i="7"/>
  <c r="CP113" i="7"/>
  <c r="CQ113" i="7"/>
  <c r="CR113" i="7"/>
  <c r="CS113" i="7"/>
  <c r="CT113" i="7"/>
  <c r="CU113" i="7"/>
  <c r="CV113" i="7"/>
  <c r="CW113" i="7"/>
  <c r="CX113" i="7"/>
  <c r="CY113" i="7"/>
  <c r="CZ113" i="7"/>
  <c r="DA113" i="7"/>
  <c r="CJ114" i="7"/>
  <c r="CK114" i="7"/>
  <c r="CL114" i="7"/>
  <c r="CM114" i="7"/>
  <c r="CN114" i="7"/>
  <c r="CO114" i="7"/>
  <c r="CP114" i="7"/>
  <c r="CQ114" i="7"/>
  <c r="CR114" i="7"/>
  <c r="CS114" i="7"/>
  <c r="CT114" i="7"/>
  <c r="CU114" i="7"/>
  <c r="CV114" i="7"/>
  <c r="CW114" i="7"/>
  <c r="CX114" i="7"/>
  <c r="CY114" i="7"/>
  <c r="CZ114" i="7"/>
  <c r="DA114" i="7"/>
  <c r="CJ115" i="7"/>
  <c r="CK115" i="7"/>
  <c r="CL115" i="7"/>
  <c r="CM115" i="7"/>
  <c r="CN115" i="7"/>
  <c r="CO115" i="7"/>
  <c r="CP115" i="7"/>
  <c r="CQ115" i="7"/>
  <c r="CR115" i="7"/>
  <c r="CS115" i="7"/>
  <c r="CT115" i="7"/>
  <c r="CU115" i="7"/>
  <c r="CV115" i="7"/>
  <c r="CW115" i="7"/>
  <c r="CX115" i="7"/>
  <c r="CY115" i="7"/>
  <c r="CZ115" i="7"/>
  <c r="DA115" i="7"/>
  <c r="CJ116" i="7"/>
  <c r="CK116" i="7"/>
  <c r="CL116" i="7"/>
  <c r="CM116" i="7"/>
  <c r="CN116" i="7"/>
  <c r="CO116" i="7"/>
  <c r="CP116" i="7"/>
  <c r="CQ116" i="7"/>
  <c r="CR116" i="7"/>
  <c r="CS116" i="7"/>
  <c r="CT116" i="7"/>
  <c r="CU116" i="7"/>
  <c r="CV116" i="7"/>
  <c r="CW116" i="7"/>
  <c r="CX116" i="7"/>
  <c r="CY116" i="7"/>
  <c r="CZ116" i="7"/>
  <c r="DA116" i="7"/>
  <c r="CJ117" i="7"/>
  <c r="CK117" i="7"/>
  <c r="CL117" i="7"/>
  <c r="CM117" i="7"/>
  <c r="CN117" i="7"/>
  <c r="CO117" i="7"/>
  <c r="CP117" i="7"/>
  <c r="CQ117" i="7"/>
  <c r="CR117" i="7"/>
  <c r="CS117" i="7"/>
  <c r="CT117" i="7"/>
  <c r="CU117" i="7"/>
  <c r="CV117" i="7"/>
  <c r="CW117" i="7"/>
  <c r="CX117" i="7"/>
  <c r="CY117" i="7"/>
  <c r="CZ117" i="7"/>
  <c r="DA117" i="7"/>
  <c r="CJ118" i="7"/>
  <c r="CK118" i="7"/>
  <c r="CL118" i="7"/>
  <c r="CM118" i="7"/>
  <c r="CN118" i="7"/>
  <c r="CO118" i="7"/>
  <c r="CP118" i="7"/>
  <c r="CQ118" i="7"/>
  <c r="CR118" i="7"/>
  <c r="CS118" i="7"/>
  <c r="CT118" i="7"/>
  <c r="CU118" i="7"/>
  <c r="CV118" i="7"/>
  <c r="CW118" i="7"/>
  <c r="CX118" i="7"/>
  <c r="CY118" i="7"/>
  <c r="CZ118" i="7"/>
  <c r="DA118" i="7"/>
  <c r="CJ119" i="7"/>
  <c r="CK119" i="7"/>
  <c r="CL119" i="7"/>
  <c r="CM119" i="7"/>
  <c r="CN119" i="7"/>
  <c r="CO119" i="7"/>
  <c r="CP119" i="7"/>
  <c r="CQ119" i="7"/>
  <c r="CR119" i="7"/>
  <c r="CS119" i="7"/>
  <c r="CT119" i="7"/>
  <c r="CU119" i="7"/>
  <c r="CV119" i="7"/>
  <c r="CW119" i="7"/>
  <c r="CX119" i="7"/>
  <c r="CY119" i="7"/>
  <c r="CZ119" i="7"/>
  <c r="DA119" i="7"/>
  <c r="CJ120" i="7"/>
  <c r="CK120" i="7"/>
  <c r="CL120" i="7"/>
  <c r="CM120" i="7"/>
  <c r="CN120" i="7"/>
  <c r="CO120" i="7"/>
  <c r="CP120" i="7"/>
  <c r="CQ120" i="7"/>
  <c r="CR120" i="7"/>
  <c r="CS120" i="7"/>
  <c r="CT120" i="7"/>
  <c r="CU120" i="7"/>
  <c r="CV120" i="7"/>
  <c r="CW120" i="7"/>
  <c r="CX120" i="7"/>
  <c r="CY120" i="7"/>
  <c r="CZ120" i="7"/>
  <c r="DA120" i="7"/>
  <c r="CJ121" i="7"/>
  <c r="CK121" i="7"/>
  <c r="CL121" i="7"/>
  <c r="CM121" i="7"/>
  <c r="CN121" i="7"/>
  <c r="CO121" i="7"/>
  <c r="CP121" i="7"/>
  <c r="CQ121" i="7"/>
  <c r="CR121" i="7"/>
  <c r="CS121" i="7"/>
  <c r="CT121" i="7"/>
  <c r="CU121" i="7"/>
  <c r="CV121" i="7"/>
  <c r="CW121" i="7"/>
  <c r="CX121" i="7"/>
  <c r="CY121" i="7"/>
  <c r="CZ121" i="7"/>
  <c r="DA121" i="7"/>
  <c r="CJ122" i="7"/>
  <c r="CK122" i="7"/>
  <c r="CL122" i="7"/>
  <c r="CM122" i="7"/>
  <c r="CN122" i="7"/>
  <c r="CO122" i="7"/>
  <c r="CP122" i="7"/>
  <c r="CQ122" i="7"/>
  <c r="CR122" i="7"/>
  <c r="CS122" i="7"/>
  <c r="CT122" i="7"/>
  <c r="CU122" i="7"/>
  <c r="CV122" i="7"/>
  <c r="CW122" i="7"/>
  <c r="CX122" i="7"/>
  <c r="CY122" i="7"/>
  <c r="CZ122" i="7"/>
  <c r="DA122" i="7"/>
  <c r="CJ123" i="7"/>
  <c r="CK123" i="7"/>
  <c r="CL123" i="7"/>
  <c r="CM123" i="7"/>
  <c r="CN123" i="7"/>
  <c r="CO123" i="7"/>
  <c r="CP123" i="7"/>
  <c r="CQ123" i="7"/>
  <c r="CR123" i="7"/>
  <c r="CS123" i="7"/>
  <c r="CT123" i="7"/>
  <c r="CU123" i="7"/>
  <c r="CV123" i="7"/>
  <c r="CW123" i="7"/>
  <c r="CX123" i="7"/>
  <c r="CY123" i="7"/>
  <c r="CZ123" i="7"/>
  <c r="DA123" i="7"/>
  <c r="CJ124" i="7"/>
  <c r="CK124" i="7"/>
  <c r="CL124" i="7"/>
  <c r="CM124" i="7"/>
  <c r="CN124" i="7"/>
  <c r="CO124" i="7"/>
  <c r="CP124" i="7"/>
  <c r="CQ124" i="7"/>
  <c r="CR124" i="7"/>
  <c r="CS124" i="7"/>
  <c r="CT124" i="7"/>
  <c r="CU124" i="7"/>
  <c r="CV124" i="7"/>
  <c r="CW124" i="7"/>
  <c r="CX124" i="7"/>
  <c r="CY124" i="7"/>
  <c r="CZ124" i="7"/>
  <c r="DA124" i="7"/>
  <c r="CJ125" i="7"/>
  <c r="CK125" i="7"/>
  <c r="CL125" i="7"/>
  <c r="CM125" i="7"/>
  <c r="CN125" i="7"/>
  <c r="CO125" i="7"/>
  <c r="CP125" i="7"/>
  <c r="CQ125" i="7"/>
  <c r="CR125" i="7"/>
  <c r="CS125" i="7"/>
  <c r="CT125" i="7"/>
  <c r="CU125" i="7"/>
  <c r="CV125" i="7"/>
  <c r="CW125" i="7"/>
  <c r="CX125" i="7"/>
  <c r="CY125" i="7"/>
  <c r="CZ125" i="7"/>
  <c r="DA125" i="7"/>
  <c r="CJ126" i="7"/>
  <c r="CK126" i="7"/>
  <c r="CL126" i="7"/>
  <c r="CM126" i="7"/>
  <c r="CN126" i="7"/>
  <c r="CO126" i="7"/>
  <c r="CP126" i="7"/>
  <c r="CQ126" i="7"/>
  <c r="CR126" i="7"/>
  <c r="CS126" i="7"/>
  <c r="CT126" i="7"/>
  <c r="CU126" i="7"/>
  <c r="CV126" i="7"/>
  <c r="CW126" i="7"/>
  <c r="CX126" i="7"/>
  <c r="CY126" i="7"/>
  <c r="CZ126" i="7"/>
  <c r="DA126" i="7"/>
  <c r="BN5" i="7"/>
  <c r="BO5" i="7"/>
  <c r="BP5" i="7"/>
  <c r="BQ5" i="7"/>
  <c r="BR5" i="7"/>
  <c r="BS5" i="7"/>
  <c r="BT5" i="7"/>
  <c r="BU5" i="7"/>
  <c r="BV5" i="7"/>
  <c r="BW5" i="7"/>
  <c r="BX5" i="7"/>
  <c r="BY5" i="7"/>
  <c r="BZ5" i="7"/>
  <c r="CA5" i="7"/>
  <c r="CB5" i="7"/>
  <c r="CC5" i="7"/>
  <c r="CD5" i="7"/>
  <c r="CE5" i="7"/>
  <c r="CF5" i="7"/>
  <c r="CG5" i="7"/>
  <c r="CH5" i="7"/>
  <c r="CI5" i="7"/>
  <c r="BN6" i="7"/>
  <c r="BO6" i="7"/>
  <c r="BP6" i="7"/>
  <c r="BQ6" i="7"/>
  <c r="BR6" i="7"/>
  <c r="BS6" i="7"/>
  <c r="BT6" i="7"/>
  <c r="BU6" i="7"/>
  <c r="BV6" i="7"/>
  <c r="BW6" i="7"/>
  <c r="BX6" i="7"/>
  <c r="BY6" i="7"/>
  <c r="BZ6" i="7"/>
  <c r="CA6" i="7"/>
  <c r="CB6" i="7"/>
  <c r="CC6" i="7"/>
  <c r="CD6" i="7"/>
  <c r="CE6" i="7"/>
  <c r="CF6" i="7"/>
  <c r="CG6" i="7"/>
  <c r="CH6" i="7"/>
  <c r="CI6" i="7"/>
  <c r="BN7" i="7"/>
  <c r="BO7" i="7"/>
  <c r="BP7" i="7"/>
  <c r="BQ7" i="7"/>
  <c r="BR7" i="7"/>
  <c r="BS7" i="7"/>
  <c r="BT7" i="7"/>
  <c r="BU7" i="7"/>
  <c r="BV7" i="7"/>
  <c r="BW7" i="7"/>
  <c r="BX7" i="7"/>
  <c r="BY7" i="7"/>
  <c r="BZ7" i="7"/>
  <c r="CA7" i="7"/>
  <c r="CB7" i="7"/>
  <c r="CC7" i="7"/>
  <c r="CD7" i="7"/>
  <c r="CE7" i="7"/>
  <c r="CF7" i="7"/>
  <c r="CG7" i="7"/>
  <c r="CH7" i="7"/>
  <c r="CI7" i="7"/>
  <c r="BN8" i="7"/>
  <c r="BO8" i="7"/>
  <c r="BP8" i="7"/>
  <c r="BQ8" i="7"/>
  <c r="BR8" i="7"/>
  <c r="BS8" i="7"/>
  <c r="BT8" i="7"/>
  <c r="BU8" i="7"/>
  <c r="BV8" i="7"/>
  <c r="BW8" i="7"/>
  <c r="BX8" i="7"/>
  <c r="BY8" i="7"/>
  <c r="BZ8" i="7"/>
  <c r="CA8" i="7"/>
  <c r="CB8" i="7"/>
  <c r="CC8" i="7"/>
  <c r="CD8" i="7"/>
  <c r="CE8" i="7"/>
  <c r="CF8" i="7"/>
  <c r="CG8" i="7"/>
  <c r="CH8" i="7"/>
  <c r="CI8" i="7"/>
  <c r="BN9" i="7"/>
  <c r="BO9" i="7"/>
  <c r="BP9" i="7"/>
  <c r="BQ9" i="7"/>
  <c r="BR9" i="7"/>
  <c r="BS9" i="7"/>
  <c r="BT9" i="7"/>
  <c r="BU9" i="7"/>
  <c r="BV9" i="7"/>
  <c r="BW9" i="7"/>
  <c r="BX9" i="7"/>
  <c r="BY9" i="7"/>
  <c r="BZ9" i="7"/>
  <c r="CA9" i="7"/>
  <c r="CB9" i="7"/>
  <c r="CC9" i="7"/>
  <c r="CD9" i="7"/>
  <c r="CE9" i="7"/>
  <c r="CF9" i="7"/>
  <c r="CG9" i="7"/>
  <c r="CH9" i="7"/>
  <c r="CI9" i="7"/>
  <c r="BN10" i="7"/>
  <c r="BO10" i="7"/>
  <c r="BP10" i="7"/>
  <c r="BQ10" i="7"/>
  <c r="BR10" i="7"/>
  <c r="BS10" i="7"/>
  <c r="BT10" i="7"/>
  <c r="BU10" i="7"/>
  <c r="BV10" i="7"/>
  <c r="BW10" i="7"/>
  <c r="BX10" i="7"/>
  <c r="BY10" i="7"/>
  <c r="BZ10" i="7"/>
  <c r="CA10" i="7"/>
  <c r="CB10" i="7"/>
  <c r="CC10" i="7"/>
  <c r="CD10" i="7"/>
  <c r="CE10" i="7"/>
  <c r="CF10" i="7"/>
  <c r="CG10" i="7"/>
  <c r="CH10" i="7"/>
  <c r="CI10" i="7"/>
  <c r="BN11" i="7"/>
  <c r="BO11" i="7"/>
  <c r="BP11" i="7"/>
  <c r="BQ11" i="7"/>
  <c r="BR11" i="7"/>
  <c r="BS11" i="7"/>
  <c r="BT11" i="7"/>
  <c r="BU11" i="7"/>
  <c r="BV11" i="7"/>
  <c r="BW11" i="7"/>
  <c r="BX11" i="7"/>
  <c r="BY11" i="7"/>
  <c r="BZ11" i="7"/>
  <c r="CA11" i="7"/>
  <c r="CB11" i="7"/>
  <c r="CC11" i="7"/>
  <c r="CD11" i="7"/>
  <c r="CE11" i="7"/>
  <c r="CF11" i="7"/>
  <c r="CG11" i="7"/>
  <c r="CH11" i="7"/>
  <c r="CI11" i="7"/>
  <c r="BN12" i="7"/>
  <c r="BO12" i="7"/>
  <c r="BP12" i="7"/>
  <c r="BQ12" i="7"/>
  <c r="BR12" i="7"/>
  <c r="BS12" i="7"/>
  <c r="BT12" i="7"/>
  <c r="BU12" i="7"/>
  <c r="BV12" i="7"/>
  <c r="BW12" i="7"/>
  <c r="BX12" i="7"/>
  <c r="BY12" i="7"/>
  <c r="BZ12" i="7"/>
  <c r="CA12" i="7"/>
  <c r="CB12" i="7"/>
  <c r="CC12" i="7"/>
  <c r="CD12" i="7"/>
  <c r="CE12" i="7"/>
  <c r="CF12" i="7"/>
  <c r="CG12" i="7"/>
  <c r="CH12" i="7"/>
  <c r="CI12" i="7"/>
  <c r="BN13" i="7"/>
  <c r="BO13" i="7"/>
  <c r="BP13" i="7"/>
  <c r="BQ13" i="7"/>
  <c r="BR13" i="7"/>
  <c r="BS13" i="7"/>
  <c r="BT13" i="7"/>
  <c r="BU13" i="7"/>
  <c r="BV13" i="7"/>
  <c r="BW13" i="7"/>
  <c r="BX13" i="7"/>
  <c r="BY13" i="7"/>
  <c r="BZ13" i="7"/>
  <c r="CA13" i="7"/>
  <c r="CB13" i="7"/>
  <c r="CC13" i="7"/>
  <c r="CD13" i="7"/>
  <c r="CE13" i="7"/>
  <c r="CF13" i="7"/>
  <c r="CG13" i="7"/>
  <c r="CH13" i="7"/>
  <c r="CI13" i="7"/>
  <c r="BN14" i="7"/>
  <c r="BO14" i="7"/>
  <c r="BP14" i="7"/>
  <c r="BQ14" i="7"/>
  <c r="BR14" i="7"/>
  <c r="BS14" i="7"/>
  <c r="BT14" i="7"/>
  <c r="BU14" i="7"/>
  <c r="BV14" i="7"/>
  <c r="BW14" i="7"/>
  <c r="BX14" i="7"/>
  <c r="BY14" i="7"/>
  <c r="BZ14" i="7"/>
  <c r="CA14" i="7"/>
  <c r="CB14" i="7"/>
  <c r="CC14" i="7"/>
  <c r="CD14" i="7"/>
  <c r="CE14" i="7"/>
  <c r="CF14" i="7"/>
  <c r="CG14" i="7"/>
  <c r="CH14" i="7"/>
  <c r="CI14" i="7"/>
  <c r="BN15" i="7"/>
  <c r="BO15" i="7"/>
  <c r="BP15" i="7"/>
  <c r="BQ15" i="7"/>
  <c r="BR15" i="7"/>
  <c r="BS15" i="7"/>
  <c r="BT15" i="7"/>
  <c r="BU15" i="7"/>
  <c r="BV15" i="7"/>
  <c r="BW15" i="7"/>
  <c r="BX15" i="7"/>
  <c r="BY15" i="7"/>
  <c r="BZ15" i="7"/>
  <c r="CA15" i="7"/>
  <c r="CB15" i="7"/>
  <c r="CC15" i="7"/>
  <c r="CD15" i="7"/>
  <c r="CE15" i="7"/>
  <c r="CF15" i="7"/>
  <c r="CG15" i="7"/>
  <c r="CH15" i="7"/>
  <c r="CI15" i="7"/>
  <c r="BN16" i="7"/>
  <c r="BO16" i="7"/>
  <c r="BP16" i="7"/>
  <c r="BQ16" i="7"/>
  <c r="BR16" i="7"/>
  <c r="BS16" i="7"/>
  <c r="BT16" i="7"/>
  <c r="BU16" i="7"/>
  <c r="BV16" i="7"/>
  <c r="BW16" i="7"/>
  <c r="BX16" i="7"/>
  <c r="BY16" i="7"/>
  <c r="BZ16" i="7"/>
  <c r="CA16" i="7"/>
  <c r="CB16" i="7"/>
  <c r="CC16" i="7"/>
  <c r="CD16" i="7"/>
  <c r="CE16" i="7"/>
  <c r="CF16" i="7"/>
  <c r="CG16" i="7"/>
  <c r="CH16" i="7"/>
  <c r="CI16" i="7"/>
  <c r="BN17" i="7"/>
  <c r="BO17" i="7"/>
  <c r="BP17" i="7"/>
  <c r="BQ17" i="7"/>
  <c r="BR17" i="7"/>
  <c r="BS17" i="7"/>
  <c r="BT17" i="7"/>
  <c r="BU17" i="7"/>
  <c r="BV17" i="7"/>
  <c r="BW17" i="7"/>
  <c r="BX17" i="7"/>
  <c r="BY17" i="7"/>
  <c r="BZ17" i="7"/>
  <c r="CA17" i="7"/>
  <c r="CB17" i="7"/>
  <c r="CC17" i="7"/>
  <c r="CD17" i="7"/>
  <c r="CE17" i="7"/>
  <c r="CF17" i="7"/>
  <c r="CG17" i="7"/>
  <c r="CH17" i="7"/>
  <c r="CI17" i="7"/>
  <c r="BN18" i="7"/>
  <c r="BO18" i="7"/>
  <c r="BP18" i="7"/>
  <c r="BQ18" i="7"/>
  <c r="BR18" i="7"/>
  <c r="BS18" i="7"/>
  <c r="BT18" i="7"/>
  <c r="BU18" i="7"/>
  <c r="BV18" i="7"/>
  <c r="BW18" i="7"/>
  <c r="BX18" i="7"/>
  <c r="BY18" i="7"/>
  <c r="BZ18" i="7"/>
  <c r="CA18" i="7"/>
  <c r="CB18" i="7"/>
  <c r="CC18" i="7"/>
  <c r="CD18" i="7"/>
  <c r="CE18" i="7"/>
  <c r="CF18" i="7"/>
  <c r="CG18" i="7"/>
  <c r="CH18" i="7"/>
  <c r="CI18" i="7"/>
  <c r="BN19" i="7"/>
  <c r="BO19" i="7"/>
  <c r="BP19" i="7"/>
  <c r="BQ19" i="7"/>
  <c r="BR19" i="7"/>
  <c r="BS19" i="7"/>
  <c r="BT19" i="7"/>
  <c r="BU19" i="7"/>
  <c r="BV19" i="7"/>
  <c r="BW19" i="7"/>
  <c r="BX19" i="7"/>
  <c r="BY19" i="7"/>
  <c r="BZ19" i="7"/>
  <c r="CA19" i="7"/>
  <c r="CB19" i="7"/>
  <c r="CC19" i="7"/>
  <c r="CD19" i="7"/>
  <c r="CE19" i="7"/>
  <c r="CF19" i="7"/>
  <c r="CG19" i="7"/>
  <c r="CH19" i="7"/>
  <c r="CI19" i="7"/>
  <c r="BN20" i="7"/>
  <c r="BO20" i="7"/>
  <c r="BP20" i="7"/>
  <c r="BQ20" i="7"/>
  <c r="BR20" i="7"/>
  <c r="BS20" i="7"/>
  <c r="BT20" i="7"/>
  <c r="BU20" i="7"/>
  <c r="BV20" i="7"/>
  <c r="BW20" i="7"/>
  <c r="BX20" i="7"/>
  <c r="BY20" i="7"/>
  <c r="BZ20" i="7"/>
  <c r="CA20" i="7"/>
  <c r="CB20" i="7"/>
  <c r="CC20" i="7"/>
  <c r="CD20" i="7"/>
  <c r="CE20" i="7"/>
  <c r="CF20" i="7"/>
  <c r="CG20" i="7"/>
  <c r="CH20" i="7"/>
  <c r="CI20" i="7"/>
  <c r="BN21" i="7"/>
  <c r="BO21" i="7"/>
  <c r="BP21" i="7"/>
  <c r="BQ21" i="7"/>
  <c r="BR21" i="7"/>
  <c r="BS21" i="7"/>
  <c r="BT21" i="7"/>
  <c r="BU21" i="7"/>
  <c r="BV21" i="7"/>
  <c r="BW21" i="7"/>
  <c r="BX21" i="7"/>
  <c r="BY21" i="7"/>
  <c r="BZ21" i="7"/>
  <c r="CA21" i="7"/>
  <c r="CB21" i="7"/>
  <c r="CC21" i="7"/>
  <c r="CD21" i="7"/>
  <c r="CE21" i="7"/>
  <c r="CF21" i="7"/>
  <c r="CG21" i="7"/>
  <c r="CH21" i="7"/>
  <c r="CI21" i="7"/>
  <c r="BN22" i="7"/>
  <c r="BO22" i="7"/>
  <c r="BP22" i="7"/>
  <c r="BQ22" i="7"/>
  <c r="BR22" i="7"/>
  <c r="BS22" i="7"/>
  <c r="BT22" i="7"/>
  <c r="BU22" i="7"/>
  <c r="BV22" i="7"/>
  <c r="BW22" i="7"/>
  <c r="BX22" i="7"/>
  <c r="BY22" i="7"/>
  <c r="BZ22" i="7"/>
  <c r="CA22" i="7"/>
  <c r="CB22" i="7"/>
  <c r="CC22" i="7"/>
  <c r="CD22" i="7"/>
  <c r="CE22" i="7"/>
  <c r="CF22" i="7"/>
  <c r="CG22" i="7"/>
  <c r="CH22" i="7"/>
  <c r="CI22" i="7"/>
  <c r="BN23" i="7"/>
  <c r="BO23" i="7"/>
  <c r="BP23" i="7"/>
  <c r="BQ23" i="7"/>
  <c r="BR23" i="7"/>
  <c r="BS23" i="7"/>
  <c r="BT23" i="7"/>
  <c r="BU23" i="7"/>
  <c r="BV23" i="7"/>
  <c r="BW23" i="7"/>
  <c r="BX23" i="7"/>
  <c r="BY23" i="7"/>
  <c r="BZ23" i="7"/>
  <c r="CA23" i="7"/>
  <c r="CB23" i="7"/>
  <c r="CC23" i="7"/>
  <c r="CD23" i="7"/>
  <c r="CE23" i="7"/>
  <c r="CF23" i="7"/>
  <c r="CG23" i="7"/>
  <c r="CH23" i="7"/>
  <c r="CI23" i="7"/>
  <c r="BN24" i="7"/>
  <c r="BO24" i="7"/>
  <c r="BP24" i="7"/>
  <c r="BQ24" i="7"/>
  <c r="BR24" i="7"/>
  <c r="BS24" i="7"/>
  <c r="BT24" i="7"/>
  <c r="BU24" i="7"/>
  <c r="BV24" i="7"/>
  <c r="BW24" i="7"/>
  <c r="BX24" i="7"/>
  <c r="BY24" i="7"/>
  <c r="BZ24" i="7"/>
  <c r="CA24" i="7"/>
  <c r="CB24" i="7"/>
  <c r="CC24" i="7"/>
  <c r="CD24" i="7"/>
  <c r="CE24" i="7"/>
  <c r="CF24" i="7"/>
  <c r="CG24" i="7"/>
  <c r="CH24" i="7"/>
  <c r="CI24" i="7"/>
  <c r="BN25" i="7"/>
  <c r="BO25" i="7"/>
  <c r="BP25" i="7"/>
  <c r="BQ25" i="7"/>
  <c r="BR25" i="7"/>
  <c r="BS25" i="7"/>
  <c r="BT25" i="7"/>
  <c r="BU25" i="7"/>
  <c r="BV25" i="7"/>
  <c r="BW25" i="7"/>
  <c r="BX25" i="7"/>
  <c r="BY25" i="7"/>
  <c r="BZ25" i="7"/>
  <c r="CA25" i="7"/>
  <c r="CB25" i="7"/>
  <c r="CC25" i="7"/>
  <c r="CD25" i="7"/>
  <c r="CE25" i="7"/>
  <c r="CF25" i="7"/>
  <c r="CG25" i="7"/>
  <c r="CH25" i="7"/>
  <c r="CI25" i="7"/>
  <c r="BN26" i="7"/>
  <c r="BO26" i="7"/>
  <c r="BP26" i="7"/>
  <c r="BQ26" i="7"/>
  <c r="BR26" i="7"/>
  <c r="BS26" i="7"/>
  <c r="BT26" i="7"/>
  <c r="BU26" i="7"/>
  <c r="BV26" i="7"/>
  <c r="BW26" i="7"/>
  <c r="BX26" i="7"/>
  <c r="BY26" i="7"/>
  <c r="BZ26" i="7"/>
  <c r="CA26" i="7"/>
  <c r="CB26" i="7"/>
  <c r="CC26" i="7"/>
  <c r="CD26" i="7"/>
  <c r="CE26" i="7"/>
  <c r="CF26" i="7"/>
  <c r="CG26" i="7"/>
  <c r="CH26" i="7"/>
  <c r="CI26" i="7"/>
  <c r="BN27" i="7"/>
  <c r="BO27" i="7"/>
  <c r="BP27" i="7"/>
  <c r="BQ27" i="7"/>
  <c r="BR27" i="7"/>
  <c r="BS27" i="7"/>
  <c r="BT27" i="7"/>
  <c r="BU27" i="7"/>
  <c r="BV27" i="7"/>
  <c r="BW27" i="7"/>
  <c r="BX27" i="7"/>
  <c r="BY27" i="7"/>
  <c r="BZ27" i="7"/>
  <c r="CA27" i="7"/>
  <c r="CB27" i="7"/>
  <c r="CC27" i="7"/>
  <c r="CD27" i="7"/>
  <c r="CE27" i="7"/>
  <c r="CF27" i="7"/>
  <c r="CG27" i="7"/>
  <c r="CH27" i="7"/>
  <c r="CI27" i="7"/>
  <c r="BN28" i="7"/>
  <c r="BO28" i="7"/>
  <c r="BP28" i="7"/>
  <c r="BQ28" i="7"/>
  <c r="BR28" i="7"/>
  <c r="BS28" i="7"/>
  <c r="BT28" i="7"/>
  <c r="BU28" i="7"/>
  <c r="BV28" i="7"/>
  <c r="BW28" i="7"/>
  <c r="BX28" i="7"/>
  <c r="BY28" i="7"/>
  <c r="BZ28" i="7"/>
  <c r="CA28" i="7"/>
  <c r="CB28" i="7"/>
  <c r="CC28" i="7"/>
  <c r="CD28" i="7"/>
  <c r="CE28" i="7"/>
  <c r="CF28" i="7"/>
  <c r="CG28" i="7"/>
  <c r="CH28" i="7"/>
  <c r="CI28" i="7"/>
  <c r="BN29" i="7"/>
  <c r="BO29" i="7"/>
  <c r="BP29" i="7"/>
  <c r="BQ29" i="7"/>
  <c r="BR29" i="7"/>
  <c r="BS29" i="7"/>
  <c r="BT29" i="7"/>
  <c r="BU29" i="7"/>
  <c r="BV29" i="7"/>
  <c r="BW29" i="7"/>
  <c r="BX29" i="7"/>
  <c r="BY29" i="7"/>
  <c r="BZ29" i="7"/>
  <c r="CA29" i="7"/>
  <c r="CB29" i="7"/>
  <c r="CC29" i="7"/>
  <c r="CD29" i="7"/>
  <c r="CE29" i="7"/>
  <c r="CF29" i="7"/>
  <c r="CG29" i="7"/>
  <c r="CH29" i="7"/>
  <c r="CI29" i="7"/>
  <c r="BN30" i="7"/>
  <c r="BO30" i="7"/>
  <c r="BP30" i="7"/>
  <c r="BQ30" i="7"/>
  <c r="BR30" i="7"/>
  <c r="BS30" i="7"/>
  <c r="BT30" i="7"/>
  <c r="BU30" i="7"/>
  <c r="BV30" i="7"/>
  <c r="BW30" i="7"/>
  <c r="BX30" i="7"/>
  <c r="BY30" i="7"/>
  <c r="BZ30" i="7"/>
  <c r="CA30" i="7"/>
  <c r="CB30" i="7"/>
  <c r="CC30" i="7"/>
  <c r="CD30" i="7"/>
  <c r="CE30" i="7"/>
  <c r="CF30" i="7"/>
  <c r="CG30" i="7"/>
  <c r="CH30" i="7"/>
  <c r="CI30" i="7"/>
  <c r="BN31" i="7"/>
  <c r="BO31" i="7"/>
  <c r="BP31" i="7"/>
  <c r="BQ31" i="7"/>
  <c r="BR31" i="7"/>
  <c r="BS31" i="7"/>
  <c r="BT31" i="7"/>
  <c r="BU31" i="7"/>
  <c r="BV31" i="7"/>
  <c r="BW31" i="7"/>
  <c r="BX31" i="7"/>
  <c r="BY31" i="7"/>
  <c r="BZ31" i="7"/>
  <c r="CA31" i="7"/>
  <c r="CB31" i="7"/>
  <c r="CC31" i="7"/>
  <c r="CD31" i="7"/>
  <c r="CE31" i="7"/>
  <c r="CF31" i="7"/>
  <c r="CG31" i="7"/>
  <c r="CH31" i="7"/>
  <c r="CI31" i="7"/>
  <c r="BN32" i="7"/>
  <c r="BO32" i="7"/>
  <c r="BP32" i="7"/>
  <c r="BQ32" i="7"/>
  <c r="BR32" i="7"/>
  <c r="BS32" i="7"/>
  <c r="BT32" i="7"/>
  <c r="BU32" i="7"/>
  <c r="BV32" i="7"/>
  <c r="BW32" i="7"/>
  <c r="BX32" i="7"/>
  <c r="BY32" i="7"/>
  <c r="BZ32" i="7"/>
  <c r="CA32" i="7"/>
  <c r="CB32" i="7"/>
  <c r="CC32" i="7"/>
  <c r="CD32" i="7"/>
  <c r="CE32" i="7"/>
  <c r="CF32" i="7"/>
  <c r="CG32" i="7"/>
  <c r="CH32" i="7"/>
  <c r="CI32" i="7"/>
  <c r="BN33" i="7"/>
  <c r="BO33" i="7"/>
  <c r="BP33" i="7"/>
  <c r="BQ33" i="7"/>
  <c r="BR33" i="7"/>
  <c r="BS33" i="7"/>
  <c r="BT33" i="7"/>
  <c r="BU33" i="7"/>
  <c r="BV33" i="7"/>
  <c r="BW33" i="7"/>
  <c r="BX33" i="7"/>
  <c r="BY33" i="7"/>
  <c r="BZ33" i="7"/>
  <c r="CA33" i="7"/>
  <c r="CB33" i="7"/>
  <c r="CC33" i="7"/>
  <c r="CD33" i="7"/>
  <c r="CE33" i="7"/>
  <c r="CF33" i="7"/>
  <c r="CG33" i="7"/>
  <c r="CH33" i="7"/>
  <c r="CI33" i="7"/>
  <c r="BN34" i="7"/>
  <c r="BO34" i="7"/>
  <c r="BP34" i="7"/>
  <c r="BQ34" i="7"/>
  <c r="BR34" i="7"/>
  <c r="BS34" i="7"/>
  <c r="BT34" i="7"/>
  <c r="BU34" i="7"/>
  <c r="BV34" i="7"/>
  <c r="BW34" i="7"/>
  <c r="BX34" i="7"/>
  <c r="BY34" i="7"/>
  <c r="BZ34" i="7"/>
  <c r="CA34" i="7"/>
  <c r="CB34" i="7"/>
  <c r="CC34" i="7"/>
  <c r="CD34" i="7"/>
  <c r="CE34" i="7"/>
  <c r="CF34" i="7"/>
  <c r="CG34" i="7"/>
  <c r="CH34" i="7"/>
  <c r="CI34" i="7"/>
  <c r="BN35" i="7"/>
  <c r="BO35" i="7"/>
  <c r="BP35" i="7"/>
  <c r="BQ35" i="7"/>
  <c r="BR35" i="7"/>
  <c r="BS35" i="7"/>
  <c r="BT35" i="7"/>
  <c r="BU35" i="7"/>
  <c r="BV35" i="7"/>
  <c r="BW35" i="7"/>
  <c r="BX35" i="7"/>
  <c r="BY35" i="7"/>
  <c r="BZ35" i="7"/>
  <c r="CA35" i="7"/>
  <c r="CB35" i="7"/>
  <c r="CC35" i="7"/>
  <c r="CD35" i="7"/>
  <c r="CE35" i="7"/>
  <c r="CF35" i="7"/>
  <c r="CG35" i="7"/>
  <c r="CH35" i="7"/>
  <c r="CI35" i="7"/>
  <c r="BN36" i="7"/>
  <c r="BO36" i="7"/>
  <c r="BP36" i="7"/>
  <c r="BQ36" i="7"/>
  <c r="BR36" i="7"/>
  <c r="BS36" i="7"/>
  <c r="BT36" i="7"/>
  <c r="BU36" i="7"/>
  <c r="BV36" i="7"/>
  <c r="BW36" i="7"/>
  <c r="BX36" i="7"/>
  <c r="BY36" i="7"/>
  <c r="BZ36" i="7"/>
  <c r="CA36" i="7"/>
  <c r="CB36" i="7"/>
  <c r="CC36" i="7"/>
  <c r="CD36" i="7"/>
  <c r="CE36" i="7"/>
  <c r="CF36" i="7"/>
  <c r="CG36" i="7"/>
  <c r="CH36" i="7"/>
  <c r="CI36" i="7"/>
  <c r="BN37" i="7"/>
  <c r="BO37" i="7"/>
  <c r="BP37" i="7"/>
  <c r="BQ37" i="7"/>
  <c r="BR37" i="7"/>
  <c r="BS37" i="7"/>
  <c r="BT37" i="7"/>
  <c r="BU37" i="7"/>
  <c r="BV37" i="7"/>
  <c r="BW37" i="7"/>
  <c r="BX37" i="7"/>
  <c r="BY37" i="7"/>
  <c r="BZ37" i="7"/>
  <c r="CA37" i="7"/>
  <c r="CB37" i="7"/>
  <c r="CC37" i="7"/>
  <c r="CD37" i="7"/>
  <c r="CE37" i="7"/>
  <c r="CF37" i="7"/>
  <c r="CG37" i="7"/>
  <c r="CH37" i="7"/>
  <c r="CI37" i="7"/>
  <c r="BN38" i="7"/>
  <c r="BO38" i="7"/>
  <c r="BP38" i="7"/>
  <c r="BQ38" i="7"/>
  <c r="BR38" i="7"/>
  <c r="BS38" i="7"/>
  <c r="BT38" i="7"/>
  <c r="BU38" i="7"/>
  <c r="BV38" i="7"/>
  <c r="BW38" i="7"/>
  <c r="BX38" i="7"/>
  <c r="BY38" i="7"/>
  <c r="BZ38" i="7"/>
  <c r="CA38" i="7"/>
  <c r="CB38" i="7"/>
  <c r="CC38" i="7"/>
  <c r="CD38" i="7"/>
  <c r="CE38" i="7"/>
  <c r="CF38" i="7"/>
  <c r="CG38" i="7"/>
  <c r="CH38" i="7"/>
  <c r="CI38" i="7"/>
  <c r="BN39" i="7"/>
  <c r="BO39" i="7"/>
  <c r="BP39" i="7"/>
  <c r="BQ39" i="7"/>
  <c r="BR39" i="7"/>
  <c r="BS39" i="7"/>
  <c r="BT39" i="7"/>
  <c r="BU39" i="7"/>
  <c r="BV39" i="7"/>
  <c r="BW39" i="7"/>
  <c r="BX39" i="7"/>
  <c r="BY39" i="7"/>
  <c r="BZ39" i="7"/>
  <c r="CA39" i="7"/>
  <c r="CB39" i="7"/>
  <c r="CC39" i="7"/>
  <c r="CD39" i="7"/>
  <c r="CE39" i="7"/>
  <c r="CF39" i="7"/>
  <c r="CG39" i="7"/>
  <c r="CH39" i="7"/>
  <c r="CI39" i="7"/>
  <c r="BN40" i="7"/>
  <c r="BO40" i="7"/>
  <c r="BP40" i="7"/>
  <c r="BQ40" i="7"/>
  <c r="BR40" i="7"/>
  <c r="BS40" i="7"/>
  <c r="BT40" i="7"/>
  <c r="BU40" i="7"/>
  <c r="BV40" i="7"/>
  <c r="BW40" i="7"/>
  <c r="BX40" i="7"/>
  <c r="BY40" i="7"/>
  <c r="BZ40" i="7"/>
  <c r="CA40" i="7"/>
  <c r="CB40" i="7"/>
  <c r="CC40" i="7"/>
  <c r="CD40" i="7"/>
  <c r="CE40" i="7"/>
  <c r="CF40" i="7"/>
  <c r="CG40" i="7"/>
  <c r="CH40" i="7"/>
  <c r="CI40" i="7"/>
  <c r="BN41" i="7"/>
  <c r="BO41" i="7"/>
  <c r="BP41" i="7"/>
  <c r="BQ41" i="7"/>
  <c r="BR41" i="7"/>
  <c r="BS41" i="7"/>
  <c r="BT41" i="7"/>
  <c r="BU41" i="7"/>
  <c r="BV41" i="7"/>
  <c r="BW41" i="7"/>
  <c r="BX41" i="7"/>
  <c r="BY41" i="7"/>
  <c r="BZ41" i="7"/>
  <c r="CA41" i="7"/>
  <c r="CB41" i="7"/>
  <c r="CC41" i="7"/>
  <c r="CD41" i="7"/>
  <c r="CE41" i="7"/>
  <c r="CF41" i="7"/>
  <c r="CG41" i="7"/>
  <c r="CH41" i="7"/>
  <c r="CI41" i="7"/>
  <c r="BN42" i="7"/>
  <c r="BO42" i="7"/>
  <c r="BP42" i="7"/>
  <c r="BQ42" i="7"/>
  <c r="BR42" i="7"/>
  <c r="BS42" i="7"/>
  <c r="BT42" i="7"/>
  <c r="BU42" i="7"/>
  <c r="BV42" i="7"/>
  <c r="BW42" i="7"/>
  <c r="BX42" i="7"/>
  <c r="BY42" i="7"/>
  <c r="BZ42" i="7"/>
  <c r="CA42" i="7"/>
  <c r="CB42" i="7"/>
  <c r="CC42" i="7"/>
  <c r="CD42" i="7"/>
  <c r="CE42" i="7"/>
  <c r="CF42" i="7"/>
  <c r="CG42" i="7"/>
  <c r="CH42" i="7"/>
  <c r="CI42" i="7"/>
  <c r="BN43" i="7"/>
  <c r="BO43" i="7"/>
  <c r="BP43" i="7"/>
  <c r="BQ43" i="7"/>
  <c r="BR43" i="7"/>
  <c r="BS43" i="7"/>
  <c r="BT43" i="7"/>
  <c r="BU43" i="7"/>
  <c r="BV43" i="7"/>
  <c r="BW43" i="7"/>
  <c r="BX43" i="7"/>
  <c r="BY43" i="7"/>
  <c r="BZ43" i="7"/>
  <c r="CA43" i="7"/>
  <c r="CB43" i="7"/>
  <c r="CC43" i="7"/>
  <c r="CD43" i="7"/>
  <c r="CE43" i="7"/>
  <c r="CF43" i="7"/>
  <c r="CG43" i="7"/>
  <c r="CH43" i="7"/>
  <c r="CI43" i="7"/>
  <c r="BN44" i="7"/>
  <c r="BO44" i="7"/>
  <c r="BP44" i="7"/>
  <c r="BQ44" i="7"/>
  <c r="BR44" i="7"/>
  <c r="BS44" i="7"/>
  <c r="BT44" i="7"/>
  <c r="BU44" i="7"/>
  <c r="BV44" i="7"/>
  <c r="BW44" i="7"/>
  <c r="BX44" i="7"/>
  <c r="BY44" i="7"/>
  <c r="BZ44" i="7"/>
  <c r="CA44" i="7"/>
  <c r="CB44" i="7"/>
  <c r="CC44" i="7"/>
  <c r="CD44" i="7"/>
  <c r="CE44" i="7"/>
  <c r="CF44" i="7"/>
  <c r="CG44" i="7"/>
  <c r="CH44" i="7"/>
  <c r="CI44" i="7"/>
  <c r="BN45" i="7"/>
  <c r="BO45" i="7"/>
  <c r="BP45" i="7"/>
  <c r="BQ45" i="7"/>
  <c r="BR45" i="7"/>
  <c r="BS45" i="7"/>
  <c r="BT45" i="7"/>
  <c r="BU45" i="7"/>
  <c r="BV45" i="7"/>
  <c r="BW45" i="7"/>
  <c r="BX45" i="7"/>
  <c r="BY45" i="7"/>
  <c r="BZ45" i="7"/>
  <c r="CA45" i="7"/>
  <c r="CB45" i="7"/>
  <c r="CC45" i="7"/>
  <c r="CD45" i="7"/>
  <c r="CE45" i="7"/>
  <c r="CF45" i="7"/>
  <c r="CG45" i="7"/>
  <c r="CH45" i="7"/>
  <c r="CI45" i="7"/>
  <c r="BN46" i="7"/>
  <c r="BO46" i="7"/>
  <c r="BP46" i="7"/>
  <c r="BQ46" i="7"/>
  <c r="BR46" i="7"/>
  <c r="BS46" i="7"/>
  <c r="BT46" i="7"/>
  <c r="BU46" i="7"/>
  <c r="BV46" i="7"/>
  <c r="BW46" i="7"/>
  <c r="BX46" i="7"/>
  <c r="BY46" i="7"/>
  <c r="BZ46" i="7"/>
  <c r="CA46" i="7"/>
  <c r="CB46" i="7"/>
  <c r="CC46" i="7"/>
  <c r="CD46" i="7"/>
  <c r="CE46" i="7"/>
  <c r="CF46" i="7"/>
  <c r="CG46" i="7"/>
  <c r="CH46" i="7"/>
  <c r="CI46" i="7"/>
  <c r="BN47" i="7"/>
  <c r="BO47" i="7"/>
  <c r="BP47" i="7"/>
  <c r="BQ47" i="7"/>
  <c r="BR47" i="7"/>
  <c r="BS47" i="7"/>
  <c r="BT47" i="7"/>
  <c r="BU47" i="7"/>
  <c r="BV47" i="7"/>
  <c r="BW47" i="7"/>
  <c r="BX47" i="7"/>
  <c r="BY47" i="7"/>
  <c r="BZ47" i="7"/>
  <c r="CA47" i="7"/>
  <c r="CB47" i="7"/>
  <c r="CC47" i="7"/>
  <c r="CD47" i="7"/>
  <c r="CE47" i="7"/>
  <c r="CF47" i="7"/>
  <c r="CG47" i="7"/>
  <c r="CH47" i="7"/>
  <c r="CI47" i="7"/>
  <c r="BN48" i="7"/>
  <c r="BO48" i="7"/>
  <c r="BP48" i="7"/>
  <c r="BQ48" i="7"/>
  <c r="BR48" i="7"/>
  <c r="BS48" i="7"/>
  <c r="BT48" i="7"/>
  <c r="BU48" i="7"/>
  <c r="BV48" i="7"/>
  <c r="BW48" i="7"/>
  <c r="BX48" i="7"/>
  <c r="BY48" i="7"/>
  <c r="BZ48" i="7"/>
  <c r="CA48" i="7"/>
  <c r="CB48" i="7"/>
  <c r="CC48" i="7"/>
  <c r="CD48" i="7"/>
  <c r="CE48" i="7"/>
  <c r="CF48" i="7"/>
  <c r="CG48" i="7"/>
  <c r="CH48" i="7"/>
  <c r="CI48" i="7"/>
  <c r="BN49" i="7"/>
  <c r="BO49" i="7"/>
  <c r="BP49" i="7"/>
  <c r="BQ49" i="7"/>
  <c r="BR49" i="7"/>
  <c r="BS49" i="7"/>
  <c r="BT49" i="7"/>
  <c r="BU49" i="7"/>
  <c r="BV49" i="7"/>
  <c r="BW49" i="7"/>
  <c r="BX49" i="7"/>
  <c r="BY49" i="7"/>
  <c r="BZ49" i="7"/>
  <c r="CA49" i="7"/>
  <c r="CB49" i="7"/>
  <c r="CC49" i="7"/>
  <c r="CD49" i="7"/>
  <c r="CE49" i="7"/>
  <c r="CF49" i="7"/>
  <c r="CG49" i="7"/>
  <c r="CH49" i="7"/>
  <c r="CI49" i="7"/>
  <c r="BN50" i="7"/>
  <c r="BO50" i="7"/>
  <c r="BP50" i="7"/>
  <c r="BQ50" i="7"/>
  <c r="BR50" i="7"/>
  <c r="BS50" i="7"/>
  <c r="BT50" i="7"/>
  <c r="BU50" i="7"/>
  <c r="BV50" i="7"/>
  <c r="BW50" i="7"/>
  <c r="BX50" i="7"/>
  <c r="BY50" i="7"/>
  <c r="BZ50" i="7"/>
  <c r="CA50" i="7"/>
  <c r="CB50" i="7"/>
  <c r="CC50" i="7"/>
  <c r="CD50" i="7"/>
  <c r="CE50" i="7"/>
  <c r="CF50" i="7"/>
  <c r="CG50" i="7"/>
  <c r="CH50" i="7"/>
  <c r="CI50" i="7"/>
  <c r="BN51" i="7"/>
  <c r="BO51" i="7"/>
  <c r="BP51" i="7"/>
  <c r="BQ51" i="7"/>
  <c r="BR51" i="7"/>
  <c r="BS51" i="7"/>
  <c r="BT51" i="7"/>
  <c r="BU51" i="7"/>
  <c r="BV51" i="7"/>
  <c r="BW51" i="7"/>
  <c r="BX51" i="7"/>
  <c r="BY51" i="7"/>
  <c r="BZ51" i="7"/>
  <c r="CA51" i="7"/>
  <c r="CB51" i="7"/>
  <c r="CC51" i="7"/>
  <c r="CD51" i="7"/>
  <c r="CE51" i="7"/>
  <c r="CF51" i="7"/>
  <c r="CG51" i="7"/>
  <c r="CH51" i="7"/>
  <c r="CI51" i="7"/>
  <c r="BN52" i="7"/>
  <c r="BO52" i="7"/>
  <c r="BP52" i="7"/>
  <c r="BQ52" i="7"/>
  <c r="BR52" i="7"/>
  <c r="BS52" i="7"/>
  <c r="BT52" i="7"/>
  <c r="BU52" i="7"/>
  <c r="BV52" i="7"/>
  <c r="BW52" i="7"/>
  <c r="BX52" i="7"/>
  <c r="BY52" i="7"/>
  <c r="BZ52" i="7"/>
  <c r="CA52" i="7"/>
  <c r="CB52" i="7"/>
  <c r="CC52" i="7"/>
  <c r="CD52" i="7"/>
  <c r="CE52" i="7"/>
  <c r="CF52" i="7"/>
  <c r="CG52" i="7"/>
  <c r="CH52" i="7"/>
  <c r="CI52" i="7"/>
  <c r="BN53" i="7"/>
  <c r="BO53" i="7"/>
  <c r="BP53" i="7"/>
  <c r="BQ53" i="7"/>
  <c r="BR53" i="7"/>
  <c r="BS53" i="7"/>
  <c r="BT53" i="7"/>
  <c r="BU53" i="7"/>
  <c r="BV53" i="7"/>
  <c r="BW53" i="7"/>
  <c r="BX53" i="7"/>
  <c r="BY53" i="7"/>
  <c r="BZ53" i="7"/>
  <c r="CA53" i="7"/>
  <c r="CB53" i="7"/>
  <c r="CC53" i="7"/>
  <c r="CD53" i="7"/>
  <c r="CE53" i="7"/>
  <c r="CF53" i="7"/>
  <c r="CG53" i="7"/>
  <c r="CH53" i="7"/>
  <c r="CI53" i="7"/>
  <c r="BN54" i="7"/>
  <c r="BO54" i="7"/>
  <c r="BP54" i="7"/>
  <c r="BQ54" i="7"/>
  <c r="BR54" i="7"/>
  <c r="BS54" i="7"/>
  <c r="BT54" i="7"/>
  <c r="BU54" i="7"/>
  <c r="BV54" i="7"/>
  <c r="BW54" i="7"/>
  <c r="BX54" i="7"/>
  <c r="BY54" i="7"/>
  <c r="BZ54" i="7"/>
  <c r="CA54" i="7"/>
  <c r="CB54" i="7"/>
  <c r="CC54" i="7"/>
  <c r="CD54" i="7"/>
  <c r="CE54" i="7"/>
  <c r="CF54" i="7"/>
  <c r="CG54" i="7"/>
  <c r="CH54" i="7"/>
  <c r="CI54" i="7"/>
  <c r="BN55" i="7"/>
  <c r="BO55" i="7"/>
  <c r="BP55" i="7"/>
  <c r="BQ55" i="7"/>
  <c r="BR55" i="7"/>
  <c r="BS55" i="7"/>
  <c r="BT55" i="7"/>
  <c r="BU55" i="7"/>
  <c r="BV55" i="7"/>
  <c r="BW55" i="7"/>
  <c r="BX55" i="7"/>
  <c r="BY55" i="7"/>
  <c r="BZ55" i="7"/>
  <c r="CA55" i="7"/>
  <c r="CB55" i="7"/>
  <c r="CC55" i="7"/>
  <c r="CD55" i="7"/>
  <c r="CE55" i="7"/>
  <c r="CF55" i="7"/>
  <c r="CG55" i="7"/>
  <c r="CH55" i="7"/>
  <c r="CI55" i="7"/>
  <c r="BN56" i="7"/>
  <c r="BO56" i="7"/>
  <c r="BP56" i="7"/>
  <c r="BQ56" i="7"/>
  <c r="BR56" i="7"/>
  <c r="BS56" i="7"/>
  <c r="BT56" i="7"/>
  <c r="BU56" i="7"/>
  <c r="BV56" i="7"/>
  <c r="BW56" i="7"/>
  <c r="BX56" i="7"/>
  <c r="BY56" i="7"/>
  <c r="BZ56" i="7"/>
  <c r="CA56" i="7"/>
  <c r="CB56" i="7"/>
  <c r="CC56" i="7"/>
  <c r="CD56" i="7"/>
  <c r="CE56" i="7"/>
  <c r="CF56" i="7"/>
  <c r="CG56" i="7"/>
  <c r="CH56" i="7"/>
  <c r="CI56" i="7"/>
  <c r="BN57" i="7"/>
  <c r="BO57" i="7"/>
  <c r="BP57" i="7"/>
  <c r="BQ57" i="7"/>
  <c r="BR57" i="7"/>
  <c r="BS57" i="7"/>
  <c r="BT57" i="7"/>
  <c r="BU57" i="7"/>
  <c r="BV57" i="7"/>
  <c r="BW57" i="7"/>
  <c r="BX57" i="7"/>
  <c r="BY57" i="7"/>
  <c r="BZ57" i="7"/>
  <c r="CA57" i="7"/>
  <c r="CB57" i="7"/>
  <c r="CC57" i="7"/>
  <c r="CD57" i="7"/>
  <c r="CE57" i="7"/>
  <c r="CF57" i="7"/>
  <c r="CG57" i="7"/>
  <c r="CH57" i="7"/>
  <c r="CI57" i="7"/>
  <c r="BN58" i="7"/>
  <c r="BO58" i="7"/>
  <c r="BP58" i="7"/>
  <c r="BQ58" i="7"/>
  <c r="BR58" i="7"/>
  <c r="BS58" i="7"/>
  <c r="BT58" i="7"/>
  <c r="BU58" i="7"/>
  <c r="BV58" i="7"/>
  <c r="BW58" i="7"/>
  <c r="BX58" i="7"/>
  <c r="BY58" i="7"/>
  <c r="BZ58" i="7"/>
  <c r="CA58" i="7"/>
  <c r="CB58" i="7"/>
  <c r="CC58" i="7"/>
  <c r="CD58" i="7"/>
  <c r="CE58" i="7"/>
  <c r="CF58" i="7"/>
  <c r="CG58" i="7"/>
  <c r="CH58" i="7"/>
  <c r="CI58" i="7"/>
  <c r="BN59" i="7"/>
  <c r="BO59" i="7"/>
  <c r="BP59" i="7"/>
  <c r="BQ59" i="7"/>
  <c r="BR59" i="7"/>
  <c r="BS59" i="7"/>
  <c r="BT59" i="7"/>
  <c r="BU59" i="7"/>
  <c r="BV59" i="7"/>
  <c r="BW59" i="7"/>
  <c r="BX59" i="7"/>
  <c r="BY59" i="7"/>
  <c r="BZ59" i="7"/>
  <c r="CA59" i="7"/>
  <c r="CB59" i="7"/>
  <c r="CC59" i="7"/>
  <c r="CD59" i="7"/>
  <c r="CE59" i="7"/>
  <c r="CF59" i="7"/>
  <c r="CG59" i="7"/>
  <c r="CH59" i="7"/>
  <c r="CI59" i="7"/>
  <c r="BN60" i="7"/>
  <c r="BO60" i="7"/>
  <c r="BP60" i="7"/>
  <c r="BQ60" i="7"/>
  <c r="BR60" i="7"/>
  <c r="BS60" i="7"/>
  <c r="BT60" i="7"/>
  <c r="BU60" i="7"/>
  <c r="BV60" i="7"/>
  <c r="BW60" i="7"/>
  <c r="BX60" i="7"/>
  <c r="BY60" i="7"/>
  <c r="BZ60" i="7"/>
  <c r="CA60" i="7"/>
  <c r="CB60" i="7"/>
  <c r="CC60" i="7"/>
  <c r="CD60" i="7"/>
  <c r="CE60" i="7"/>
  <c r="CF60" i="7"/>
  <c r="CG60" i="7"/>
  <c r="CH60" i="7"/>
  <c r="CI60" i="7"/>
  <c r="BN61" i="7"/>
  <c r="BO61" i="7"/>
  <c r="BP61" i="7"/>
  <c r="BQ61" i="7"/>
  <c r="BR61" i="7"/>
  <c r="BS61" i="7"/>
  <c r="BT61" i="7"/>
  <c r="BU61" i="7"/>
  <c r="BV61" i="7"/>
  <c r="BW61" i="7"/>
  <c r="BX61" i="7"/>
  <c r="BY61" i="7"/>
  <c r="BZ61" i="7"/>
  <c r="CA61" i="7"/>
  <c r="CB61" i="7"/>
  <c r="CC61" i="7"/>
  <c r="CD61" i="7"/>
  <c r="CE61" i="7"/>
  <c r="CF61" i="7"/>
  <c r="CG61" i="7"/>
  <c r="CH61" i="7"/>
  <c r="CI61" i="7"/>
  <c r="BN62" i="7"/>
  <c r="BO62" i="7"/>
  <c r="BP62" i="7"/>
  <c r="BQ62" i="7"/>
  <c r="BR62" i="7"/>
  <c r="BS62" i="7"/>
  <c r="BT62" i="7"/>
  <c r="BU62" i="7"/>
  <c r="BV62" i="7"/>
  <c r="BW62" i="7"/>
  <c r="BX62" i="7"/>
  <c r="BY62" i="7"/>
  <c r="BZ62" i="7"/>
  <c r="CA62" i="7"/>
  <c r="CB62" i="7"/>
  <c r="CC62" i="7"/>
  <c r="CD62" i="7"/>
  <c r="CE62" i="7"/>
  <c r="CF62" i="7"/>
  <c r="CG62" i="7"/>
  <c r="CH62" i="7"/>
  <c r="CI62" i="7"/>
  <c r="BN63" i="7"/>
  <c r="BO63" i="7"/>
  <c r="BP63" i="7"/>
  <c r="BQ63" i="7"/>
  <c r="BR63" i="7"/>
  <c r="BS63" i="7"/>
  <c r="BT63" i="7"/>
  <c r="BU63" i="7"/>
  <c r="BV63" i="7"/>
  <c r="BW63" i="7"/>
  <c r="BX63" i="7"/>
  <c r="BY63" i="7"/>
  <c r="BZ63" i="7"/>
  <c r="CA63" i="7"/>
  <c r="CB63" i="7"/>
  <c r="CC63" i="7"/>
  <c r="CD63" i="7"/>
  <c r="CE63" i="7"/>
  <c r="CF63" i="7"/>
  <c r="CG63" i="7"/>
  <c r="CH63" i="7"/>
  <c r="CI63" i="7"/>
  <c r="BN64" i="7"/>
  <c r="BO64" i="7"/>
  <c r="BP64" i="7"/>
  <c r="BQ64" i="7"/>
  <c r="BR64" i="7"/>
  <c r="BS64" i="7"/>
  <c r="BT64" i="7"/>
  <c r="BU64" i="7"/>
  <c r="BV64" i="7"/>
  <c r="BW64" i="7"/>
  <c r="BX64" i="7"/>
  <c r="BY64" i="7"/>
  <c r="BZ64" i="7"/>
  <c r="CA64" i="7"/>
  <c r="CB64" i="7"/>
  <c r="CC64" i="7"/>
  <c r="CD64" i="7"/>
  <c r="CE64" i="7"/>
  <c r="CF64" i="7"/>
  <c r="CG64" i="7"/>
  <c r="CH64" i="7"/>
  <c r="CI64" i="7"/>
  <c r="BN65" i="7"/>
  <c r="BO65" i="7"/>
  <c r="BP65" i="7"/>
  <c r="BQ65" i="7"/>
  <c r="BR65" i="7"/>
  <c r="BS65" i="7"/>
  <c r="BT65" i="7"/>
  <c r="BU65" i="7"/>
  <c r="BV65" i="7"/>
  <c r="BW65" i="7"/>
  <c r="BX65" i="7"/>
  <c r="BY65" i="7"/>
  <c r="BZ65" i="7"/>
  <c r="CA65" i="7"/>
  <c r="CB65" i="7"/>
  <c r="CC65" i="7"/>
  <c r="CD65" i="7"/>
  <c r="CE65" i="7"/>
  <c r="CF65" i="7"/>
  <c r="CG65" i="7"/>
  <c r="CH65" i="7"/>
  <c r="CI65" i="7"/>
  <c r="BN66" i="7"/>
  <c r="BO66" i="7"/>
  <c r="BP66" i="7"/>
  <c r="BQ66" i="7"/>
  <c r="BR66" i="7"/>
  <c r="BS66" i="7"/>
  <c r="BT66" i="7"/>
  <c r="BU66" i="7"/>
  <c r="BV66" i="7"/>
  <c r="BW66" i="7"/>
  <c r="BX66" i="7"/>
  <c r="BY66" i="7"/>
  <c r="BZ66" i="7"/>
  <c r="CA66" i="7"/>
  <c r="CB66" i="7"/>
  <c r="CC66" i="7"/>
  <c r="CD66" i="7"/>
  <c r="CE66" i="7"/>
  <c r="CF66" i="7"/>
  <c r="CG66" i="7"/>
  <c r="CH66" i="7"/>
  <c r="CI66" i="7"/>
  <c r="BN67" i="7"/>
  <c r="BO67" i="7"/>
  <c r="BP67" i="7"/>
  <c r="BQ67" i="7"/>
  <c r="BR67" i="7"/>
  <c r="BS67" i="7"/>
  <c r="BT67" i="7"/>
  <c r="BU67" i="7"/>
  <c r="BV67" i="7"/>
  <c r="BW67" i="7"/>
  <c r="BX67" i="7"/>
  <c r="BY67" i="7"/>
  <c r="BZ67" i="7"/>
  <c r="CA67" i="7"/>
  <c r="CB67" i="7"/>
  <c r="CC67" i="7"/>
  <c r="CD67" i="7"/>
  <c r="CE67" i="7"/>
  <c r="CF67" i="7"/>
  <c r="CG67" i="7"/>
  <c r="CH67" i="7"/>
  <c r="CI67" i="7"/>
  <c r="BN68" i="7"/>
  <c r="BO68" i="7"/>
  <c r="BP68" i="7"/>
  <c r="BQ68" i="7"/>
  <c r="BR68" i="7"/>
  <c r="BS68" i="7"/>
  <c r="BT68" i="7"/>
  <c r="BU68" i="7"/>
  <c r="BV68" i="7"/>
  <c r="BW68" i="7"/>
  <c r="BX68" i="7"/>
  <c r="BY68" i="7"/>
  <c r="BZ68" i="7"/>
  <c r="CA68" i="7"/>
  <c r="CB68" i="7"/>
  <c r="CC68" i="7"/>
  <c r="CD68" i="7"/>
  <c r="CE68" i="7"/>
  <c r="CF68" i="7"/>
  <c r="CG68" i="7"/>
  <c r="CH68" i="7"/>
  <c r="CI68" i="7"/>
  <c r="BN69" i="7"/>
  <c r="BO69" i="7"/>
  <c r="BP69" i="7"/>
  <c r="BQ69" i="7"/>
  <c r="BR69" i="7"/>
  <c r="BS69" i="7"/>
  <c r="BT69" i="7"/>
  <c r="BU69" i="7"/>
  <c r="BV69" i="7"/>
  <c r="BW69" i="7"/>
  <c r="BX69" i="7"/>
  <c r="BY69" i="7"/>
  <c r="BZ69" i="7"/>
  <c r="CA69" i="7"/>
  <c r="CB69" i="7"/>
  <c r="CC69" i="7"/>
  <c r="CD69" i="7"/>
  <c r="CE69" i="7"/>
  <c r="CF69" i="7"/>
  <c r="CG69" i="7"/>
  <c r="CH69" i="7"/>
  <c r="CI69" i="7"/>
  <c r="BN70" i="7"/>
  <c r="BO70" i="7"/>
  <c r="BP70" i="7"/>
  <c r="BQ70" i="7"/>
  <c r="BR70" i="7"/>
  <c r="BS70" i="7"/>
  <c r="BT70" i="7"/>
  <c r="BU70" i="7"/>
  <c r="BV70" i="7"/>
  <c r="BW70" i="7"/>
  <c r="BX70" i="7"/>
  <c r="BY70" i="7"/>
  <c r="BZ70" i="7"/>
  <c r="CA70" i="7"/>
  <c r="CB70" i="7"/>
  <c r="CC70" i="7"/>
  <c r="CD70" i="7"/>
  <c r="CE70" i="7"/>
  <c r="CF70" i="7"/>
  <c r="CG70" i="7"/>
  <c r="CH70" i="7"/>
  <c r="CI70" i="7"/>
  <c r="BN71" i="7"/>
  <c r="BO71" i="7"/>
  <c r="BP71" i="7"/>
  <c r="BQ71" i="7"/>
  <c r="BR71" i="7"/>
  <c r="BS71" i="7"/>
  <c r="BT71" i="7"/>
  <c r="BU71" i="7"/>
  <c r="BV71" i="7"/>
  <c r="BW71" i="7"/>
  <c r="BX71" i="7"/>
  <c r="BY71" i="7"/>
  <c r="BZ71" i="7"/>
  <c r="CA71" i="7"/>
  <c r="CB71" i="7"/>
  <c r="CC71" i="7"/>
  <c r="CD71" i="7"/>
  <c r="CE71" i="7"/>
  <c r="CF71" i="7"/>
  <c r="CG71" i="7"/>
  <c r="CH71" i="7"/>
  <c r="CI71" i="7"/>
  <c r="BN72" i="7"/>
  <c r="BO72" i="7"/>
  <c r="BP72" i="7"/>
  <c r="BQ72" i="7"/>
  <c r="BR72" i="7"/>
  <c r="BS72" i="7"/>
  <c r="BT72" i="7"/>
  <c r="BU72" i="7"/>
  <c r="BV72" i="7"/>
  <c r="BW72" i="7"/>
  <c r="BX72" i="7"/>
  <c r="BY72" i="7"/>
  <c r="BZ72" i="7"/>
  <c r="CA72" i="7"/>
  <c r="CB72" i="7"/>
  <c r="CC72" i="7"/>
  <c r="CD72" i="7"/>
  <c r="CE72" i="7"/>
  <c r="CF72" i="7"/>
  <c r="CG72" i="7"/>
  <c r="CH72" i="7"/>
  <c r="CI72" i="7"/>
  <c r="BN73" i="7"/>
  <c r="BO73" i="7"/>
  <c r="BP73" i="7"/>
  <c r="BQ73" i="7"/>
  <c r="BR73" i="7"/>
  <c r="BS73" i="7"/>
  <c r="BT73" i="7"/>
  <c r="BU73" i="7"/>
  <c r="BV73" i="7"/>
  <c r="BW73" i="7"/>
  <c r="BX73" i="7"/>
  <c r="BY73" i="7"/>
  <c r="BZ73" i="7"/>
  <c r="CA73" i="7"/>
  <c r="CB73" i="7"/>
  <c r="CC73" i="7"/>
  <c r="CD73" i="7"/>
  <c r="CE73" i="7"/>
  <c r="CF73" i="7"/>
  <c r="CG73" i="7"/>
  <c r="CH73" i="7"/>
  <c r="CI73" i="7"/>
  <c r="BN74" i="7"/>
  <c r="BO74" i="7"/>
  <c r="BP74" i="7"/>
  <c r="BQ74" i="7"/>
  <c r="BR74" i="7"/>
  <c r="BS74" i="7"/>
  <c r="BT74" i="7"/>
  <c r="BU74" i="7"/>
  <c r="BV74" i="7"/>
  <c r="BW74" i="7"/>
  <c r="BX74" i="7"/>
  <c r="BY74" i="7"/>
  <c r="BZ74" i="7"/>
  <c r="CA74" i="7"/>
  <c r="CB74" i="7"/>
  <c r="CC74" i="7"/>
  <c r="CD74" i="7"/>
  <c r="CE74" i="7"/>
  <c r="CF74" i="7"/>
  <c r="CG74" i="7"/>
  <c r="CH74" i="7"/>
  <c r="CI74" i="7"/>
  <c r="BN75" i="7"/>
  <c r="BO75" i="7"/>
  <c r="BP75" i="7"/>
  <c r="BQ75" i="7"/>
  <c r="BR75" i="7"/>
  <c r="BS75" i="7"/>
  <c r="BT75" i="7"/>
  <c r="BU75" i="7"/>
  <c r="BV75" i="7"/>
  <c r="BW75" i="7"/>
  <c r="BX75" i="7"/>
  <c r="BY75" i="7"/>
  <c r="BZ75" i="7"/>
  <c r="CA75" i="7"/>
  <c r="CB75" i="7"/>
  <c r="CC75" i="7"/>
  <c r="CD75" i="7"/>
  <c r="CE75" i="7"/>
  <c r="CF75" i="7"/>
  <c r="CG75" i="7"/>
  <c r="CH75" i="7"/>
  <c r="CI75" i="7"/>
  <c r="BN76" i="7"/>
  <c r="BO76" i="7"/>
  <c r="BP76" i="7"/>
  <c r="BQ76" i="7"/>
  <c r="BR76" i="7"/>
  <c r="BS76" i="7"/>
  <c r="BT76" i="7"/>
  <c r="BU76" i="7"/>
  <c r="BV76" i="7"/>
  <c r="BW76" i="7"/>
  <c r="BX76" i="7"/>
  <c r="BY76" i="7"/>
  <c r="BZ76" i="7"/>
  <c r="CA76" i="7"/>
  <c r="CB76" i="7"/>
  <c r="CC76" i="7"/>
  <c r="CD76" i="7"/>
  <c r="CE76" i="7"/>
  <c r="CF76" i="7"/>
  <c r="CG76" i="7"/>
  <c r="CH76" i="7"/>
  <c r="CI76" i="7"/>
  <c r="BN77" i="7"/>
  <c r="BO77" i="7"/>
  <c r="BP77" i="7"/>
  <c r="BQ77" i="7"/>
  <c r="BR77" i="7"/>
  <c r="BS77" i="7"/>
  <c r="BT77" i="7"/>
  <c r="BU77" i="7"/>
  <c r="BV77" i="7"/>
  <c r="BW77" i="7"/>
  <c r="BX77" i="7"/>
  <c r="BY77" i="7"/>
  <c r="BZ77" i="7"/>
  <c r="CA77" i="7"/>
  <c r="CB77" i="7"/>
  <c r="CC77" i="7"/>
  <c r="CD77" i="7"/>
  <c r="CE77" i="7"/>
  <c r="CF77" i="7"/>
  <c r="CG77" i="7"/>
  <c r="CH77" i="7"/>
  <c r="CI77" i="7"/>
  <c r="BN78" i="7"/>
  <c r="BO78" i="7"/>
  <c r="BP78" i="7"/>
  <c r="BQ78" i="7"/>
  <c r="BR78" i="7"/>
  <c r="BS78" i="7"/>
  <c r="BT78" i="7"/>
  <c r="BU78" i="7"/>
  <c r="BV78" i="7"/>
  <c r="BW78" i="7"/>
  <c r="BX78" i="7"/>
  <c r="BY78" i="7"/>
  <c r="BZ78" i="7"/>
  <c r="CA78" i="7"/>
  <c r="CB78" i="7"/>
  <c r="CC78" i="7"/>
  <c r="CD78" i="7"/>
  <c r="CE78" i="7"/>
  <c r="CF78" i="7"/>
  <c r="CG78" i="7"/>
  <c r="CH78" i="7"/>
  <c r="CI78" i="7"/>
  <c r="BN79" i="7"/>
  <c r="BO79" i="7"/>
  <c r="BP79" i="7"/>
  <c r="BQ79" i="7"/>
  <c r="BR79" i="7"/>
  <c r="BS79" i="7"/>
  <c r="BT79" i="7"/>
  <c r="BU79" i="7"/>
  <c r="BV79" i="7"/>
  <c r="BW79" i="7"/>
  <c r="BX79" i="7"/>
  <c r="BY79" i="7"/>
  <c r="BZ79" i="7"/>
  <c r="CA79" i="7"/>
  <c r="CB79" i="7"/>
  <c r="CC79" i="7"/>
  <c r="CD79" i="7"/>
  <c r="CE79" i="7"/>
  <c r="CF79" i="7"/>
  <c r="CG79" i="7"/>
  <c r="CH79" i="7"/>
  <c r="CI79" i="7"/>
  <c r="BN80" i="7"/>
  <c r="BO80" i="7"/>
  <c r="BP80" i="7"/>
  <c r="BQ80" i="7"/>
  <c r="BR80" i="7"/>
  <c r="BS80" i="7"/>
  <c r="BT80" i="7"/>
  <c r="BU80" i="7"/>
  <c r="BV80" i="7"/>
  <c r="BW80" i="7"/>
  <c r="BX80" i="7"/>
  <c r="BY80" i="7"/>
  <c r="BZ80" i="7"/>
  <c r="CA80" i="7"/>
  <c r="CB80" i="7"/>
  <c r="CC80" i="7"/>
  <c r="CD80" i="7"/>
  <c r="CE80" i="7"/>
  <c r="CF80" i="7"/>
  <c r="CG80" i="7"/>
  <c r="CH80" i="7"/>
  <c r="CI80" i="7"/>
  <c r="BN81" i="7"/>
  <c r="BO81" i="7"/>
  <c r="BP81" i="7"/>
  <c r="BQ81" i="7"/>
  <c r="BR81" i="7"/>
  <c r="BS81" i="7"/>
  <c r="BT81" i="7"/>
  <c r="BU81" i="7"/>
  <c r="BV81" i="7"/>
  <c r="BW81" i="7"/>
  <c r="BX81" i="7"/>
  <c r="BY81" i="7"/>
  <c r="BZ81" i="7"/>
  <c r="CA81" i="7"/>
  <c r="CB81" i="7"/>
  <c r="CC81" i="7"/>
  <c r="CD81" i="7"/>
  <c r="CE81" i="7"/>
  <c r="CF81" i="7"/>
  <c r="CG81" i="7"/>
  <c r="CH81" i="7"/>
  <c r="CI81" i="7"/>
  <c r="BN82" i="7"/>
  <c r="BO82" i="7"/>
  <c r="BP82" i="7"/>
  <c r="BQ82" i="7"/>
  <c r="BR82" i="7"/>
  <c r="BS82" i="7"/>
  <c r="BT82" i="7"/>
  <c r="BU82" i="7"/>
  <c r="BV82" i="7"/>
  <c r="BW82" i="7"/>
  <c r="BX82" i="7"/>
  <c r="BY82" i="7"/>
  <c r="BZ82" i="7"/>
  <c r="CA82" i="7"/>
  <c r="CB82" i="7"/>
  <c r="CC82" i="7"/>
  <c r="CD82" i="7"/>
  <c r="CE82" i="7"/>
  <c r="CF82" i="7"/>
  <c r="CG82" i="7"/>
  <c r="CH82" i="7"/>
  <c r="CI82" i="7"/>
  <c r="BN83" i="7"/>
  <c r="BO83" i="7"/>
  <c r="BP83" i="7"/>
  <c r="BQ83" i="7"/>
  <c r="BR83" i="7"/>
  <c r="BS83" i="7"/>
  <c r="BT83" i="7"/>
  <c r="BU83" i="7"/>
  <c r="BV83" i="7"/>
  <c r="BW83" i="7"/>
  <c r="BX83" i="7"/>
  <c r="BY83" i="7"/>
  <c r="BZ83" i="7"/>
  <c r="CA83" i="7"/>
  <c r="CB83" i="7"/>
  <c r="CC83" i="7"/>
  <c r="CD83" i="7"/>
  <c r="CE83" i="7"/>
  <c r="CF83" i="7"/>
  <c r="CG83" i="7"/>
  <c r="CH83" i="7"/>
  <c r="CI83" i="7"/>
  <c r="BN84" i="7"/>
  <c r="BO84" i="7"/>
  <c r="BP84" i="7"/>
  <c r="BQ84" i="7"/>
  <c r="BR84" i="7"/>
  <c r="BS84" i="7"/>
  <c r="BT84" i="7"/>
  <c r="BU84" i="7"/>
  <c r="BV84" i="7"/>
  <c r="BW84" i="7"/>
  <c r="BX84" i="7"/>
  <c r="BY84" i="7"/>
  <c r="BZ84" i="7"/>
  <c r="CA84" i="7"/>
  <c r="CB84" i="7"/>
  <c r="CC84" i="7"/>
  <c r="CD84" i="7"/>
  <c r="CE84" i="7"/>
  <c r="CF84" i="7"/>
  <c r="CG84" i="7"/>
  <c r="CH84" i="7"/>
  <c r="CI84" i="7"/>
  <c r="BN85" i="7"/>
  <c r="BO85" i="7"/>
  <c r="BP85" i="7"/>
  <c r="BQ85" i="7"/>
  <c r="BR85" i="7"/>
  <c r="BS85" i="7"/>
  <c r="BT85" i="7"/>
  <c r="BU85" i="7"/>
  <c r="BV85" i="7"/>
  <c r="BW85" i="7"/>
  <c r="BX85" i="7"/>
  <c r="BY85" i="7"/>
  <c r="BZ85" i="7"/>
  <c r="CA85" i="7"/>
  <c r="CB85" i="7"/>
  <c r="CC85" i="7"/>
  <c r="CD85" i="7"/>
  <c r="CE85" i="7"/>
  <c r="CF85" i="7"/>
  <c r="CG85" i="7"/>
  <c r="CH85" i="7"/>
  <c r="CI85" i="7"/>
  <c r="BN86" i="7"/>
  <c r="BO86" i="7"/>
  <c r="BP86" i="7"/>
  <c r="BQ86" i="7"/>
  <c r="BR86" i="7"/>
  <c r="BS86" i="7"/>
  <c r="BT86" i="7"/>
  <c r="BU86" i="7"/>
  <c r="BV86" i="7"/>
  <c r="BW86" i="7"/>
  <c r="BX86" i="7"/>
  <c r="BY86" i="7"/>
  <c r="BZ86" i="7"/>
  <c r="CA86" i="7"/>
  <c r="CB86" i="7"/>
  <c r="CC86" i="7"/>
  <c r="CD86" i="7"/>
  <c r="CE86" i="7"/>
  <c r="CF86" i="7"/>
  <c r="CG86" i="7"/>
  <c r="CH86" i="7"/>
  <c r="CI86" i="7"/>
  <c r="BN87" i="7"/>
  <c r="BO87" i="7"/>
  <c r="BP87" i="7"/>
  <c r="BQ87" i="7"/>
  <c r="BR87" i="7"/>
  <c r="BS87" i="7"/>
  <c r="BT87" i="7"/>
  <c r="BU87" i="7"/>
  <c r="BV87" i="7"/>
  <c r="BW87" i="7"/>
  <c r="BX87" i="7"/>
  <c r="BY87" i="7"/>
  <c r="BZ87" i="7"/>
  <c r="CA87" i="7"/>
  <c r="CB87" i="7"/>
  <c r="CC87" i="7"/>
  <c r="CD87" i="7"/>
  <c r="CE87" i="7"/>
  <c r="CF87" i="7"/>
  <c r="CG87" i="7"/>
  <c r="CH87" i="7"/>
  <c r="CI87" i="7"/>
  <c r="BN88" i="7"/>
  <c r="BO88" i="7"/>
  <c r="BP88" i="7"/>
  <c r="BQ88" i="7"/>
  <c r="BR88" i="7"/>
  <c r="BS88" i="7"/>
  <c r="BT88" i="7"/>
  <c r="BU88" i="7"/>
  <c r="BV88" i="7"/>
  <c r="BW88" i="7"/>
  <c r="BX88" i="7"/>
  <c r="BY88" i="7"/>
  <c r="BZ88" i="7"/>
  <c r="CA88" i="7"/>
  <c r="CB88" i="7"/>
  <c r="CC88" i="7"/>
  <c r="CD88" i="7"/>
  <c r="CE88" i="7"/>
  <c r="CF88" i="7"/>
  <c r="CG88" i="7"/>
  <c r="CH88" i="7"/>
  <c r="CI88" i="7"/>
  <c r="BN89" i="7"/>
  <c r="BO89" i="7"/>
  <c r="BP89" i="7"/>
  <c r="BQ89" i="7"/>
  <c r="BR89" i="7"/>
  <c r="BS89" i="7"/>
  <c r="BT89" i="7"/>
  <c r="BU89" i="7"/>
  <c r="BV89" i="7"/>
  <c r="BW89" i="7"/>
  <c r="BX89" i="7"/>
  <c r="BY89" i="7"/>
  <c r="BZ89" i="7"/>
  <c r="CA89" i="7"/>
  <c r="CB89" i="7"/>
  <c r="CC89" i="7"/>
  <c r="CD89" i="7"/>
  <c r="CE89" i="7"/>
  <c r="CF89" i="7"/>
  <c r="CG89" i="7"/>
  <c r="CH89" i="7"/>
  <c r="CI89" i="7"/>
  <c r="BN90" i="7"/>
  <c r="BO90" i="7"/>
  <c r="BP90" i="7"/>
  <c r="BQ90" i="7"/>
  <c r="BR90" i="7"/>
  <c r="BS90" i="7"/>
  <c r="BT90" i="7"/>
  <c r="BU90" i="7"/>
  <c r="BV90" i="7"/>
  <c r="BW90" i="7"/>
  <c r="BX90" i="7"/>
  <c r="BY90" i="7"/>
  <c r="BZ90" i="7"/>
  <c r="CA90" i="7"/>
  <c r="CB90" i="7"/>
  <c r="CC90" i="7"/>
  <c r="CD90" i="7"/>
  <c r="CE90" i="7"/>
  <c r="CF90" i="7"/>
  <c r="CG90" i="7"/>
  <c r="CH90" i="7"/>
  <c r="CI90" i="7"/>
  <c r="BN91" i="7"/>
  <c r="BO91" i="7"/>
  <c r="BP91" i="7"/>
  <c r="BQ91" i="7"/>
  <c r="BR91" i="7"/>
  <c r="BS91" i="7"/>
  <c r="BT91" i="7"/>
  <c r="BU91" i="7"/>
  <c r="BV91" i="7"/>
  <c r="BW91" i="7"/>
  <c r="BX91" i="7"/>
  <c r="BY91" i="7"/>
  <c r="BZ91" i="7"/>
  <c r="CA91" i="7"/>
  <c r="CB91" i="7"/>
  <c r="CC91" i="7"/>
  <c r="CD91" i="7"/>
  <c r="CE91" i="7"/>
  <c r="CF91" i="7"/>
  <c r="CG91" i="7"/>
  <c r="CH91" i="7"/>
  <c r="CI91" i="7"/>
  <c r="BN92" i="7"/>
  <c r="BO92" i="7"/>
  <c r="BP92" i="7"/>
  <c r="BQ92" i="7"/>
  <c r="BR92" i="7"/>
  <c r="BS92" i="7"/>
  <c r="BT92" i="7"/>
  <c r="BU92" i="7"/>
  <c r="BV92" i="7"/>
  <c r="BW92" i="7"/>
  <c r="BX92" i="7"/>
  <c r="BY92" i="7"/>
  <c r="BZ92" i="7"/>
  <c r="CA92" i="7"/>
  <c r="CB92" i="7"/>
  <c r="CC92" i="7"/>
  <c r="CD92" i="7"/>
  <c r="CE92" i="7"/>
  <c r="CF92" i="7"/>
  <c r="CG92" i="7"/>
  <c r="CH92" i="7"/>
  <c r="CI92" i="7"/>
  <c r="BN93" i="7"/>
  <c r="BO93" i="7"/>
  <c r="BP93" i="7"/>
  <c r="BQ93" i="7"/>
  <c r="BR93" i="7"/>
  <c r="BS93" i="7"/>
  <c r="BT93" i="7"/>
  <c r="BU93" i="7"/>
  <c r="BV93" i="7"/>
  <c r="BW93" i="7"/>
  <c r="BX93" i="7"/>
  <c r="BY93" i="7"/>
  <c r="BZ93" i="7"/>
  <c r="CA93" i="7"/>
  <c r="CB93" i="7"/>
  <c r="CC93" i="7"/>
  <c r="CD93" i="7"/>
  <c r="CE93" i="7"/>
  <c r="CF93" i="7"/>
  <c r="CG93" i="7"/>
  <c r="CH93" i="7"/>
  <c r="CI93" i="7"/>
  <c r="BN94" i="7"/>
  <c r="BO94" i="7"/>
  <c r="BP94" i="7"/>
  <c r="BQ94" i="7"/>
  <c r="BR94" i="7"/>
  <c r="BS94" i="7"/>
  <c r="BT94" i="7"/>
  <c r="BU94" i="7"/>
  <c r="BV94" i="7"/>
  <c r="BW94" i="7"/>
  <c r="BX94" i="7"/>
  <c r="BY94" i="7"/>
  <c r="BZ94" i="7"/>
  <c r="CA94" i="7"/>
  <c r="CB94" i="7"/>
  <c r="CC94" i="7"/>
  <c r="CD94" i="7"/>
  <c r="CE94" i="7"/>
  <c r="CF94" i="7"/>
  <c r="CG94" i="7"/>
  <c r="CH94" i="7"/>
  <c r="CI94" i="7"/>
  <c r="BN95" i="7"/>
  <c r="BO95" i="7"/>
  <c r="BP95" i="7"/>
  <c r="BQ95" i="7"/>
  <c r="BR95" i="7"/>
  <c r="BS95" i="7"/>
  <c r="BT95" i="7"/>
  <c r="BU95" i="7"/>
  <c r="BV95" i="7"/>
  <c r="BW95" i="7"/>
  <c r="BX95" i="7"/>
  <c r="BY95" i="7"/>
  <c r="BZ95" i="7"/>
  <c r="CA95" i="7"/>
  <c r="CB95" i="7"/>
  <c r="CC95" i="7"/>
  <c r="CD95" i="7"/>
  <c r="CE95" i="7"/>
  <c r="CF95" i="7"/>
  <c r="CG95" i="7"/>
  <c r="CH95" i="7"/>
  <c r="CI95" i="7"/>
  <c r="BN96" i="7"/>
  <c r="BO96" i="7"/>
  <c r="BP96" i="7"/>
  <c r="BQ96" i="7"/>
  <c r="BR96" i="7"/>
  <c r="BS96" i="7"/>
  <c r="BT96" i="7"/>
  <c r="BU96" i="7"/>
  <c r="BV96" i="7"/>
  <c r="BW96" i="7"/>
  <c r="BX96" i="7"/>
  <c r="BY96" i="7"/>
  <c r="BZ96" i="7"/>
  <c r="CA96" i="7"/>
  <c r="CB96" i="7"/>
  <c r="CC96" i="7"/>
  <c r="CD96" i="7"/>
  <c r="CE96" i="7"/>
  <c r="CF96" i="7"/>
  <c r="CG96" i="7"/>
  <c r="CH96" i="7"/>
  <c r="CI96" i="7"/>
  <c r="BN97" i="7"/>
  <c r="BO97" i="7"/>
  <c r="BP97" i="7"/>
  <c r="BQ97" i="7"/>
  <c r="BR97" i="7"/>
  <c r="BS97" i="7"/>
  <c r="BT97" i="7"/>
  <c r="BU97" i="7"/>
  <c r="BV97" i="7"/>
  <c r="BW97" i="7"/>
  <c r="BX97" i="7"/>
  <c r="BY97" i="7"/>
  <c r="BZ97" i="7"/>
  <c r="CA97" i="7"/>
  <c r="CB97" i="7"/>
  <c r="CC97" i="7"/>
  <c r="CD97" i="7"/>
  <c r="CE97" i="7"/>
  <c r="CF97" i="7"/>
  <c r="CG97" i="7"/>
  <c r="CH97" i="7"/>
  <c r="CI97" i="7"/>
  <c r="BN98" i="7"/>
  <c r="BO98" i="7"/>
  <c r="BP98" i="7"/>
  <c r="BQ98" i="7"/>
  <c r="BR98" i="7"/>
  <c r="BS98" i="7"/>
  <c r="BT98" i="7"/>
  <c r="BU98" i="7"/>
  <c r="BV98" i="7"/>
  <c r="BW98" i="7"/>
  <c r="BX98" i="7"/>
  <c r="BY98" i="7"/>
  <c r="BZ98" i="7"/>
  <c r="CA98" i="7"/>
  <c r="CB98" i="7"/>
  <c r="CC98" i="7"/>
  <c r="CD98" i="7"/>
  <c r="CE98" i="7"/>
  <c r="CF98" i="7"/>
  <c r="CG98" i="7"/>
  <c r="CH98" i="7"/>
  <c r="CI98" i="7"/>
  <c r="BN99" i="7"/>
  <c r="BO99" i="7"/>
  <c r="BP99" i="7"/>
  <c r="BQ99" i="7"/>
  <c r="BR99" i="7"/>
  <c r="BS99" i="7"/>
  <c r="BT99" i="7"/>
  <c r="BU99" i="7"/>
  <c r="BV99" i="7"/>
  <c r="BW99" i="7"/>
  <c r="BX99" i="7"/>
  <c r="BY99" i="7"/>
  <c r="BZ99" i="7"/>
  <c r="CA99" i="7"/>
  <c r="CB99" i="7"/>
  <c r="CC99" i="7"/>
  <c r="CD99" i="7"/>
  <c r="CE99" i="7"/>
  <c r="CF99" i="7"/>
  <c r="CG99" i="7"/>
  <c r="CH99" i="7"/>
  <c r="CI99" i="7"/>
  <c r="BN100" i="7"/>
  <c r="BO100" i="7"/>
  <c r="BP100" i="7"/>
  <c r="BQ100" i="7"/>
  <c r="BR100" i="7"/>
  <c r="BS100" i="7"/>
  <c r="BT100" i="7"/>
  <c r="BU100" i="7"/>
  <c r="BV100" i="7"/>
  <c r="BW100" i="7"/>
  <c r="BX100" i="7"/>
  <c r="BY100" i="7"/>
  <c r="BZ100" i="7"/>
  <c r="CA100" i="7"/>
  <c r="CB100" i="7"/>
  <c r="CC100" i="7"/>
  <c r="CD100" i="7"/>
  <c r="CE100" i="7"/>
  <c r="CF100" i="7"/>
  <c r="CG100" i="7"/>
  <c r="CH100" i="7"/>
  <c r="CI100" i="7"/>
  <c r="BN101" i="7"/>
  <c r="BO101" i="7"/>
  <c r="BP101" i="7"/>
  <c r="BQ101" i="7"/>
  <c r="BR101" i="7"/>
  <c r="BS101" i="7"/>
  <c r="BT101" i="7"/>
  <c r="BU101" i="7"/>
  <c r="BV101" i="7"/>
  <c r="BW101" i="7"/>
  <c r="BX101" i="7"/>
  <c r="BY101" i="7"/>
  <c r="BZ101" i="7"/>
  <c r="CA101" i="7"/>
  <c r="CB101" i="7"/>
  <c r="CC101" i="7"/>
  <c r="CD101" i="7"/>
  <c r="CE101" i="7"/>
  <c r="CF101" i="7"/>
  <c r="CG101" i="7"/>
  <c r="CH101" i="7"/>
  <c r="CI101" i="7"/>
  <c r="BN102" i="7"/>
  <c r="BO102" i="7"/>
  <c r="BP102" i="7"/>
  <c r="BQ102" i="7"/>
  <c r="BR102" i="7"/>
  <c r="BS102" i="7"/>
  <c r="BT102" i="7"/>
  <c r="BU102" i="7"/>
  <c r="BV102" i="7"/>
  <c r="BW102" i="7"/>
  <c r="BX102" i="7"/>
  <c r="BY102" i="7"/>
  <c r="BZ102" i="7"/>
  <c r="CA102" i="7"/>
  <c r="CB102" i="7"/>
  <c r="CC102" i="7"/>
  <c r="CD102" i="7"/>
  <c r="CE102" i="7"/>
  <c r="CF102" i="7"/>
  <c r="CG102" i="7"/>
  <c r="CH102" i="7"/>
  <c r="CI102" i="7"/>
  <c r="BN103" i="7"/>
  <c r="BO103" i="7"/>
  <c r="BP103" i="7"/>
  <c r="BQ103" i="7"/>
  <c r="BR103" i="7"/>
  <c r="BS103" i="7"/>
  <c r="BT103" i="7"/>
  <c r="BU103" i="7"/>
  <c r="BV103" i="7"/>
  <c r="BW103" i="7"/>
  <c r="BX103" i="7"/>
  <c r="BY103" i="7"/>
  <c r="BZ103" i="7"/>
  <c r="CA103" i="7"/>
  <c r="CB103" i="7"/>
  <c r="CC103" i="7"/>
  <c r="CD103" i="7"/>
  <c r="CE103" i="7"/>
  <c r="CF103" i="7"/>
  <c r="CG103" i="7"/>
  <c r="CH103" i="7"/>
  <c r="CI103" i="7"/>
  <c r="BN104" i="7"/>
  <c r="BO104" i="7"/>
  <c r="BP104" i="7"/>
  <c r="BQ104" i="7"/>
  <c r="BR104" i="7"/>
  <c r="BS104" i="7"/>
  <c r="BT104" i="7"/>
  <c r="BU104" i="7"/>
  <c r="BV104" i="7"/>
  <c r="BW104" i="7"/>
  <c r="BX104" i="7"/>
  <c r="BY104" i="7"/>
  <c r="BZ104" i="7"/>
  <c r="CA104" i="7"/>
  <c r="CB104" i="7"/>
  <c r="CC104" i="7"/>
  <c r="CD104" i="7"/>
  <c r="CE104" i="7"/>
  <c r="CF104" i="7"/>
  <c r="CG104" i="7"/>
  <c r="CH104" i="7"/>
  <c r="CI104" i="7"/>
  <c r="BN105" i="7"/>
  <c r="BO105" i="7"/>
  <c r="BP105" i="7"/>
  <c r="BQ105" i="7"/>
  <c r="BR105" i="7"/>
  <c r="BS105" i="7"/>
  <c r="BT105" i="7"/>
  <c r="BU105" i="7"/>
  <c r="BV105" i="7"/>
  <c r="BW105" i="7"/>
  <c r="BX105" i="7"/>
  <c r="BY105" i="7"/>
  <c r="BZ105" i="7"/>
  <c r="CA105" i="7"/>
  <c r="CB105" i="7"/>
  <c r="CC105" i="7"/>
  <c r="CD105" i="7"/>
  <c r="CE105" i="7"/>
  <c r="CF105" i="7"/>
  <c r="CG105" i="7"/>
  <c r="CH105" i="7"/>
  <c r="CI105" i="7"/>
  <c r="BN106" i="7"/>
  <c r="BO106" i="7"/>
  <c r="BP106" i="7"/>
  <c r="BQ106" i="7"/>
  <c r="BR106" i="7"/>
  <c r="BS106" i="7"/>
  <c r="BT106" i="7"/>
  <c r="BU106" i="7"/>
  <c r="BV106" i="7"/>
  <c r="BW106" i="7"/>
  <c r="BX106" i="7"/>
  <c r="BY106" i="7"/>
  <c r="BZ106" i="7"/>
  <c r="CA106" i="7"/>
  <c r="CB106" i="7"/>
  <c r="CC106" i="7"/>
  <c r="CD106" i="7"/>
  <c r="CE106" i="7"/>
  <c r="CF106" i="7"/>
  <c r="CG106" i="7"/>
  <c r="CH106" i="7"/>
  <c r="CI106" i="7"/>
  <c r="BN107" i="7"/>
  <c r="BO107" i="7"/>
  <c r="BP107" i="7"/>
  <c r="BQ107" i="7"/>
  <c r="BR107" i="7"/>
  <c r="BS107" i="7"/>
  <c r="BT107" i="7"/>
  <c r="BU107" i="7"/>
  <c r="BV107" i="7"/>
  <c r="BW107" i="7"/>
  <c r="BX107" i="7"/>
  <c r="BY107" i="7"/>
  <c r="BZ107" i="7"/>
  <c r="CA107" i="7"/>
  <c r="CB107" i="7"/>
  <c r="CC107" i="7"/>
  <c r="CD107" i="7"/>
  <c r="CE107" i="7"/>
  <c r="CF107" i="7"/>
  <c r="CG107" i="7"/>
  <c r="CH107" i="7"/>
  <c r="CI107" i="7"/>
  <c r="BN108" i="7"/>
  <c r="BO108" i="7"/>
  <c r="BP108" i="7"/>
  <c r="BQ108" i="7"/>
  <c r="BR108" i="7"/>
  <c r="BS108" i="7"/>
  <c r="BT108" i="7"/>
  <c r="BU108" i="7"/>
  <c r="BV108" i="7"/>
  <c r="BW108" i="7"/>
  <c r="BX108" i="7"/>
  <c r="BY108" i="7"/>
  <c r="BZ108" i="7"/>
  <c r="CA108" i="7"/>
  <c r="CB108" i="7"/>
  <c r="CC108" i="7"/>
  <c r="CD108" i="7"/>
  <c r="CE108" i="7"/>
  <c r="CF108" i="7"/>
  <c r="CG108" i="7"/>
  <c r="CH108" i="7"/>
  <c r="CI108" i="7"/>
  <c r="BN109" i="7"/>
  <c r="BO109" i="7"/>
  <c r="BP109" i="7"/>
  <c r="BQ109" i="7"/>
  <c r="BR109" i="7"/>
  <c r="BS109" i="7"/>
  <c r="BT109" i="7"/>
  <c r="BU109" i="7"/>
  <c r="BV109" i="7"/>
  <c r="BW109" i="7"/>
  <c r="BX109" i="7"/>
  <c r="BY109" i="7"/>
  <c r="BZ109" i="7"/>
  <c r="CA109" i="7"/>
  <c r="CB109" i="7"/>
  <c r="CC109" i="7"/>
  <c r="CD109" i="7"/>
  <c r="CE109" i="7"/>
  <c r="CF109" i="7"/>
  <c r="CG109" i="7"/>
  <c r="CH109" i="7"/>
  <c r="CI109" i="7"/>
  <c r="BN110" i="7"/>
  <c r="BO110" i="7"/>
  <c r="BP110" i="7"/>
  <c r="BQ110" i="7"/>
  <c r="BR110" i="7"/>
  <c r="BS110" i="7"/>
  <c r="BT110" i="7"/>
  <c r="BU110" i="7"/>
  <c r="BV110" i="7"/>
  <c r="BW110" i="7"/>
  <c r="BX110" i="7"/>
  <c r="BY110" i="7"/>
  <c r="BZ110" i="7"/>
  <c r="CA110" i="7"/>
  <c r="CB110" i="7"/>
  <c r="CC110" i="7"/>
  <c r="CD110" i="7"/>
  <c r="CE110" i="7"/>
  <c r="CF110" i="7"/>
  <c r="CG110" i="7"/>
  <c r="CH110" i="7"/>
  <c r="CI110" i="7"/>
  <c r="BN111" i="7"/>
  <c r="BO111" i="7"/>
  <c r="BP111" i="7"/>
  <c r="BQ111" i="7"/>
  <c r="BR111" i="7"/>
  <c r="BS111" i="7"/>
  <c r="BT111" i="7"/>
  <c r="BU111" i="7"/>
  <c r="BV111" i="7"/>
  <c r="BW111" i="7"/>
  <c r="BX111" i="7"/>
  <c r="BY111" i="7"/>
  <c r="BZ111" i="7"/>
  <c r="CA111" i="7"/>
  <c r="CB111" i="7"/>
  <c r="CC111" i="7"/>
  <c r="CD111" i="7"/>
  <c r="CE111" i="7"/>
  <c r="CF111" i="7"/>
  <c r="CG111" i="7"/>
  <c r="CH111" i="7"/>
  <c r="CI111" i="7"/>
  <c r="BN112" i="7"/>
  <c r="BO112" i="7"/>
  <c r="BP112" i="7"/>
  <c r="BQ112" i="7"/>
  <c r="BR112" i="7"/>
  <c r="BS112" i="7"/>
  <c r="BT112" i="7"/>
  <c r="BU112" i="7"/>
  <c r="BV112" i="7"/>
  <c r="BW112" i="7"/>
  <c r="BX112" i="7"/>
  <c r="BY112" i="7"/>
  <c r="BZ112" i="7"/>
  <c r="CA112" i="7"/>
  <c r="CB112" i="7"/>
  <c r="CC112" i="7"/>
  <c r="CD112" i="7"/>
  <c r="CE112" i="7"/>
  <c r="CF112" i="7"/>
  <c r="CG112" i="7"/>
  <c r="CH112" i="7"/>
  <c r="CI112" i="7"/>
  <c r="BN113" i="7"/>
  <c r="BO113" i="7"/>
  <c r="BP113" i="7"/>
  <c r="BQ113" i="7"/>
  <c r="BR113" i="7"/>
  <c r="BS113" i="7"/>
  <c r="BT113" i="7"/>
  <c r="BU113" i="7"/>
  <c r="BV113" i="7"/>
  <c r="BW113" i="7"/>
  <c r="BX113" i="7"/>
  <c r="BY113" i="7"/>
  <c r="BZ113" i="7"/>
  <c r="CA113" i="7"/>
  <c r="CB113" i="7"/>
  <c r="CC113" i="7"/>
  <c r="CD113" i="7"/>
  <c r="CE113" i="7"/>
  <c r="CF113" i="7"/>
  <c r="CG113" i="7"/>
  <c r="CH113" i="7"/>
  <c r="CI113" i="7"/>
  <c r="BN114" i="7"/>
  <c r="BO114" i="7"/>
  <c r="BP114" i="7"/>
  <c r="BQ114" i="7"/>
  <c r="BR114" i="7"/>
  <c r="BS114" i="7"/>
  <c r="BT114" i="7"/>
  <c r="BU114" i="7"/>
  <c r="BV114" i="7"/>
  <c r="BW114" i="7"/>
  <c r="BX114" i="7"/>
  <c r="BY114" i="7"/>
  <c r="BZ114" i="7"/>
  <c r="CA114" i="7"/>
  <c r="CB114" i="7"/>
  <c r="CC114" i="7"/>
  <c r="CD114" i="7"/>
  <c r="CE114" i="7"/>
  <c r="CF114" i="7"/>
  <c r="CG114" i="7"/>
  <c r="CH114" i="7"/>
  <c r="CI114" i="7"/>
  <c r="BN115" i="7"/>
  <c r="BO115" i="7"/>
  <c r="BP115" i="7"/>
  <c r="BQ115" i="7"/>
  <c r="BR115" i="7"/>
  <c r="BS115" i="7"/>
  <c r="BT115" i="7"/>
  <c r="BU115" i="7"/>
  <c r="BV115" i="7"/>
  <c r="BW115" i="7"/>
  <c r="BX115" i="7"/>
  <c r="BY115" i="7"/>
  <c r="BZ115" i="7"/>
  <c r="CA115" i="7"/>
  <c r="CB115" i="7"/>
  <c r="CC115" i="7"/>
  <c r="CD115" i="7"/>
  <c r="CE115" i="7"/>
  <c r="CF115" i="7"/>
  <c r="CG115" i="7"/>
  <c r="CH115" i="7"/>
  <c r="CI115" i="7"/>
  <c r="BN116" i="7"/>
  <c r="BO116" i="7"/>
  <c r="BP116" i="7"/>
  <c r="BQ116" i="7"/>
  <c r="BR116" i="7"/>
  <c r="BS116" i="7"/>
  <c r="BT116" i="7"/>
  <c r="BU116" i="7"/>
  <c r="BV116" i="7"/>
  <c r="BW116" i="7"/>
  <c r="BX116" i="7"/>
  <c r="BY116" i="7"/>
  <c r="BZ116" i="7"/>
  <c r="CA116" i="7"/>
  <c r="CB116" i="7"/>
  <c r="CC116" i="7"/>
  <c r="CD116" i="7"/>
  <c r="CE116" i="7"/>
  <c r="CF116" i="7"/>
  <c r="CG116" i="7"/>
  <c r="CH116" i="7"/>
  <c r="CI116" i="7"/>
  <c r="BN117" i="7"/>
  <c r="BO117" i="7"/>
  <c r="BP117" i="7"/>
  <c r="BQ117" i="7"/>
  <c r="BR117" i="7"/>
  <c r="BS117" i="7"/>
  <c r="BT117" i="7"/>
  <c r="BU117" i="7"/>
  <c r="BV117" i="7"/>
  <c r="BW117" i="7"/>
  <c r="BX117" i="7"/>
  <c r="BY117" i="7"/>
  <c r="BZ117" i="7"/>
  <c r="CA117" i="7"/>
  <c r="CB117" i="7"/>
  <c r="CC117" i="7"/>
  <c r="CD117" i="7"/>
  <c r="CE117" i="7"/>
  <c r="CF117" i="7"/>
  <c r="CG117" i="7"/>
  <c r="CH117" i="7"/>
  <c r="CI117" i="7"/>
  <c r="BN118" i="7"/>
  <c r="BO118" i="7"/>
  <c r="BP118" i="7"/>
  <c r="BQ118" i="7"/>
  <c r="BR118" i="7"/>
  <c r="BS118" i="7"/>
  <c r="BT118" i="7"/>
  <c r="BU118" i="7"/>
  <c r="BV118" i="7"/>
  <c r="BW118" i="7"/>
  <c r="BX118" i="7"/>
  <c r="BY118" i="7"/>
  <c r="BZ118" i="7"/>
  <c r="CA118" i="7"/>
  <c r="CB118" i="7"/>
  <c r="CC118" i="7"/>
  <c r="CD118" i="7"/>
  <c r="CE118" i="7"/>
  <c r="CF118" i="7"/>
  <c r="CG118" i="7"/>
  <c r="CH118" i="7"/>
  <c r="CI118" i="7"/>
  <c r="BN119" i="7"/>
  <c r="BO119" i="7"/>
  <c r="BP119" i="7"/>
  <c r="BQ119" i="7"/>
  <c r="BR119" i="7"/>
  <c r="BS119" i="7"/>
  <c r="BT119" i="7"/>
  <c r="BU119" i="7"/>
  <c r="BV119" i="7"/>
  <c r="BW119" i="7"/>
  <c r="BX119" i="7"/>
  <c r="BY119" i="7"/>
  <c r="BZ119" i="7"/>
  <c r="CA119" i="7"/>
  <c r="CB119" i="7"/>
  <c r="CC119" i="7"/>
  <c r="CD119" i="7"/>
  <c r="CE119" i="7"/>
  <c r="CF119" i="7"/>
  <c r="CG119" i="7"/>
  <c r="CH119" i="7"/>
  <c r="CI119" i="7"/>
  <c r="BN120" i="7"/>
  <c r="BO120" i="7"/>
  <c r="BP120" i="7"/>
  <c r="BQ120" i="7"/>
  <c r="BR120" i="7"/>
  <c r="BS120" i="7"/>
  <c r="BT120" i="7"/>
  <c r="BU120" i="7"/>
  <c r="BV120" i="7"/>
  <c r="BW120" i="7"/>
  <c r="BX120" i="7"/>
  <c r="BY120" i="7"/>
  <c r="BZ120" i="7"/>
  <c r="CA120" i="7"/>
  <c r="CB120" i="7"/>
  <c r="CC120" i="7"/>
  <c r="CD120" i="7"/>
  <c r="CE120" i="7"/>
  <c r="CF120" i="7"/>
  <c r="CG120" i="7"/>
  <c r="CH120" i="7"/>
  <c r="CI120" i="7"/>
  <c r="BN121" i="7"/>
  <c r="BO121" i="7"/>
  <c r="BP121" i="7"/>
  <c r="BQ121" i="7"/>
  <c r="BR121" i="7"/>
  <c r="BS121" i="7"/>
  <c r="BT121" i="7"/>
  <c r="BU121" i="7"/>
  <c r="BV121" i="7"/>
  <c r="BW121" i="7"/>
  <c r="BX121" i="7"/>
  <c r="BY121" i="7"/>
  <c r="BZ121" i="7"/>
  <c r="CA121" i="7"/>
  <c r="CB121" i="7"/>
  <c r="CC121" i="7"/>
  <c r="CD121" i="7"/>
  <c r="CE121" i="7"/>
  <c r="CF121" i="7"/>
  <c r="CG121" i="7"/>
  <c r="CH121" i="7"/>
  <c r="CI121" i="7"/>
  <c r="BN122" i="7"/>
  <c r="BO122" i="7"/>
  <c r="BP122" i="7"/>
  <c r="BQ122" i="7"/>
  <c r="BR122" i="7"/>
  <c r="BS122" i="7"/>
  <c r="BT122" i="7"/>
  <c r="BU122" i="7"/>
  <c r="BV122" i="7"/>
  <c r="BW122" i="7"/>
  <c r="BX122" i="7"/>
  <c r="BY122" i="7"/>
  <c r="BZ122" i="7"/>
  <c r="CA122" i="7"/>
  <c r="CB122" i="7"/>
  <c r="CC122" i="7"/>
  <c r="CD122" i="7"/>
  <c r="CE122" i="7"/>
  <c r="CF122" i="7"/>
  <c r="CG122" i="7"/>
  <c r="CH122" i="7"/>
  <c r="CI122" i="7"/>
  <c r="BN123" i="7"/>
  <c r="BO123" i="7"/>
  <c r="BP123" i="7"/>
  <c r="BQ123" i="7"/>
  <c r="BR123" i="7"/>
  <c r="BS123" i="7"/>
  <c r="BT123" i="7"/>
  <c r="BU123" i="7"/>
  <c r="BV123" i="7"/>
  <c r="BW123" i="7"/>
  <c r="BX123" i="7"/>
  <c r="BY123" i="7"/>
  <c r="BZ123" i="7"/>
  <c r="CA123" i="7"/>
  <c r="CB123" i="7"/>
  <c r="CC123" i="7"/>
  <c r="CD123" i="7"/>
  <c r="CE123" i="7"/>
  <c r="CF123" i="7"/>
  <c r="CG123" i="7"/>
  <c r="CH123" i="7"/>
  <c r="CI123" i="7"/>
  <c r="BN124" i="7"/>
  <c r="BO124" i="7"/>
  <c r="BP124" i="7"/>
  <c r="BQ124" i="7"/>
  <c r="BR124" i="7"/>
  <c r="BS124" i="7"/>
  <c r="BT124" i="7"/>
  <c r="BU124" i="7"/>
  <c r="BV124" i="7"/>
  <c r="BW124" i="7"/>
  <c r="BX124" i="7"/>
  <c r="BY124" i="7"/>
  <c r="BZ124" i="7"/>
  <c r="CA124" i="7"/>
  <c r="CB124" i="7"/>
  <c r="CC124" i="7"/>
  <c r="CD124" i="7"/>
  <c r="CE124" i="7"/>
  <c r="CF124" i="7"/>
  <c r="CG124" i="7"/>
  <c r="CH124" i="7"/>
  <c r="CI124" i="7"/>
  <c r="BN125" i="7"/>
  <c r="BO125" i="7"/>
  <c r="BP125" i="7"/>
  <c r="BQ125" i="7"/>
  <c r="BR125" i="7"/>
  <c r="BS125" i="7"/>
  <c r="BT125" i="7"/>
  <c r="BU125" i="7"/>
  <c r="BV125" i="7"/>
  <c r="BW125" i="7"/>
  <c r="BX125" i="7"/>
  <c r="BY125" i="7"/>
  <c r="BZ125" i="7"/>
  <c r="CA125" i="7"/>
  <c r="CB125" i="7"/>
  <c r="CC125" i="7"/>
  <c r="CD125" i="7"/>
  <c r="CE125" i="7"/>
  <c r="CF125" i="7"/>
  <c r="CG125" i="7"/>
  <c r="CH125" i="7"/>
  <c r="CI125" i="7"/>
  <c r="BN126" i="7"/>
  <c r="BO126" i="7"/>
  <c r="BP126" i="7"/>
  <c r="BQ126" i="7"/>
  <c r="BR126" i="7"/>
  <c r="BS126" i="7"/>
  <c r="BT126" i="7"/>
  <c r="BU126" i="7"/>
  <c r="BV126" i="7"/>
  <c r="BW126" i="7"/>
  <c r="BX126" i="7"/>
  <c r="BY126" i="7"/>
  <c r="BZ126" i="7"/>
  <c r="CA126" i="7"/>
  <c r="CB126" i="7"/>
  <c r="CC126" i="7"/>
  <c r="CD126" i="7"/>
  <c r="CE126" i="7"/>
  <c r="CF126" i="7"/>
  <c r="CG126" i="7"/>
  <c r="CH126" i="7"/>
  <c r="CI126" i="7"/>
  <c r="T5" i="7"/>
  <c r="U5" i="7"/>
  <c r="V5" i="7"/>
  <c r="W5" i="7"/>
  <c r="X5" i="7"/>
  <c r="Y5" i="7"/>
  <c r="Z5" i="7"/>
  <c r="AA5" i="7"/>
  <c r="AB5" i="7"/>
  <c r="AC5" i="7"/>
  <c r="AD5" i="7"/>
  <c r="AE5" i="7"/>
  <c r="AF5" i="7"/>
  <c r="AG5" i="7"/>
  <c r="AH5" i="7"/>
  <c r="AI5" i="7"/>
  <c r="AJ5" i="7"/>
  <c r="AK5" i="7"/>
  <c r="AL5" i="7"/>
  <c r="AM5" i="7"/>
  <c r="AN5" i="7"/>
  <c r="AO5" i="7"/>
  <c r="AP5" i="7"/>
  <c r="AQ5" i="7"/>
  <c r="AR5" i="7"/>
  <c r="AS5" i="7"/>
  <c r="AT5" i="7"/>
  <c r="AU5" i="7"/>
  <c r="AV5" i="7"/>
  <c r="AW5" i="7"/>
  <c r="AX5" i="7"/>
  <c r="AY5" i="7"/>
  <c r="AZ5" i="7"/>
  <c r="BA5" i="7"/>
  <c r="BB5" i="7"/>
  <c r="BC5" i="7"/>
  <c r="BD5" i="7"/>
  <c r="BE5" i="7"/>
  <c r="BF5" i="7"/>
  <c r="BG5" i="7"/>
  <c r="BH5" i="7"/>
  <c r="BI5" i="7"/>
  <c r="BJ5" i="7"/>
  <c r="BK5" i="7"/>
  <c r="BL5" i="7"/>
  <c r="BM5" i="7"/>
  <c r="T6" i="7"/>
  <c r="U6" i="7"/>
  <c r="V6" i="7"/>
  <c r="W6" i="7"/>
  <c r="X6" i="7"/>
  <c r="Y6" i="7"/>
  <c r="Z6" i="7"/>
  <c r="AA6" i="7"/>
  <c r="AB6" i="7"/>
  <c r="AC6" i="7"/>
  <c r="AD6" i="7"/>
  <c r="AE6" i="7"/>
  <c r="AF6" i="7"/>
  <c r="AG6" i="7"/>
  <c r="AH6" i="7"/>
  <c r="AI6" i="7"/>
  <c r="AJ6" i="7"/>
  <c r="AK6" i="7"/>
  <c r="AL6" i="7"/>
  <c r="AM6" i="7"/>
  <c r="AN6" i="7"/>
  <c r="AO6" i="7"/>
  <c r="AP6" i="7"/>
  <c r="AQ6" i="7"/>
  <c r="AR6" i="7"/>
  <c r="AS6" i="7"/>
  <c r="AT6" i="7"/>
  <c r="AU6" i="7"/>
  <c r="AV6" i="7"/>
  <c r="AW6" i="7"/>
  <c r="AX6" i="7"/>
  <c r="AY6" i="7"/>
  <c r="AZ6" i="7"/>
  <c r="BA6" i="7"/>
  <c r="BB6" i="7"/>
  <c r="BC6" i="7"/>
  <c r="BD6" i="7"/>
  <c r="BE6" i="7"/>
  <c r="BF6" i="7"/>
  <c r="BG6" i="7"/>
  <c r="BH6" i="7"/>
  <c r="BI6" i="7"/>
  <c r="BJ6" i="7"/>
  <c r="BK6" i="7"/>
  <c r="BL6" i="7"/>
  <c r="BM6" i="7"/>
  <c r="T7" i="7"/>
  <c r="U7" i="7"/>
  <c r="V7" i="7"/>
  <c r="W7" i="7"/>
  <c r="X7" i="7"/>
  <c r="Y7" i="7"/>
  <c r="Z7" i="7"/>
  <c r="AA7" i="7"/>
  <c r="AB7" i="7"/>
  <c r="AC7" i="7"/>
  <c r="AD7" i="7"/>
  <c r="AE7" i="7"/>
  <c r="AF7" i="7"/>
  <c r="AG7" i="7"/>
  <c r="AH7" i="7"/>
  <c r="AI7" i="7"/>
  <c r="AJ7" i="7"/>
  <c r="AK7" i="7"/>
  <c r="AL7" i="7"/>
  <c r="AM7" i="7"/>
  <c r="AN7" i="7"/>
  <c r="AO7" i="7"/>
  <c r="AP7" i="7"/>
  <c r="AQ7" i="7"/>
  <c r="AR7" i="7"/>
  <c r="AS7" i="7"/>
  <c r="AT7" i="7"/>
  <c r="AU7" i="7"/>
  <c r="AV7" i="7"/>
  <c r="AW7" i="7"/>
  <c r="AX7" i="7"/>
  <c r="AY7" i="7"/>
  <c r="AZ7" i="7"/>
  <c r="BA7" i="7"/>
  <c r="BB7" i="7"/>
  <c r="BC7" i="7"/>
  <c r="BD7" i="7"/>
  <c r="BE7" i="7"/>
  <c r="BF7" i="7"/>
  <c r="BG7" i="7"/>
  <c r="BH7" i="7"/>
  <c r="BI7" i="7"/>
  <c r="BJ7" i="7"/>
  <c r="BK7" i="7"/>
  <c r="BL7" i="7"/>
  <c r="BM7" i="7"/>
  <c r="T8" i="7"/>
  <c r="U8" i="7"/>
  <c r="V8" i="7"/>
  <c r="W8" i="7"/>
  <c r="X8" i="7"/>
  <c r="Y8" i="7"/>
  <c r="Z8" i="7"/>
  <c r="AA8" i="7"/>
  <c r="AB8" i="7"/>
  <c r="AC8" i="7"/>
  <c r="AD8" i="7"/>
  <c r="AE8" i="7"/>
  <c r="AF8" i="7"/>
  <c r="AG8" i="7"/>
  <c r="AH8" i="7"/>
  <c r="AI8" i="7"/>
  <c r="AJ8" i="7"/>
  <c r="AK8" i="7"/>
  <c r="AL8" i="7"/>
  <c r="AM8" i="7"/>
  <c r="AN8" i="7"/>
  <c r="AO8" i="7"/>
  <c r="AP8" i="7"/>
  <c r="AQ8" i="7"/>
  <c r="AR8" i="7"/>
  <c r="AS8" i="7"/>
  <c r="AT8" i="7"/>
  <c r="AU8" i="7"/>
  <c r="AV8" i="7"/>
  <c r="AW8" i="7"/>
  <c r="AX8" i="7"/>
  <c r="AY8" i="7"/>
  <c r="AZ8" i="7"/>
  <c r="BA8" i="7"/>
  <c r="BB8" i="7"/>
  <c r="BC8" i="7"/>
  <c r="BD8" i="7"/>
  <c r="BE8" i="7"/>
  <c r="BF8" i="7"/>
  <c r="BG8" i="7"/>
  <c r="BH8" i="7"/>
  <c r="BI8" i="7"/>
  <c r="BJ8" i="7"/>
  <c r="BK8" i="7"/>
  <c r="BL8" i="7"/>
  <c r="BM8" i="7"/>
  <c r="T9" i="7"/>
  <c r="U9" i="7"/>
  <c r="V9" i="7"/>
  <c r="W9" i="7"/>
  <c r="X9" i="7"/>
  <c r="Y9" i="7"/>
  <c r="Z9" i="7"/>
  <c r="AA9" i="7"/>
  <c r="AB9" i="7"/>
  <c r="AC9" i="7"/>
  <c r="AD9" i="7"/>
  <c r="AE9" i="7"/>
  <c r="AF9" i="7"/>
  <c r="AG9" i="7"/>
  <c r="AH9" i="7"/>
  <c r="AI9" i="7"/>
  <c r="AJ9" i="7"/>
  <c r="AK9" i="7"/>
  <c r="AL9" i="7"/>
  <c r="AM9" i="7"/>
  <c r="AN9" i="7"/>
  <c r="AO9" i="7"/>
  <c r="AP9" i="7"/>
  <c r="AQ9" i="7"/>
  <c r="AR9" i="7"/>
  <c r="AS9" i="7"/>
  <c r="AT9" i="7"/>
  <c r="AU9" i="7"/>
  <c r="AV9" i="7"/>
  <c r="AW9" i="7"/>
  <c r="AX9" i="7"/>
  <c r="AY9" i="7"/>
  <c r="AZ9" i="7"/>
  <c r="BA9" i="7"/>
  <c r="BB9" i="7"/>
  <c r="BC9" i="7"/>
  <c r="BD9" i="7"/>
  <c r="BE9" i="7"/>
  <c r="BF9" i="7"/>
  <c r="BG9" i="7"/>
  <c r="BH9" i="7"/>
  <c r="BI9" i="7"/>
  <c r="BJ9" i="7"/>
  <c r="BK9" i="7"/>
  <c r="BL9" i="7"/>
  <c r="BM9" i="7"/>
  <c r="T10" i="7"/>
  <c r="U10" i="7"/>
  <c r="V10" i="7"/>
  <c r="W10" i="7"/>
  <c r="X10" i="7"/>
  <c r="Y10" i="7"/>
  <c r="Z10" i="7"/>
  <c r="AA10" i="7"/>
  <c r="AB10" i="7"/>
  <c r="AC10" i="7"/>
  <c r="AD10" i="7"/>
  <c r="AE10" i="7"/>
  <c r="AF10" i="7"/>
  <c r="AG10" i="7"/>
  <c r="AH10" i="7"/>
  <c r="AI10" i="7"/>
  <c r="AJ10" i="7"/>
  <c r="AK10" i="7"/>
  <c r="AL10" i="7"/>
  <c r="AM10" i="7"/>
  <c r="AN10" i="7"/>
  <c r="AO10" i="7"/>
  <c r="AP10" i="7"/>
  <c r="AQ10" i="7"/>
  <c r="AR10" i="7"/>
  <c r="AS10" i="7"/>
  <c r="AT10" i="7"/>
  <c r="AU10" i="7"/>
  <c r="AV10" i="7"/>
  <c r="AW10" i="7"/>
  <c r="AX10" i="7"/>
  <c r="AY10" i="7"/>
  <c r="AZ10" i="7"/>
  <c r="BA10" i="7"/>
  <c r="BB10" i="7"/>
  <c r="BC10" i="7"/>
  <c r="BD10" i="7"/>
  <c r="BE10" i="7"/>
  <c r="BF10" i="7"/>
  <c r="BG10" i="7"/>
  <c r="BH10" i="7"/>
  <c r="BI10" i="7"/>
  <c r="BJ10" i="7"/>
  <c r="BK10" i="7"/>
  <c r="BL10" i="7"/>
  <c r="BM10" i="7"/>
  <c r="T11" i="7"/>
  <c r="U11" i="7"/>
  <c r="V11" i="7"/>
  <c r="W11" i="7"/>
  <c r="X11" i="7"/>
  <c r="Y11" i="7"/>
  <c r="Z11" i="7"/>
  <c r="AA11" i="7"/>
  <c r="AB11" i="7"/>
  <c r="AC11" i="7"/>
  <c r="AD11" i="7"/>
  <c r="AE11" i="7"/>
  <c r="AF11" i="7"/>
  <c r="AG11" i="7"/>
  <c r="AH11" i="7"/>
  <c r="AI11" i="7"/>
  <c r="AJ11" i="7"/>
  <c r="AK11" i="7"/>
  <c r="AL11" i="7"/>
  <c r="AM11" i="7"/>
  <c r="AN11" i="7"/>
  <c r="AO11" i="7"/>
  <c r="AP11" i="7"/>
  <c r="AQ11" i="7"/>
  <c r="AR11" i="7"/>
  <c r="AS11" i="7"/>
  <c r="AT11" i="7"/>
  <c r="AU11" i="7"/>
  <c r="AV11" i="7"/>
  <c r="AW11" i="7"/>
  <c r="AX11" i="7"/>
  <c r="AY11" i="7"/>
  <c r="AZ11" i="7"/>
  <c r="BA11" i="7"/>
  <c r="BB11" i="7"/>
  <c r="BC11" i="7"/>
  <c r="BD11" i="7"/>
  <c r="BE11" i="7"/>
  <c r="BF11" i="7"/>
  <c r="BG11" i="7"/>
  <c r="BH11" i="7"/>
  <c r="BI11" i="7"/>
  <c r="BJ11" i="7"/>
  <c r="BK11" i="7"/>
  <c r="BL11" i="7"/>
  <c r="BM11" i="7"/>
  <c r="T12" i="7"/>
  <c r="U12" i="7"/>
  <c r="V12" i="7"/>
  <c r="W12" i="7"/>
  <c r="X12" i="7"/>
  <c r="Y12" i="7"/>
  <c r="Z12" i="7"/>
  <c r="AA12" i="7"/>
  <c r="AB12" i="7"/>
  <c r="AC12" i="7"/>
  <c r="AD12" i="7"/>
  <c r="AE12" i="7"/>
  <c r="AF12" i="7"/>
  <c r="AG12" i="7"/>
  <c r="AH12" i="7"/>
  <c r="AI12" i="7"/>
  <c r="AJ12" i="7"/>
  <c r="AK12" i="7"/>
  <c r="AL12" i="7"/>
  <c r="AM12" i="7"/>
  <c r="AN12" i="7"/>
  <c r="AO12" i="7"/>
  <c r="AP12" i="7"/>
  <c r="AQ12" i="7"/>
  <c r="AR12" i="7"/>
  <c r="AS12" i="7"/>
  <c r="AT12" i="7"/>
  <c r="AU12" i="7"/>
  <c r="AV12" i="7"/>
  <c r="AW12" i="7"/>
  <c r="AX12" i="7"/>
  <c r="AY12" i="7"/>
  <c r="AZ12" i="7"/>
  <c r="BA12" i="7"/>
  <c r="BB12" i="7"/>
  <c r="BC12" i="7"/>
  <c r="BD12" i="7"/>
  <c r="BE12" i="7"/>
  <c r="BF12" i="7"/>
  <c r="BG12" i="7"/>
  <c r="BH12" i="7"/>
  <c r="BI12" i="7"/>
  <c r="BJ12" i="7"/>
  <c r="BK12" i="7"/>
  <c r="BL12" i="7"/>
  <c r="BM12" i="7"/>
  <c r="T13" i="7"/>
  <c r="U13" i="7"/>
  <c r="V13" i="7"/>
  <c r="W13" i="7"/>
  <c r="X13" i="7"/>
  <c r="Y13" i="7"/>
  <c r="Z13" i="7"/>
  <c r="AA13" i="7"/>
  <c r="AB13" i="7"/>
  <c r="AC13" i="7"/>
  <c r="AD13" i="7"/>
  <c r="AE13" i="7"/>
  <c r="AF13" i="7"/>
  <c r="AG13" i="7"/>
  <c r="AH13" i="7"/>
  <c r="AI13" i="7"/>
  <c r="AJ13" i="7"/>
  <c r="AK13" i="7"/>
  <c r="AL13" i="7"/>
  <c r="AM13" i="7"/>
  <c r="AN13" i="7"/>
  <c r="AO13" i="7"/>
  <c r="AP13" i="7"/>
  <c r="AQ13" i="7"/>
  <c r="AR13" i="7"/>
  <c r="AS13" i="7"/>
  <c r="AT13" i="7"/>
  <c r="AU13" i="7"/>
  <c r="AV13" i="7"/>
  <c r="AW13" i="7"/>
  <c r="AX13" i="7"/>
  <c r="AY13" i="7"/>
  <c r="AZ13" i="7"/>
  <c r="BA13" i="7"/>
  <c r="BB13" i="7"/>
  <c r="BC13" i="7"/>
  <c r="BD13" i="7"/>
  <c r="BE13" i="7"/>
  <c r="BF13" i="7"/>
  <c r="BG13" i="7"/>
  <c r="BH13" i="7"/>
  <c r="BI13" i="7"/>
  <c r="BJ13" i="7"/>
  <c r="BK13" i="7"/>
  <c r="BL13" i="7"/>
  <c r="BM13" i="7"/>
  <c r="T14" i="7"/>
  <c r="U14" i="7"/>
  <c r="V14" i="7"/>
  <c r="W14" i="7"/>
  <c r="X14" i="7"/>
  <c r="Y14" i="7"/>
  <c r="Z14" i="7"/>
  <c r="AA14" i="7"/>
  <c r="AB14" i="7"/>
  <c r="AC14" i="7"/>
  <c r="AD14" i="7"/>
  <c r="AE14" i="7"/>
  <c r="AF14" i="7"/>
  <c r="AG14" i="7"/>
  <c r="AH14" i="7"/>
  <c r="AI14" i="7"/>
  <c r="AJ14" i="7"/>
  <c r="AK14" i="7"/>
  <c r="AL14" i="7"/>
  <c r="AM14" i="7"/>
  <c r="AN14" i="7"/>
  <c r="AO14" i="7"/>
  <c r="AP14" i="7"/>
  <c r="AQ14" i="7"/>
  <c r="AR14" i="7"/>
  <c r="AS14" i="7"/>
  <c r="AT14" i="7"/>
  <c r="AU14" i="7"/>
  <c r="AV14" i="7"/>
  <c r="AW14" i="7"/>
  <c r="AX14" i="7"/>
  <c r="AY14" i="7"/>
  <c r="AZ14" i="7"/>
  <c r="BA14" i="7"/>
  <c r="BB14" i="7"/>
  <c r="BC14" i="7"/>
  <c r="BD14" i="7"/>
  <c r="BE14" i="7"/>
  <c r="BF14" i="7"/>
  <c r="BG14" i="7"/>
  <c r="BH14" i="7"/>
  <c r="BI14" i="7"/>
  <c r="BJ14" i="7"/>
  <c r="BK14" i="7"/>
  <c r="BL14" i="7"/>
  <c r="BM14" i="7"/>
  <c r="T15" i="7"/>
  <c r="U15" i="7"/>
  <c r="V15" i="7"/>
  <c r="W15" i="7"/>
  <c r="X15" i="7"/>
  <c r="Y15" i="7"/>
  <c r="Z15" i="7"/>
  <c r="AA15" i="7"/>
  <c r="AB15" i="7"/>
  <c r="AC15" i="7"/>
  <c r="AD15" i="7"/>
  <c r="AE15" i="7"/>
  <c r="AF15" i="7"/>
  <c r="AG15" i="7"/>
  <c r="AH15" i="7"/>
  <c r="AI15" i="7"/>
  <c r="AJ15" i="7"/>
  <c r="AK15" i="7"/>
  <c r="AL15" i="7"/>
  <c r="AM15" i="7"/>
  <c r="AN15" i="7"/>
  <c r="AO15" i="7"/>
  <c r="AP15" i="7"/>
  <c r="AQ15" i="7"/>
  <c r="AR15" i="7"/>
  <c r="AS15" i="7"/>
  <c r="AT15" i="7"/>
  <c r="AU15" i="7"/>
  <c r="AV15" i="7"/>
  <c r="AW15" i="7"/>
  <c r="AX15" i="7"/>
  <c r="AY15" i="7"/>
  <c r="AZ15" i="7"/>
  <c r="BA15" i="7"/>
  <c r="BB15" i="7"/>
  <c r="BC15" i="7"/>
  <c r="BD15" i="7"/>
  <c r="BE15" i="7"/>
  <c r="BF15" i="7"/>
  <c r="BG15" i="7"/>
  <c r="BH15" i="7"/>
  <c r="BI15" i="7"/>
  <c r="BJ15" i="7"/>
  <c r="BK15" i="7"/>
  <c r="BL15" i="7"/>
  <c r="BM15" i="7"/>
  <c r="T16" i="7"/>
  <c r="U16" i="7"/>
  <c r="V16" i="7"/>
  <c r="W16" i="7"/>
  <c r="X16" i="7"/>
  <c r="Y16" i="7"/>
  <c r="Z16" i="7"/>
  <c r="AA16" i="7"/>
  <c r="AB16" i="7"/>
  <c r="AC16" i="7"/>
  <c r="AD16" i="7"/>
  <c r="AE16" i="7"/>
  <c r="AF16" i="7"/>
  <c r="AG16" i="7"/>
  <c r="AH16" i="7"/>
  <c r="AI16" i="7"/>
  <c r="AJ16" i="7"/>
  <c r="AK16" i="7"/>
  <c r="AL16" i="7"/>
  <c r="AM16" i="7"/>
  <c r="AN16" i="7"/>
  <c r="AO16" i="7"/>
  <c r="AP16" i="7"/>
  <c r="AQ16" i="7"/>
  <c r="AR16" i="7"/>
  <c r="AS16" i="7"/>
  <c r="AT16" i="7"/>
  <c r="AU16" i="7"/>
  <c r="AV16" i="7"/>
  <c r="AW16" i="7"/>
  <c r="AX16" i="7"/>
  <c r="AY16" i="7"/>
  <c r="AZ16" i="7"/>
  <c r="BA16" i="7"/>
  <c r="BB16" i="7"/>
  <c r="BC16" i="7"/>
  <c r="BD16" i="7"/>
  <c r="BE16" i="7"/>
  <c r="BF16" i="7"/>
  <c r="BG16" i="7"/>
  <c r="BH16" i="7"/>
  <c r="BI16" i="7"/>
  <c r="BJ16" i="7"/>
  <c r="BK16" i="7"/>
  <c r="BL16" i="7"/>
  <c r="BM16" i="7"/>
  <c r="T17" i="7"/>
  <c r="U17" i="7"/>
  <c r="V17" i="7"/>
  <c r="W17" i="7"/>
  <c r="X17" i="7"/>
  <c r="Y17" i="7"/>
  <c r="Z17" i="7"/>
  <c r="AA17" i="7"/>
  <c r="AB17" i="7"/>
  <c r="AC17" i="7"/>
  <c r="AD17" i="7"/>
  <c r="AE17" i="7"/>
  <c r="AF17" i="7"/>
  <c r="AG17" i="7"/>
  <c r="AH17" i="7"/>
  <c r="AI17" i="7"/>
  <c r="AJ17" i="7"/>
  <c r="AK17" i="7"/>
  <c r="AL17" i="7"/>
  <c r="AM17" i="7"/>
  <c r="AN17" i="7"/>
  <c r="AO17" i="7"/>
  <c r="AP17" i="7"/>
  <c r="AQ17" i="7"/>
  <c r="AR17" i="7"/>
  <c r="AS17" i="7"/>
  <c r="AT17" i="7"/>
  <c r="AU17" i="7"/>
  <c r="AV17" i="7"/>
  <c r="AW17" i="7"/>
  <c r="AX17" i="7"/>
  <c r="AY17" i="7"/>
  <c r="AZ17" i="7"/>
  <c r="BA17" i="7"/>
  <c r="BB17" i="7"/>
  <c r="BC17" i="7"/>
  <c r="BD17" i="7"/>
  <c r="BE17" i="7"/>
  <c r="BF17" i="7"/>
  <c r="BG17" i="7"/>
  <c r="BH17" i="7"/>
  <c r="BI17" i="7"/>
  <c r="BJ17" i="7"/>
  <c r="BK17" i="7"/>
  <c r="BL17" i="7"/>
  <c r="BM17" i="7"/>
  <c r="T18" i="7"/>
  <c r="U18" i="7"/>
  <c r="V18" i="7"/>
  <c r="W18" i="7"/>
  <c r="X18" i="7"/>
  <c r="Y18" i="7"/>
  <c r="Z18" i="7"/>
  <c r="AA18" i="7"/>
  <c r="AB18" i="7"/>
  <c r="AC18" i="7"/>
  <c r="AD18" i="7"/>
  <c r="AE18" i="7"/>
  <c r="AF18" i="7"/>
  <c r="AG18" i="7"/>
  <c r="AH18" i="7"/>
  <c r="AI18" i="7"/>
  <c r="AJ18" i="7"/>
  <c r="AK18" i="7"/>
  <c r="AL18" i="7"/>
  <c r="AM18" i="7"/>
  <c r="AN18" i="7"/>
  <c r="AO18" i="7"/>
  <c r="AP18" i="7"/>
  <c r="AQ18" i="7"/>
  <c r="AR18" i="7"/>
  <c r="AS18" i="7"/>
  <c r="AT18" i="7"/>
  <c r="AU18" i="7"/>
  <c r="AV18" i="7"/>
  <c r="AW18" i="7"/>
  <c r="AX18" i="7"/>
  <c r="AY18" i="7"/>
  <c r="AZ18" i="7"/>
  <c r="BA18" i="7"/>
  <c r="BB18" i="7"/>
  <c r="BC18" i="7"/>
  <c r="BD18" i="7"/>
  <c r="BE18" i="7"/>
  <c r="BF18" i="7"/>
  <c r="BG18" i="7"/>
  <c r="BH18" i="7"/>
  <c r="BI18" i="7"/>
  <c r="BJ18" i="7"/>
  <c r="BK18" i="7"/>
  <c r="BL18" i="7"/>
  <c r="BM18" i="7"/>
  <c r="T19" i="7"/>
  <c r="U19" i="7"/>
  <c r="V19" i="7"/>
  <c r="W19" i="7"/>
  <c r="X19" i="7"/>
  <c r="Y19" i="7"/>
  <c r="Z19" i="7"/>
  <c r="AA19" i="7"/>
  <c r="AB19" i="7"/>
  <c r="AC19" i="7"/>
  <c r="AD19" i="7"/>
  <c r="AE19" i="7"/>
  <c r="AF19" i="7"/>
  <c r="AG19" i="7"/>
  <c r="AH19" i="7"/>
  <c r="AI19" i="7"/>
  <c r="AJ19" i="7"/>
  <c r="AK19" i="7"/>
  <c r="AL19" i="7"/>
  <c r="AM19" i="7"/>
  <c r="AN19" i="7"/>
  <c r="AO19" i="7"/>
  <c r="AP19" i="7"/>
  <c r="AQ19" i="7"/>
  <c r="AR19" i="7"/>
  <c r="AS19" i="7"/>
  <c r="AT19" i="7"/>
  <c r="AU19" i="7"/>
  <c r="AV19" i="7"/>
  <c r="AW19" i="7"/>
  <c r="AX19" i="7"/>
  <c r="AY19" i="7"/>
  <c r="AZ19" i="7"/>
  <c r="BA19" i="7"/>
  <c r="BB19" i="7"/>
  <c r="BC19" i="7"/>
  <c r="BD19" i="7"/>
  <c r="BE19" i="7"/>
  <c r="BF19" i="7"/>
  <c r="BG19" i="7"/>
  <c r="BH19" i="7"/>
  <c r="BI19" i="7"/>
  <c r="BJ19" i="7"/>
  <c r="BK19" i="7"/>
  <c r="BL19" i="7"/>
  <c r="BM19" i="7"/>
  <c r="T20" i="7"/>
  <c r="U20" i="7"/>
  <c r="V20" i="7"/>
  <c r="W20" i="7"/>
  <c r="X20" i="7"/>
  <c r="Y20" i="7"/>
  <c r="Z20" i="7"/>
  <c r="AA20" i="7"/>
  <c r="AB20" i="7"/>
  <c r="AC20" i="7"/>
  <c r="AD20" i="7"/>
  <c r="AE20" i="7"/>
  <c r="AF20" i="7"/>
  <c r="AG20" i="7"/>
  <c r="AH20" i="7"/>
  <c r="AI20" i="7"/>
  <c r="AJ20" i="7"/>
  <c r="AK20" i="7"/>
  <c r="AL20" i="7"/>
  <c r="AM20" i="7"/>
  <c r="AN20" i="7"/>
  <c r="AO20" i="7"/>
  <c r="AP20" i="7"/>
  <c r="AQ20" i="7"/>
  <c r="AR20" i="7"/>
  <c r="AS20" i="7"/>
  <c r="AT20" i="7"/>
  <c r="AU20" i="7"/>
  <c r="AV20" i="7"/>
  <c r="AW20" i="7"/>
  <c r="AX20" i="7"/>
  <c r="AY20" i="7"/>
  <c r="AZ20" i="7"/>
  <c r="BA20" i="7"/>
  <c r="BB20" i="7"/>
  <c r="BC20" i="7"/>
  <c r="BD20" i="7"/>
  <c r="BE20" i="7"/>
  <c r="BF20" i="7"/>
  <c r="BG20" i="7"/>
  <c r="BH20" i="7"/>
  <c r="BI20" i="7"/>
  <c r="BJ20" i="7"/>
  <c r="BK20" i="7"/>
  <c r="BL20" i="7"/>
  <c r="BM20" i="7"/>
  <c r="T21" i="7"/>
  <c r="U21" i="7"/>
  <c r="V21" i="7"/>
  <c r="W21" i="7"/>
  <c r="X21" i="7"/>
  <c r="Y21" i="7"/>
  <c r="Z21" i="7"/>
  <c r="AA21" i="7"/>
  <c r="AB21" i="7"/>
  <c r="AC21" i="7"/>
  <c r="AD21" i="7"/>
  <c r="AE21" i="7"/>
  <c r="AF21" i="7"/>
  <c r="AG21" i="7"/>
  <c r="AH21" i="7"/>
  <c r="AI21" i="7"/>
  <c r="AJ21" i="7"/>
  <c r="AK21" i="7"/>
  <c r="AL21" i="7"/>
  <c r="AM21" i="7"/>
  <c r="AN21" i="7"/>
  <c r="AO21" i="7"/>
  <c r="AP21" i="7"/>
  <c r="AQ21" i="7"/>
  <c r="AR21" i="7"/>
  <c r="AS21" i="7"/>
  <c r="AT21" i="7"/>
  <c r="AU21" i="7"/>
  <c r="AV21" i="7"/>
  <c r="AW21" i="7"/>
  <c r="AX21" i="7"/>
  <c r="AY21" i="7"/>
  <c r="AZ21" i="7"/>
  <c r="BA21" i="7"/>
  <c r="BB21" i="7"/>
  <c r="BC21" i="7"/>
  <c r="BD21" i="7"/>
  <c r="BE21" i="7"/>
  <c r="BF21" i="7"/>
  <c r="BG21" i="7"/>
  <c r="BH21" i="7"/>
  <c r="BI21" i="7"/>
  <c r="BJ21" i="7"/>
  <c r="BK21" i="7"/>
  <c r="BL21" i="7"/>
  <c r="BM21" i="7"/>
  <c r="T22" i="7"/>
  <c r="U22" i="7"/>
  <c r="V22" i="7"/>
  <c r="W22" i="7"/>
  <c r="X22" i="7"/>
  <c r="Y22" i="7"/>
  <c r="Z22" i="7"/>
  <c r="AA22" i="7"/>
  <c r="AB22" i="7"/>
  <c r="AC22" i="7"/>
  <c r="AD22" i="7"/>
  <c r="AE22" i="7"/>
  <c r="AF22" i="7"/>
  <c r="AG22" i="7"/>
  <c r="AH22" i="7"/>
  <c r="AI22" i="7"/>
  <c r="AJ22" i="7"/>
  <c r="AK22" i="7"/>
  <c r="AL22" i="7"/>
  <c r="AM22" i="7"/>
  <c r="AN22" i="7"/>
  <c r="AO22" i="7"/>
  <c r="AP22" i="7"/>
  <c r="AQ22" i="7"/>
  <c r="AR22" i="7"/>
  <c r="AS22" i="7"/>
  <c r="AT22" i="7"/>
  <c r="AU22" i="7"/>
  <c r="AV22" i="7"/>
  <c r="AW22" i="7"/>
  <c r="AX22" i="7"/>
  <c r="AY22" i="7"/>
  <c r="AZ22" i="7"/>
  <c r="BA22" i="7"/>
  <c r="BB22" i="7"/>
  <c r="BC22" i="7"/>
  <c r="BD22" i="7"/>
  <c r="BE22" i="7"/>
  <c r="BF22" i="7"/>
  <c r="BG22" i="7"/>
  <c r="BH22" i="7"/>
  <c r="BI22" i="7"/>
  <c r="BJ22" i="7"/>
  <c r="BK22" i="7"/>
  <c r="BL22" i="7"/>
  <c r="BM22" i="7"/>
  <c r="T23" i="7"/>
  <c r="U23" i="7"/>
  <c r="V23" i="7"/>
  <c r="W23" i="7"/>
  <c r="X23" i="7"/>
  <c r="Y23" i="7"/>
  <c r="Z23" i="7"/>
  <c r="AA23" i="7"/>
  <c r="AB23" i="7"/>
  <c r="AC23" i="7"/>
  <c r="AD23" i="7"/>
  <c r="AE23" i="7"/>
  <c r="AF23" i="7"/>
  <c r="AG23" i="7"/>
  <c r="AH23" i="7"/>
  <c r="AI23" i="7"/>
  <c r="AJ23" i="7"/>
  <c r="AK23" i="7"/>
  <c r="AL23" i="7"/>
  <c r="AM23" i="7"/>
  <c r="AN23" i="7"/>
  <c r="AO23" i="7"/>
  <c r="AP23" i="7"/>
  <c r="AQ23" i="7"/>
  <c r="AR23" i="7"/>
  <c r="AS23" i="7"/>
  <c r="AT23" i="7"/>
  <c r="AU23" i="7"/>
  <c r="AV23" i="7"/>
  <c r="AW23" i="7"/>
  <c r="AX23" i="7"/>
  <c r="AY23" i="7"/>
  <c r="AZ23" i="7"/>
  <c r="BA23" i="7"/>
  <c r="BB23" i="7"/>
  <c r="BC23" i="7"/>
  <c r="BD23" i="7"/>
  <c r="BE23" i="7"/>
  <c r="BF23" i="7"/>
  <c r="BG23" i="7"/>
  <c r="BH23" i="7"/>
  <c r="BI23" i="7"/>
  <c r="BJ23" i="7"/>
  <c r="BK23" i="7"/>
  <c r="BL23" i="7"/>
  <c r="BM23" i="7"/>
  <c r="T24" i="7"/>
  <c r="U24" i="7"/>
  <c r="V24" i="7"/>
  <c r="W24" i="7"/>
  <c r="X24" i="7"/>
  <c r="Y24" i="7"/>
  <c r="Z24" i="7"/>
  <c r="AA24" i="7"/>
  <c r="AB24" i="7"/>
  <c r="AC24" i="7"/>
  <c r="AD24" i="7"/>
  <c r="AE24" i="7"/>
  <c r="AF24" i="7"/>
  <c r="AG24" i="7"/>
  <c r="AH24" i="7"/>
  <c r="AI24" i="7"/>
  <c r="AJ24" i="7"/>
  <c r="AK24" i="7"/>
  <c r="AL24" i="7"/>
  <c r="AM24" i="7"/>
  <c r="AN24" i="7"/>
  <c r="AO24" i="7"/>
  <c r="AP24" i="7"/>
  <c r="AQ24" i="7"/>
  <c r="AR24" i="7"/>
  <c r="AS24" i="7"/>
  <c r="AT24" i="7"/>
  <c r="AU24" i="7"/>
  <c r="AV24" i="7"/>
  <c r="AW24" i="7"/>
  <c r="AX24" i="7"/>
  <c r="AY24" i="7"/>
  <c r="AZ24" i="7"/>
  <c r="BA24" i="7"/>
  <c r="BB24" i="7"/>
  <c r="BC24" i="7"/>
  <c r="BD24" i="7"/>
  <c r="BE24" i="7"/>
  <c r="BF24" i="7"/>
  <c r="BG24" i="7"/>
  <c r="BH24" i="7"/>
  <c r="BI24" i="7"/>
  <c r="BJ24" i="7"/>
  <c r="BK24" i="7"/>
  <c r="BL24" i="7"/>
  <c r="BM24" i="7"/>
  <c r="T25" i="7"/>
  <c r="U25" i="7"/>
  <c r="V25" i="7"/>
  <c r="W25" i="7"/>
  <c r="X25" i="7"/>
  <c r="Y25" i="7"/>
  <c r="Z25" i="7"/>
  <c r="AA25" i="7"/>
  <c r="AB25" i="7"/>
  <c r="AC25" i="7"/>
  <c r="AD25" i="7"/>
  <c r="AE25" i="7"/>
  <c r="AF25" i="7"/>
  <c r="AG25" i="7"/>
  <c r="AH25" i="7"/>
  <c r="AI25" i="7"/>
  <c r="AJ25" i="7"/>
  <c r="AK25" i="7"/>
  <c r="AL25" i="7"/>
  <c r="AM25" i="7"/>
  <c r="AN25" i="7"/>
  <c r="AO25" i="7"/>
  <c r="AP25" i="7"/>
  <c r="AQ25" i="7"/>
  <c r="AR25" i="7"/>
  <c r="AS25" i="7"/>
  <c r="AT25" i="7"/>
  <c r="AU25" i="7"/>
  <c r="AV25" i="7"/>
  <c r="AW25" i="7"/>
  <c r="AX25" i="7"/>
  <c r="AY25" i="7"/>
  <c r="AZ25" i="7"/>
  <c r="BA25" i="7"/>
  <c r="BB25" i="7"/>
  <c r="BC25" i="7"/>
  <c r="BD25" i="7"/>
  <c r="BE25" i="7"/>
  <c r="BF25" i="7"/>
  <c r="BG25" i="7"/>
  <c r="BH25" i="7"/>
  <c r="BI25" i="7"/>
  <c r="BJ25" i="7"/>
  <c r="BK25" i="7"/>
  <c r="BL25" i="7"/>
  <c r="BM25"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T28" i="7"/>
  <c r="U28" i="7"/>
  <c r="V28" i="7"/>
  <c r="W28" i="7"/>
  <c r="X28" i="7"/>
  <c r="Y28" i="7"/>
  <c r="Z28" i="7"/>
  <c r="AA28" i="7"/>
  <c r="AB28" i="7"/>
  <c r="AC28" i="7"/>
  <c r="AD28" i="7"/>
  <c r="AE28" i="7"/>
  <c r="AF28" i="7"/>
  <c r="AG28" i="7"/>
  <c r="AH28" i="7"/>
  <c r="AI28" i="7"/>
  <c r="AJ28" i="7"/>
  <c r="AK28" i="7"/>
  <c r="AL28" i="7"/>
  <c r="AM28" i="7"/>
  <c r="AN28" i="7"/>
  <c r="AO28" i="7"/>
  <c r="AP28" i="7"/>
  <c r="AQ28" i="7"/>
  <c r="AR28" i="7"/>
  <c r="AS28" i="7"/>
  <c r="AT28" i="7"/>
  <c r="AU28" i="7"/>
  <c r="AV28" i="7"/>
  <c r="AW28" i="7"/>
  <c r="AX28" i="7"/>
  <c r="AY28" i="7"/>
  <c r="AZ28" i="7"/>
  <c r="BA28" i="7"/>
  <c r="BB28" i="7"/>
  <c r="BC28" i="7"/>
  <c r="BD28" i="7"/>
  <c r="BE28" i="7"/>
  <c r="BF28" i="7"/>
  <c r="BG28" i="7"/>
  <c r="BH28" i="7"/>
  <c r="BI28" i="7"/>
  <c r="BJ28" i="7"/>
  <c r="BK28" i="7"/>
  <c r="BL28" i="7"/>
  <c r="BM28" i="7"/>
  <c r="T29" i="7"/>
  <c r="U29" i="7"/>
  <c r="V29" i="7"/>
  <c r="W29" i="7"/>
  <c r="X29" i="7"/>
  <c r="Y29" i="7"/>
  <c r="Z29" i="7"/>
  <c r="AA29" i="7"/>
  <c r="AB29" i="7"/>
  <c r="AC29" i="7"/>
  <c r="AD29" i="7"/>
  <c r="AE29" i="7"/>
  <c r="AF29" i="7"/>
  <c r="AG29" i="7"/>
  <c r="AH29" i="7"/>
  <c r="AI29" i="7"/>
  <c r="AJ29" i="7"/>
  <c r="AK29" i="7"/>
  <c r="AL29" i="7"/>
  <c r="AM29" i="7"/>
  <c r="AN29" i="7"/>
  <c r="AO29" i="7"/>
  <c r="AP29" i="7"/>
  <c r="AQ29" i="7"/>
  <c r="AR29" i="7"/>
  <c r="AS29" i="7"/>
  <c r="AT29" i="7"/>
  <c r="AU29" i="7"/>
  <c r="AV29" i="7"/>
  <c r="AW29" i="7"/>
  <c r="AX29" i="7"/>
  <c r="AY29" i="7"/>
  <c r="AZ29" i="7"/>
  <c r="BA29" i="7"/>
  <c r="BB29" i="7"/>
  <c r="BC29" i="7"/>
  <c r="BD29" i="7"/>
  <c r="BE29" i="7"/>
  <c r="BF29" i="7"/>
  <c r="BG29" i="7"/>
  <c r="BH29" i="7"/>
  <c r="BI29" i="7"/>
  <c r="BJ29" i="7"/>
  <c r="BK29" i="7"/>
  <c r="BL29" i="7"/>
  <c r="BM29" i="7"/>
  <c r="T30" i="7"/>
  <c r="U30" i="7"/>
  <c r="V30" i="7"/>
  <c r="W30" i="7"/>
  <c r="X30" i="7"/>
  <c r="Y30" i="7"/>
  <c r="Z30" i="7"/>
  <c r="AA30" i="7"/>
  <c r="AB30" i="7"/>
  <c r="AC30" i="7"/>
  <c r="AD30" i="7"/>
  <c r="AE30" i="7"/>
  <c r="AF30" i="7"/>
  <c r="AG30" i="7"/>
  <c r="AH30" i="7"/>
  <c r="AI30" i="7"/>
  <c r="AJ30" i="7"/>
  <c r="AK30" i="7"/>
  <c r="AL30" i="7"/>
  <c r="AM30" i="7"/>
  <c r="AN30" i="7"/>
  <c r="AO30" i="7"/>
  <c r="AP30" i="7"/>
  <c r="AQ30" i="7"/>
  <c r="AR30" i="7"/>
  <c r="AS30" i="7"/>
  <c r="AT30" i="7"/>
  <c r="AU30" i="7"/>
  <c r="AV30" i="7"/>
  <c r="AW30" i="7"/>
  <c r="AX30" i="7"/>
  <c r="AY30" i="7"/>
  <c r="AZ30" i="7"/>
  <c r="BA30" i="7"/>
  <c r="BB30" i="7"/>
  <c r="BC30" i="7"/>
  <c r="BD30" i="7"/>
  <c r="BE30" i="7"/>
  <c r="BF30" i="7"/>
  <c r="BG30" i="7"/>
  <c r="BH30" i="7"/>
  <c r="BI30" i="7"/>
  <c r="BJ30" i="7"/>
  <c r="BK30" i="7"/>
  <c r="BL30" i="7"/>
  <c r="BM30" i="7"/>
  <c r="T31" i="7"/>
  <c r="U31" i="7"/>
  <c r="V31" i="7"/>
  <c r="W31" i="7"/>
  <c r="X31" i="7"/>
  <c r="Y31" i="7"/>
  <c r="Z31" i="7"/>
  <c r="AA31" i="7"/>
  <c r="AB31" i="7"/>
  <c r="AC31" i="7"/>
  <c r="AD31" i="7"/>
  <c r="AE31" i="7"/>
  <c r="AF31" i="7"/>
  <c r="AG31" i="7"/>
  <c r="AH31" i="7"/>
  <c r="AI31" i="7"/>
  <c r="AJ31" i="7"/>
  <c r="AK31" i="7"/>
  <c r="AL31" i="7"/>
  <c r="AM31" i="7"/>
  <c r="AN31" i="7"/>
  <c r="AO31" i="7"/>
  <c r="AP31" i="7"/>
  <c r="AQ31" i="7"/>
  <c r="AR31" i="7"/>
  <c r="AS31" i="7"/>
  <c r="AT31" i="7"/>
  <c r="AU31" i="7"/>
  <c r="AV31" i="7"/>
  <c r="AW31" i="7"/>
  <c r="AX31" i="7"/>
  <c r="AY31" i="7"/>
  <c r="AZ31" i="7"/>
  <c r="BA31" i="7"/>
  <c r="BB31" i="7"/>
  <c r="BC31" i="7"/>
  <c r="BD31" i="7"/>
  <c r="BE31" i="7"/>
  <c r="BF31" i="7"/>
  <c r="BG31" i="7"/>
  <c r="BH31" i="7"/>
  <c r="BI31" i="7"/>
  <c r="BJ31" i="7"/>
  <c r="BK31" i="7"/>
  <c r="BL31" i="7"/>
  <c r="BM31" i="7"/>
  <c r="T32" i="7"/>
  <c r="U32" i="7"/>
  <c r="V32" i="7"/>
  <c r="W32" i="7"/>
  <c r="X32" i="7"/>
  <c r="Y32" i="7"/>
  <c r="Z32" i="7"/>
  <c r="AA32" i="7"/>
  <c r="AB32" i="7"/>
  <c r="AC32" i="7"/>
  <c r="AD32" i="7"/>
  <c r="AE32" i="7"/>
  <c r="AF32" i="7"/>
  <c r="AG32" i="7"/>
  <c r="AH32" i="7"/>
  <c r="AI32" i="7"/>
  <c r="AJ32" i="7"/>
  <c r="AK32" i="7"/>
  <c r="AL32" i="7"/>
  <c r="AM32" i="7"/>
  <c r="AN32" i="7"/>
  <c r="AO32" i="7"/>
  <c r="AP32" i="7"/>
  <c r="AQ32" i="7"/>
  <c r="AR32" i="7"/>
  <c r="AS32" i="7"/>
  <c r="AT32" i="7"/>
  <c r="AU32" i="7"/>
  <c r="AV32" i="7"/>
  <c r="AW32" i="7"/>
  <c r="AX32" i="7"/>
  <c r="AY32" i="7"/>
  <c r="AZ32" i="7"/>
  <c r="BA32" i="7"/>
  <c r="BB32" i="7"/>
  <c r="BC32" i="7"/>
  <c r="BD32" i="7"/>
  <c r="BE32" i="7"/>
  <c r="BF32" i="7"/>
  <c r="BG32" i="7"/>
  <c r="BH32" i="7"/>
  <c r="BI32" i="7"/>
  <c r="BJ32" i="7"/>
  <c r="BK32" i="7"/>
  <c r="BL32" i="7"/>
  <c r="BM32" i="7"/>
  <c r="T33" i="7"/>
  <c r="U33" i="7"/>
  <c r="V33" i="7"/>
  <c r="W33" i="7"/>
  <c r="X33" i="7"/>
  <c r="Y33" i="7"/>
  <c r="Z33" i="7"/>
  <c r="AA33" i="7"/>
  <c r="AB33" i="7"/>
  <c r="AC33" i="7"/>
  <c r="AD33" i="7"/>
  <c r="AE33" i="7"/>
  <c r="AF33" i="7"/>
  <c r="AG33" i="7"/>
  <c r="AH33" i="7"/>
  <c r="AI33" i="7"/>
  <c r="AJ33" i="7"/>
  <c r="AK33" i="7"/>
  <c r="AL33" i="7"/>
  <c r="AM33" i="7"/>
  <c r="AN33" i="7"/>
  <c r="AO33" i="7"/>
  <c r="AP33" i="7"/>
  <c r="AQ33" i="7"/>
  <c r="AR33" i="7"/>
  <c r="AS33" i="7"/>
  <c r="AT33" i="7"/>
  <c r="AU33" i="7"/>
  <c r="AV33" i="7"/>
  <c r="AW33" i="7"/>
  <c r="AX33" i="7"/>
  <c r="AY33" i="7"/>
  <c r="AZ33" i="7"/>
  <c r="BA33" i="7"/>
  <c r="BB33" i="7"/>
  <c r="BC33" i="7"/>
  <c r="BD33" i="7"/>
  <c r="BE33" i="7"/>
  <c r="BF33" i="7"/>
  <c r="BG33" i="7"/>
  <c r="BH33" i="7"/>
  <c r="BI33" i="7"/>
  <c r="BJ33" i="7"/>
  <c r="BK33" i="7"/>
  <c r="BL33" i="7"/>
  <c r="BM33" i="7"/>
  <c r="T34" i="7"/>
  <c r="U34" i="7"/>
  <c r="V34" i="7"/>
  <c r="W34" i="7"/>
  <c r="X34" i="7"/>
  <c r="Y34" i="7"/>
  <c r="Z34" i="7"/>
  <c r="AA34" i="7"/>
  <c r="AB34" i="7"/>
  <c r="AC34" i="7"/>
  <c r="AD34" i="7"/>
  <c r="AE34" i="7"/>
  <c r="AF34" i="7"/>
  <c r="AG34" i="7"/>
  <c r="AH34" i="7"/>
  <c r="AI34" i="7"/>
  <c r="AJ34" i="7"/>
  <c r="AK34" i="7"/>
  <c r="AL34" i="7"/>
  <c r="AM34" i="7"/>
  <c r="AN34" i="7"/>
  <c r="AO34" i="7"/>
  <c r="AP34" i="7"/>
  <c r="AQ34" i="7"/>
  <c r="AR34" i="7"/>
  <c r="AS34" i="7"/>
  <c r="AT34" i="7"/>
  <c r="AU34" i="7"/>
  <c r="AV34" i="7"/>
  <c r="AW34" i="7"/>
  <c r="AX34" i="7"/>
  <c r="AY34" i="7"/>
  <c r="AZ34" i="7"/>
  <c r="BA34" i="7"/>
  <c r="BB34" i="7"/>
  <c r="BC34" i="7"/>
  <c r="BD34" i="7"/>
  <c r="BE34" i="7"/>
  <c r="BF34" i="7"/>
  <c r="BG34" i="7"/>
  <c r="BH34" i="7"/>
  <c r="BI34" i="7"/>
  <c r="BJ34" i="7"/>
  <c r="BK34" i="7"/>
  <c r="BL34" i="7"/>
  <c r="BM34" i="7"/>
  <c r="T35" i="7"/>
  <c r="U35" i="7"/>
  <c r="V35" i="7"/>
  <c r="W35" i="7"/>
  <c r="X35" i="7"/>
  <c r="Y35" i="7"/>
  <c r="Z35" i="7"/>
  <c r="AA35" i="7"/>
  <c r="AB35" i="7"/>
  <c r="AC35" i="7"/>
  <c r="AD35" i="7"/>
  <c r="AE35" i="7"/>
  <c r="AF35" i="7"/>
  <c r="AG35" i="7"/>
  <c r="AH35" i="7"/>
  <c r="AI35" i="7"/>
  <c r="AJ35" i="7"/>
  <c r="AK35" i="7"/>
  <c r="AL35" i="7"/>
  <c r="AM35" i="7"/>
  <c r="AN35" i="7"/>
  <c r="AO35" i="7"/>
  <c r="AP35" i="7"/>
  <c r="AQ35" i="7"/>
  <c r="AR35" i="7"/>
  <c r="AS35" i="7"/>
  <c r="AT35" i="7"/>
  <c r="AU35" i="7"/>
  <c r="AV35" i="7"/>
  <c r="AW35" i="7"/>
  <c r="AX35" i="7"/>
  <c r="AY35" i="7"/>
  <c r="AZ35" i="7"/>
  <c r="BA35" i="7"/>
  <c r="BB35" i="7"/>
  <c r="BC35" i="7"/>
  <c r="BD35" i="7"/>
  <c r="BE35" i="7"/>
  <c r="BF35" i="7"/>
  <c r="BG35" i="7"/>
  <c r="BH35" i="7"/>
  <c r="BI35" i="7"/>
  <c r="BJ35" i="7"/>
  <c r="BK35" i="7"/>
  <c r="BL35" i="7"/>
  <c r="BM35" i="7"/>
  <c r="T36" i="7"/>
  <c r="U36" i="7"/>
  <c r="V36" i="7"/>
  <c r="W36" i="7"/>
  <c r="X36" i="7"/>
  <c r="Y36" i="7"/>
  <c r="Z36" i="7"/>
  <c r="AA36" i="7"/>
  <c r="AB36" i="7"/>
  <c r="AC36" i="7"/>
  <c r="AD36" i="7"/>
  <c r="AE36" i="7"/>
  <c r="AF36" i="7"/>
  <c r="AG36" i="7"/>
  <c r="AH36" i="7"/>
  <c r="AI36" i="7"/>
  <c r="AJ36" i="7"/>
  <c r="AK36" i="7"/>
  <c r="AL36" i="7"/>
  <c r="AM36" i="7"/>
  <c r="AN36" i="7"/>
  <c r="AO36" i="7"/>
  <c r="AP36" i="7"/>
  <c r="AQ36" i="7"/>
  <c r="AR36" i="7"/>
  <c r="AS36" i="7"/>
  <c r="AT36" i="7"/>
  <c r="AU36" i="7"/>
  <c r="AV36" i="7"/>
  <c r="AW36" i="7"/>
  <c r="AX36" i="7"/>
  <c r="AY36" i="7"/>
  <c r="AZ36" i="7"/>
  <c r="BA36" i="7"/>
  <c r="BB36" i="7"/>
  <c r="BC36" i="7"/>
  <c r="BD36" i="7"/>
  <c r="BE36" i="7"/>
  <c r="BF36" i="7"/>
  <c r="BG36" i="7"/>
  <c r="BH36" i="7"/>
  <c r="BI36" i="7"/>
  <c r="BJ36" i="7"/>
  <c r="BK36" i="7"/>
  <c r="BL36" i="7"/>
  <c r="BM36" i="7"/>
  <c r="T37" i="7"/>
  <c r="U37" i="7"/>
  <c r="V37" i="7"/>
  <c r="W37" i="7"/>
  <c r="X37" i="7"/>
  <c r="Y37" i="7"/>
  <c r="Z37" i="7"/>
  <c r="AA37" i="7"/>
  <c r="AB37" i="7"/>
  <c r="AC37" i="7"/>
  <c r="AD37" i="7"/>
  <c r="AE37" i="7"/>
  <c r="AF37" i="7"/>
  <c r="AG37" i="7"/>
  <c r="AH37" i="7"/>
  <c r="AI37" i="7"/>
  <c r="AJ37" i="7"/>
  <c r="AK37" i="7"/>
  <c r="AL37" i="7"/>
  <c r="AM37" i="7"/>
  <c r="AN37" i="7"/>
  <c r="AO37" i="7"/>
  <c r="AP37" i="7"/>
  <c r="AQ37" i="7"/>
  <c r="AR37" i="7"/>
  <c r="AS37" i="7"/>
  <c r="AT37" i="7"/>
  <c r="AU37" i="7"/>
  <c r="AV37" i="7"/>
  <c r="AW37" i="7"/>
  <c r="AX37" i="7"/>
  <c r="AY37" i="7"/>
  <c r="AZ37" i="7"/>
  <c r="BA37" i="7"/>
  <c r="BB37" i="7"/>
  <c r="BC37" i="7"/>
  <c r="BD37" i="7"/>
  <c r="BE37" i="7"/>
  <c r="BF37" i="7"/>
  <c r="BG37" i="7"/>
  <c r="BH37" i="7"/>
  <c r="BI37" i="7"/>
  <c r="BJ37" i="7"/>
  <c r="BK37" i="7"/>
  <c r="BL37" i="7"/>
  <c r="BM37" i="7"/>
  <c r="T38" i="7"/>
  <c r="U38" i="7"/>
  <c r="V38" i="7"/>
  <c r="W38" i="7"/>
  <c r="X38" i="7"/>
  <c r="Y38" i="7"/>
  <c r="Z38" i="7"/>
  <c r="AA38" i="7"/>
  <c r="AB38" i="7"/>
  <c r="AC38" i="7"/>
  <c r="AD38" i="7"/>
  <c r="AE38" i="7"/>
  <c r="AF38" i="7"/>
  <c r="AG38" i="7"/>
  <c r="AH38" i="7"/>
  <c r="AI38" i="7"/>
  <c r="AJ38" i="7"/>
  <c r="AK38" i="7"/>
  <c r="AL38" i="7"/>
  <c r="AM38" i="7"/>
  <c r="AN38" i="7"/>
  <c r="AO38" i="7"/>
  <c r="AP38" i="7"/>
  <c r="AQ38" i="7"/>
  <c r="AR38" i="7"/>
  <c r="AS38" i="7"/>
  <c r="AT38" i="7"/>
  <c r="AU38" i="7"/>
  <c r="AV38" i="7"/>
  <c r="AW38" i="7"/>
  <c r="AX38" i="7"/>
  <c r="AY38" i="7"/>
  <c r="AZ38" i="7"/>
  <c r="BA38" i="7"/>
  <c r="BB38" i="7"/>
  <c r="BC38" i="7"/>
  <c r="BD38" i="7"/>
  <c r="BE38" i="7"/>
  <c r="BF38" i="7"/>
  <c r="BG38" i="7"/>
  <c r="BH38" i="7"/>
  <c r="BI38" i="7"/>
  <c r="BJ38" i="7"/>
  <c r="BK38" i="7"/>
  <c r="BL38" i="7"/>
  <c r="BM38" i="7"/>
  <c r="T39" i="7"/>
  <c r="U39" i="7"/>
  <c r="V39" i="7"/>
  <c r="W39" i="7"/>
  <c r="X39" i="7"/>
  <c r="Y39" i="7"/>
  <c r="Z39" i="7"/>
  <c r="AA39" i="7"/>
  <c r="AB39" i="7"/>
  <c r="AC39" i="7"/>
  <c r="AD39" i="7"/>
  <c r="AE39" i="7"/>
  <c r="AF39" i="7"/>
  <c r="AG39" i="7"/>
  <c r="AH39" i="7"/>
  <c r="AI39" i="7"/>
  <c r="AJ39" i="7"/>
  <c r="AK39" i="7"/>
  <c r="AL39" i="7"/>
  <c r="AM39" i="7"/>
  <c r="AN39" i="7"/>
  <c r="AO39" i="7"/>
  <c r="AP39" i="7"/>
  <c r="AQ39" i="7"/>
  <c r="AR39" i="7"/>
  <c r="AS39" i="7"/>
  <c r="AT39" i="7"/>
  <c r="AU39" i="7"/>
  <c r="AV39" i="7"/>
  <c r="AW39" i="7"/>
  <c r="AX39" i="7"/>
  <c r="AY39" i="7"/>
  <c r="AZ39" i="7"/>
  <c r="BA39" i="7"/>
  <c r="BB39" i="7"/>
  <c r="BC39" i="7"/>
  <c r="BD39" i="7"/>
  <c r="BE39" i="7"/>
  <c r="BF39" i="7"/>
  <c r="BG39" i="7"/>
  <c r="BH39" i="7"/>
  <c r="BI39" i="7"/>
  <c r="BJ39" i="7"/>
  <c r="BK39" i="7"/>
  <c r="BL39" i="7"/>
  <c r="BM39" i="7"/>
  <c r="T40" i="7"/>
  <c r="U40" i="7"/>
  <c r="V40" i="7"/>
  <c r="W40" i="7"/>
  <c r="X40" i="7"/>
  <c r="Y40" i="7"/>
  <c r="Z40" i="7"/>
  <c r="AA40" i="7"/>
  <c r="AB40" i="7"/>
  <c r="AC40" i="7"/>
  <c r="AD40" i="7"/>
  <c r="AE40" i="7"/>
  <c r="AF40" i="7"/>
  <c r="AG40" i="7"/>
  <c r="AH40" i="7"/>
  <c r="AI40" i="7"/>
  <c r="AJ40" i="7"/>
  <c r="AK40" i="7"/>
  <c r="AL40" i="7"/>
  <c r="AM40" i="7"/>
  <c r="AN40" i="7"/>
  <c r="AO40" i="7"/>
  <c r="AP40" i="7"/>
  <c r="AQ40" i="7"/>
  <c r="AR40" i="7"/>
  <c r="AS40" i="7"/>
  <c r="AT40" i="7"/>
  <c r="AU40" i="7"/>
  <c r="AV40" i="7"/>
  <c r="AW40" i="7"/>
  <c r="AX40" i="7"/>
  <c r="AY40" i="7"/>
  <c r="AZ40" i="7"/>
  <c r="BA40" i="7"/>
  <c r="BB40" i="7"/>
  <c r="BC40" i="7"/>
  <c r="BD40" i="7"/>
  <c r="BE40" i="7"/>
  <c r="BF40" i="7"/>
  <c r="BG40" i="7"/>
  <c r="BH40" i="7"/>
  <c r="BI40" i="7"/>
  <c r="BJ40" i="7"/>
  <c r="BK40" i="7"/>
  <c r="BL40" i="7"/>
  <c r="BM40" i="7"/>
  <c r="T41" i="7"/>
  <c r="U41" i="7"/>
  <c r="V41" i="7"/>
  <c r="W41" i="7"/>
  <c r="X41" i="7"/>
  <c r="Y41" i="7"/>
  <c r="Z41" i="7"/>
  <c r="AA41" i="7"/>
  <c r="AB41" i="7"/>
  <c r="AC41" i="7"/>
  <c r="AD41" i="7"/>
  <c r="AE41" i="7"/>
  <c r="AF41" i="7"/>
  <c r="AG41" i="7"/>
  <c r="AH41" i="7"/>
  <c r="AI41" i="7"/>
  <c r="AJ41" i="7"/>
  <c r="AK41" i="7"/>
  <c r="AL41" i="7"/>
  <c r="AM41" i="7"/>
  <c r="AN41" i="7"/>
  <c r="AO41" i="7"/>
  <c r="AP41" i="7"/>
  <c r="AQ41" i="7"/>
  <c r="AR41" i="7"/>
  <c r="AS41" i="7"/>
  <c r="AT41" i="7"/>
  <c r="AU41" i="7"/>
  <c r="AV41" i="7"/>
  <c r="AW41" i="7"/>
  <c r="AX41" i="7"/>
  <c r="AY41" i="7"/>
  <c r="AZ41" i="7"/>
  <c r="BA41" i="7"/>
  <c r="BB41" i="7"/>
  <c r="BC41" i="7"/>
  <c r="BD41" i="7"/>
  <c r="BE41" i="7"/>
  <c r="BF41" i="7"/>
  <c r="BG41" i="7"/>
  <c r="BH41" i="7"/>
  <c r="BI41" i="7"/>
  <c r="BJ41" i="7"/>
  <c r="BK41" i="7"/>
  <c r="BL41" i="7"/>
  <c r="BM41" i="7"/>
  <c r="T42" i="7"/>
  <c r="U42" i="7"/>
  <c r="V42" i="7"/>
  <c r="W42" i="7"/>
  <c r="X42" i="7"/>
  <c r="Y42" i="7"/>
  <c r="Z42" i="7"/>
  <c r="AA42" i="7"/>
  <c r="AB42" i="7"/>
  <c r="AC42" i="7"/>
  <c r="AD42" i="7"/>
  <c r="AE42" i="7"/>
  <c r="AF42" i="7"/>
  <c r="AG42" i="7"/>
  <c r="AH42" i="7"/>
  <c r="AI42" i="7"/>
  <c r="AJ42" i="7"/>
  <c r="AK42" i="7"/>
  <c r="AL42" i="7"/>
  <c r="AM42" i="7"/>
  <c r="AN42" i="7"/>
  <c r="AO42" i="7"/>
  <c r="AP42" i="7"/>
  <c r="AQ42" i="7"/>
  <c r="AR42" i="7"/>
  <c r="AS42" i="7"/>
  <c r="AT42" i="7"/>
  <c r="AU42" i="7"/>
  <c r="AV42" i="7"/>
  <c r="AW42" i="7"/>
  <c r="AX42" i="7"/>
  <c r="AY42" i="7"/>
  <c r="AZ42" i="7"/>
  <c r="BA42" i="7"/>
  <c r="BB42" i="7"/>
  <c r="BC42" i="7"/>
  <c r="BD42" i="7"/>
  <c r="BE42" i="7"/>
  <c r="BF42" i="7"/>
  <c r="BG42" i="7"/>
  <c r="BH42" i="7"/>
  <c r="BI42" i="7"/>
  <c r="BJ42" i="7"/>
  <c r="BK42" i="7"/>
  <c r="BL42" i="7"/>
  <c r="BM42" i="7"/>
  <c r="T43" i="7"/>
  <c r="U43" i="7"/>
  <c r="V43" i="7"/>
  <c r="W43" i="7"/>
  <c r="X43" i="7"/>
  <c r="Y43" i="7"/>
  <c r="Z43" i="7"/>
  <c r="AA43" i="7"/>
  <c r="AB43" i="7"/>
  <c r="AC43" i="7"/>
  <c r="AD43" i="7"/>
  <c r="AE43" i="7"/>
  <c r="AF43" i="7"/>
  <c r="AG43" i="7"/>
  <c r="AH43" i="7"/>
  <c r="AI43" i="7"/>
  <c r="AJ43" i="7"/>
  <c r="AK43" i="7"/>
  <c r="AL43" i="7"/>
  <c r="AM43" i="7"/>
  <c r="AN43" i="7"/>
  <c r="AO43" i="7"/>
  <c r="AP43" i="7"/>
  <c r="AQ43" i="7"/>
  <c r="AR43" i="7"/>
  <c r="AS43" i="7"/>
  <c r="AT43" i="7"/>
  <c r="AU43" i="7"/>
  <c r="AV43" i="7"/>
  <c r="AW43" i="7"/>
  <c r="AX43" i="7"/>
  <c r="AY43" i="7"/>
  <c r="AZ43" i="7"/>
  <c r="BA43" i="7"/>
  <c r="BB43" i="7"/>
  <c r="BC43" i="7"/>
  <c r="BD43" i="7"/>
  <c r="BE43" i="7"/>
  <c r="BF43" i="7"/>
  <c r="BG43" i="7"/>
  <c r="BH43" i="7"/>
  <c r="BI43" i="7"/>
  <c r="BJ43" i="7"/>
  <c r="BK43" i="7"/>
  <c r="BL43" i="7"/>
  <c r="BM43" i="7"/>
  <c r="T44" i="7"/>
  <c r="U44" i="7"/>
  <c r="V44" i="7"/>
  <c r="W44" i="7"/>
  <c r="X44" i="7"/>
  <c r="Y44" i="7"/>
  <c r="Z44" i="7"/>
  <c r="AA44" i="7"/>
  <c r="AB44" i="7"/>
  <c r="AC44" i="7"/>
  <c r="AD44" i="7"/>
  <c r="AE44" i="7"/>
  <c r="AF44" i="7"/>
  <c r="AG44" i="7"/>
  <c r="AH44" i="7"/>
  <c r="AI44" i="7"/>
  <c r="AJ44" i="7"/>
  <c r="AK44" i="7"/>
  <c r="AL44" i="7"/>
  <c r="AM44" i="7"/>
  <c r="AN44" i="7"/>
  <c r="AO44" i="7"/>
  <c r="AP44" i="7"/>
  <c r="AQ44" i="7"/>
  <c r="AR44" i="7"/>
  <c r="AS44" i="7"/>
  <c r="AT44" i="7"/>
  <c r="AU44" i="7"/>
  <c r="AV44" i="7"/>
  <c r="AW44" i="7"/>
  <c r="AX44" i="7"/>
  <c r="AY44" i="7"/>
  <c r="AZ44" i="7"/>
  <c r="BA44" i="7"/>
  <c r="BB44" i="7"/>
  <c r="BC44" i="7"/>
  <c r="BD44" i="7"/>
  <c r="BE44" i="7"/>
  <c r="BF44" i="7"/>
  <c r="BG44" i="7"/>
  <c r="BH44" i="7"/>
  <c r="BI44" i="7"/>
  <c r="BJ44" i="7"/>
  <c r="BK44" i="7"/>
  <c r="BL44" i="7"/>
  <c r="BM44" i="7"/>
  <c r="T45" i="7"/>
  <c r="U45" i="7"/>
  <c r="V45" i="7"/>
  <c r="W45" i="7"/>
  <c r="X45" i="7"/>
  <c r="Y45" i="7"/>
  <c r="Z45" i="7"/>
  <c r="AA45" i="7"/>
  <c r="AB45" i="7"/>
  <c r="AC45" i="7"/>
  <c r="AD45" i="7"/>
  <c r="AE45" i="7"/>
  <c r="AF45" i="7"/>
  <c r="AG45" i="7"/>
  <c r="AH45" i="7"/>
  <c r="AI45" i="7"/>
  <c r="AJ45" i="7"/>
  <c r="AK45" i="7"/>
  <c r="AL45" i="7"/>
  <c r="AM45" i="7"/>
  <c r="AN45" i="7"/>
  <c r="AO45" i="7"/>
  <c r="AP45" i="7"/>
  <c r="AQ45" i="7"/>
  <c r="AR45" i="7"/>
  <c r="AS45" i="7"/>
  <c r="AT45" i="7"/>
  <c r="AU45" i="7"/>
  <c r="AV45" i="7"/>
  <c r="AW45" i="7"/>
  <c r="AX45" i="7"/>
  <c r="AY45" i="7"/>
  <c r="AZ45" i="7"/>
  <c r="BA45" i="7"/>
  <c r="BB45" i="7"/>
  <c r="BC45" i="7"/>
  <c r="BD45" i="7"/>
  <c r="BE45" i="7"/>
  <c r="BF45" i="7"/>
  <c r="BG45" i="7"/>
  <c r="BH45" i="7"/>
  <c r="BI45" i="7"/>
  <c r="BJ45" i="7"/>
  <c r="BK45" i="7"/>
  <c r="BL45" i="7"/>
  <c r="BM45" i="7"/>
  <c r="T46" i="7"/>
  <c r="U46" i="7"/>
  <c r="V46" i="7"/>
  <c r="W46" i="7"/>
  <c r="X46" i="7"/>
  <c r="Y46" i="7"/>
  <c r="Z46" i="7"/>
  <c r="AA46" i="7"/>
  <c r="AB46" i="7"/>
  <c r="AC46" i="7"/>
  <c r="AD46" i="7"/>
  <c r="AE46" i="7"/>
  <c r="AF46" i="7"/>
  <c r="AG46" i="7"/>
  <c r="AH46" i="7"/>
  <c r="AI46" i="7"/>
  <c r="AJ46" i="7"/>
  <c r="AK46" i="7"/>
  <c r="AL46" i="7"/>
  <c r="AM46" i="7"/>
  <c r="AN46" i="7"/>
  <c r="AO46" i="7"/>
  <c r="AP46" i="7"/>
  <c r="AQ46" i="7"/>
  <c r="AR46" i="7"/>
  <c r="AS46" i="7"/>
  <c r="AT46" i="7"/>
  <c r="AU46" i="7"/>
  <c r="AV46" i="7"/>
  <c r="AW46" i="7"/>
  <c r="AX46" i="7"/>
  <c r="AY46" i="7"/>
  <c r="AZ46" i="7"/>
  <c r="BA46" i="7"/>
  <c r="BB46" i="7"/>
  <c r="BC46" i="7"/>
  <c r="BD46" i="7"/>
  <c r="BE46" i="7"/>
  <c r="BF46" i="7"/>
  <c r="BG46" i="7"/>
  <c r="BH46" i="7"/>
  <c r="BI46" i="7"/>
  <c r="BJ46" i="7"/>
  <c r="BK46" i="7"/>
  <c r="BL46" i="7"/>
  <c r="BM46" i="7"/>
  <c r="T47" i="7"/>
  <c r="U47" i="7"/>
  <c r="V47" i="7"/>
  <c r="W47" i="7"/>
  <c r="X47" i="7"/>
  <c r="Y47" i="7"/>
  <c r="Z47" i="7"/>
  <c r="AA47" i="7"/>
  <c r="AB47" i="7"/>
  <c r="AC47" i="7"/>
  <c r="AD47" i="7"/>
  <c r="AE47" i="7"/>
  <c r="AF47" i="7"/>
  <c r="AG47" i="7"/>
  <c r="AH47" i="7"/>
  <c r="AI47" i="7"/>
  <c r="AJ47" i="7"/>
  <c r="AK47" i="7"/>
  <c r="AL47" i="7"/>
  <c r="AM47" i="7"/>
  <c r="AN47" i="7"/>
  <c r="AO47" i="7"/>
  <c r="AP47" i="7"/>
  <c r="AQ47" i="7"/>
  <c r="AR47" i="7"/>
  <c r="AS47" i="7"/>
  <c r="AT47" i="7"/>
  <c r="AU47" i="7"/>
  <c r="AV47" i="7"/>
  <c r="AW47" i="7"/>
  <c r="AX47" i="7"/>
  <c r="AY47" i="7"/>
  <c r="AZ47" i="7"/>
  <c r="BA47" i="7"/>
  <c r="BB47" i="7"/>
  <c r="BC47" i="7"/>
  <c r="BD47" i="7"/>
  <c r="BE47" i="7"/>
  <c r="BF47" i="7"/>
  <c r="BG47" i="7"/>
  <c r="BH47" i="7"/>
  <c r="BI47" i="7"/>
  <c r="BJ47" i="7"/>
  <c r="BK47" i="7"/>
  <c r="BL47" i="7"/>
  <c r="BM47" i="7"/>
  <c r="T48" i="7"/>
  <c r="U48" i="7"/>
  <c r="V48" i="7"/>
  <c r="W48" i="7"/>
  <c r="X48" i="7"/>
  <c r="Y48" i="7"/>
  <c r="Z48" i="7"/>
  <c r="AA48" i="7"/>
  <c r="AB48" i="7"/>
  <c r="AC48" i="7"/>
  <c r="AD48" i="7"/>
  <c r="AE48" i="7"/>
  <c r="AF48" i="7"/>
  <c r="AG48" i="7"/>
  <c r="AH48" i="7"/>
  <c r="AI48" i="7"/>
  <c r="AJ48" i="7"/>
  <c r="AK48" i="7"/>
  <c r="AL48" i="7"/>
  <c r="AM48" i="7"/>
  <c r="AN48" i="7"/>
  <c r="AO48" i="7"/>
  <c r="AP48" i="7"/>
  <c r="AQ48" i="7"/>
  <c r="AR48" i="7"/>
  <c r="AS48" i="7"/>
  <c r="AT48" i="7"/>
  <c r="AU48" i="7"/>
  <c r="AV48" i="7"/>
  <c r="AW48" i="7"/>
  <c r="AX48" i="7"/>
  <c r="AY48" i="7"/>
  <c r="AZ48" i="7"/>
  <c r="BA48" i="7"/>
  <c r="BB48" i="7"/>
  <c r="BC48" i="7"/>
  <c r="BD48" i="7"/>
  <c r="BE48" i="7"/>
  <c r="BF48" i="7"/>
  <c r="BG48" i="7"/>
  <c r="BH48" i="7"/>
  <c r="BI48" i="7"/>
  <c r="BJ48" i="7"/>
  <c r="BK48" i="7"/>
  <c r="BL48" i="7"/>
  <c r="BM48" i="7"/>
  <c r="T49" i="7"/>
  <c r="U49" i="7"/>
  <c r="V49" i="7"/>
  <c r="W49" i="7"/>
  <c r="X49" i="7"/>
  <c r="Y49" i="7"/>
  <c r="Z49" i="7"/>
  <c r="AA49" i="7"/>
  <c r="AB49" i="7"/>
  <c r="AC49" i="7"/>
  <c r="AD49" i="7"/>
  <c r="AE49" i="7"/>
  <c r="AF49" i="7"/>
  <c r="AG49" i="7"/>
  <c r="AH49" i="7"/>
  <c r="AI49" i="7"/>
  <c r="AJ49" i="7"/>
  <c r="AK49" i="7"/>
  <c r="AL49" i="7"/>
  <c r="AM49" i="7"/>
  <c r="AN49" i="7"/>
  <c r="AO49" i="7"/>
  <c r="AP49" i="7"/>
  <c r="AQ49" i="7"/>
  <c r="AR49" i="7"/>
  <c r="AS49" i="7"/>
  <c r="AT49" i="7"/>
  <c r="AU49" i="7"/>
  <c r="AV49" i="7"/>
  <c r="AW49" i="7"/>
  <c r="AX49" i="7"/>
  <c r="AY49" i="7"/>
  <c r="AZ49" i="7"/>
  <c r="BA49" i="7"/>
  <c r="BB49" i="7"/>
  <c r="BC49" i="7"/>
  <c r="BD49" i="7"/>
  <c r="BE49" i="7"/>
  <c r="BF49" i="7"/>
  <c r="BG49" i="7"/>
  <c r="BH49" i="7"/>
  <c r="BI49" i="7"/>
  <c r="BJ49" i="7"/>
  <c r="BK49" i="7"/>
  <c r="BL49" i="7"/>
  <c r="BM49" i="7"/>
  <c r="T50" i="7"/>
  <c r="U50" i="7"/>
  <c r="V50" i="7"/>
  <c r="W50" i="7"/>
  <c r="X50" i="7"/>
  <c r="Y50" i="7"/>
  <c r="Z50" i="7"/>
  <c r="AA50" i="7"/>
  <c r="AB50" i="7"/>
  <c r="AC50" i="7"/>
  <c r="AD50" i="7"/>
  <c r="AE50" i="7"/>
  <c r="AF50" i="7"/>
  <c r="AG50" i="7"/>
  <c r="AH50" i="7"/>
  <c r="AI50" i="7"/>
  <c r="AJ50" i="7"/>
  <c r="AK50" i="7"/>
  <c r="AL50" i="7"/>
  <c r="AM50" i="7"/>
  <c r="AN50" i="7"/>
  <c r="AO50" i="7"/>
  <c r="AP50" i="7"/>
  <c r="AQ50" i="7"/>
  <c r="AR50" i="7"/>
  <c r="AS50" i="7"/>
  <c r="AT50" i="7"/>
  <c r="AU50" i="7"/>
  <c r="AV50" i="7"/>
  <c r="AW50" i="7"/>
  <c r="AX50" i="7"/>
  <c r="AY50" i="7"/>
  <c r="AZ50" i="7"/>
  <c r="BA50" i="7"/>
  <c r="BB50" i="7"/>
  <c r="BC50" i="7"/>
  <c r="BD50" i="7"/>
  <c r="BE50" i="7"/>
  <c r="BF50" i="7"/>
  <c r="BG50" i="7"/>
  <c r="BH50" i="7"/>
  <c r="BI50" i="7"/>
  <c r="BJ50" i="7"/>
  <c r="BK50" i="7"/>
  <c r="BL50" i="7"/>
  <c r="BM50" i="7"/>
  <c r="T51" i="7"/>
  <c r="U51" i="7"/>
  <c r="V51" i="7"/>
  <c r="W51" i="7"/>
  <c r="X51" i="7"/>
  <c r="Y51" i="7"/>
  <c r="Z51" i="7"/>
  <c r="AA51" i="7"/>
  <c r="AB51" i="7"/>
  <c r="AC51" i="7"/>
  <c r="AD51" i="7"/>
  <c r="AE51" i="7"/>
  <c r="AF51" i="7"/>
  <c r="AG51" i="7"/>
  <c r="AH51" i="7"/>
  <c r="AI51" i="7"/>
  <c r="AJ51" i="7"/>
  <c r="AK51" i="7"/>
  <c r="AL51" i="7"/>
  <c r="AM51" i="7"/>
  <c r="AN51" i="7"/>
  <c r="AO51" i="7"/>
  <c r="AP51" i="7"/>
  <c r="AQ51" i="7"/>
  <c r="AR51" i="7"/>
  <c r="AS51" i="7"/>
  <c r="AT51" i="7"/>
  <c r="AU51" i="7"/>
  <c r="AV51" i="7"/>
  <c r="AW51" i="7"/>
  <c r="AX51" i="7"/>
  <c r="AY51" i="7"/>
  <c r="AZ51" i="7"/>
  <c r="BA51" i="7"/>
  <c r="BB51" i="7"/>
  <c r="BC51" i="7"/>
  <c r="BD51" i="7"/>
  <c r="BE51" i="7"/>
  <c r="BF51" i="7"/>
  <c r="BG51" i="7"/>
  <c r="BH51" i="7"/>
  <c r="BI51" i="7"/>
  <c r="BJ51" i="7"/>
  <c r="BK51" i="7"/>
  <c r="BL51" i="7"/>
  <c r="BM51" i="7"/>
  <c r="T52" i="7"/>
  <c r="U52" i="7"/>
  <c r="V52" i="7"/>
  <c r="W52" i="7"/>
  <c r="X52" i="7"/>
  <c r="Y52" i="7"/>
  <c r="Z52" i="7"/>
  <c r="AA52" i="7"/>
  <c r="AB52" i="7"/>
  <c r="AC52" i="7"/>
  <c r="AD52" i="7"/>
  <c r="AE52" i="7"/>
  <c r="AF52" i="7"/>
  <c r="AG52" i="7"/>
  <c r="AH52" i="7"/>
  <c r="AI52" i="7"/>
  <c r="AJ52" i="7"/>
  <c r="AK52" i="7"/>
  <c r="AL52" i="7"/>
  <c r="AM52" i="7"/>
  <c r="AN52" i="7"/>
  <c r="AO52" i="7"/>
  <c r="AP52" i="7"/>
  <c r="AQ52" i="7"/>
  <c r="AR52" i="7"/>
  <c r="AS52" i="7"/>
  <c r="AT52" i="7"/>
  <c r="AU52" i="7"/>
  <c r="AV52" i="7"/>
  <c r="AW52" i="7"/>
  <c r="AX52" i="7"/>
  <c r="AY52" i="7"/>
  <c r="AZ52" i="7"/>
  <c r="BA52" i="7"/>
  <c r="BB52" i="7"/>
  <c r="BC52" i="7"/>
  <c r="BD52" i="7"/>
  <c r="BE52" i="7"/>
  <c r="BF52" i="7"/>
  <c r="BG52" i="7"/>
  <c r="BH52" i="7"/>
  <c r="BI52" i="7"/>
  <c r="BJ52" i="7"/>
  <c r="BK52" i="7"/>
  <c r="BL52" i="7"/>
  <c r="BM52" i="7"/>
  <c r="T53" i="7"/>
  <c r="U53" i="7"/>
  <c r="V53" i="7"/>
  <c r="W53" i="7"/>
  <c r="X53" i="7"/>
  <c r="Y53" i="7"/>
  <c r="Z53" i="7"/>
  <c r="AA53" i="7"/>
  <c r="AB53" i="7"/>
  <c r="AC53" i="7"/>
  <c r="AD53" i="7"/>
  <c r="AE53" i="7"/>
  <c r="AF53" i="7"/>
  <c r="AG53" i="7"/>
  <c r="AH53" i="7"/>
  <c r="AI53" i="7"/>
  <c r="AJ53" i="7"/>
  <c r="AK53" i="7"/>
  <c r="AL53" i="7"/>
  <c r="AM53" i="7"/>
  <c r="AN53" i="7"/>
  <c r="AO53" i="7"/>
  <c r="AP53" i="7"/>
  <c r="AQ53" i="7"/>
  <c r="AR53" i="7"/>
  <c r="AS53" i="7"/>
  <c r="AT53" i="7"/>
  <c r="AU53" i="7"/>
  <c r="AV53" i="7"/>
  <c r="AW53" i="7"/>
  <c r="AX53" i="7"/>
  <c r="AY53" i="7"/>
  <c r="AZ53" i="7"/>
  <c r="BA53" i="7"/>
  <c r="BB53" i="7"/>
  <c r="BC53" i="7"/>
  <c r="BD53" i="7"/>
  <c r="BE53" i="7"/>
  <c r="BF53" i="7"/>
  <c r="BG53" i="7"/>
  <c r="BH53" i="7"/>
  <c r="BI53" i="7"/>
  <c r="BJ53" i="7"/>
  <c r="BK53" i="7"/>
  <c r="BL53" i="7"/>
  <c r="BM53" i="7"/>
  <c r="T54" i="7"/>
  <c r="U54" i="7"/>
  <c r="V54" i="7"/>
  <c r="W54" i="7"/>
  <c r="X54" i="7"/>
  <c r="Y54" i="7"/>
  <c r="Z54" i="7"/>
  <c r="AA54" i="7"/>
  <c r="AB54" i="7"/>
  <c r="AC54" i="7"/>
  <c r="AD54" i="7"/>
  <c r="AE54" i="7"/>
  <c r="AF54" i="7"/>
  <c r="AG54" i="7"/>
  <c r="AH54" i="7"/>
  <c r="AI54" i="7"/>
  <c r="AJ54" i="7"/>
  <c r="AK54" i="7"/>
  <c r="AL54" i="7"/>
  <c r="AM54" i="7"/>
  <c r="AN54" i="7"/>
  <c r="AO54" i="7"/>
  <c r="AP54" i="7"/>
  <c r="AQ54" i="7"/>
  <c r="AR54" i="7"/>
  <c r="AS54" i="7"/>
  <c r="AT54" i="7"/>
  <c r="AU54" i="7"/>
  <c r="AV54" i="7"/>
  <c r="AW54" i="7"/>
  <c r="AX54" i="7"/>
  <c r="AY54" i="7"/>
  <c r="AZ54" i="7"/>
  <c r="BA54" i="7"/>
  <c r="BB54" i="7"/>
  <c r="BC54" i="7"/>
  <c r="BD54" i="7"/>
  <c r="BE54" i="7"/>
  <c r="BF54" i="7"/>
  <c r="BG54" i="7"/>
  <c r="BH54" i="7"/>
  <c r="BI54" i="7"/>
  <c r="BJ54" i="7"/>
  <c r="BK54" i="7"/>
  <c r="BL54" i="7"/>
  <c r="BM54" i="7"/>
  <c r="T55" i="7"/>
  <c r="U55" i="7"/>
  <c r="V55" i="7"/>
  <c r="W55" i="7"/>
  <c r="X55" i="7"/>
  <c r="Y55" i="7"/>
  <c r="Z55" i="7"/>
  <c r="AA55" i="7"/>
  <c r="AB55" i="7"/>
  <c r="AC55" i="7"/>
  <c r="AD55" i="7"/>
  <c r="AE55" i="7"/>
  <c r="AF55" i="7"/>
  <c r="AG55" i="7"/>
  <c r="AH55" i="7"/>
  <c r="AI55" i="7"/>
  <c r="AJ55" i="7"/>
  <c r="AK55" i="7"/>
  <c r="AL55" i="7"/>
  <c r="AM55" i="7"/>
  <c r="AN55" i="7"/>
  <c r="AO55" i="7"/>
  <c r="AP55" i="7"/>
  <c r="AQ55" i="7"/>
  <c r="AR55" i="7"/>
  <c r="AS55" i="7"/>
  <c r="AT55" i="7"/>
  <c r="AU55" i="7"/>
  <c r="AV55" i="7"/>
  <c r="AW55" i="7"/>
  <c r="AX55" i="7"/>
  <c r="AY55" i="7"/>
  <c r="AZ55" i="7"/>
  <c r="BA55" i="7"/>
  <c r="BB55" i="7"/>
  <c r="BC55" i="7"/>
  <c r="BD55" i="7"/>
  <c r="BE55" i="7"/>
  <c r="BF55" i="7"/>
  <c r="BG55" i="7"/>
  <c r="BH55" i="7"/>
  <c r="BI55" i="7"/>
  <c r="BJ55" i="7"/>
  <c r="BK55" i="7"/>
  <c r="BL55" i="7"/>
  <c r="BM55" i="7"/>
  <c r="T56" i="7"/>
  <c r="U56" i="7"/>
  <c r="V56" i="7"/>
  <c r="W56" i="7"/>
  <c r="X56" i="7"/>
  <c r="Y56" i="7"/>
  <c r="Z56" i="7"/>
  <c r="AA56" i="7"/>
  <c r="AB56" i="7"/>
  <c r="AC56" i="7"/>
  <c r="AD56" i="7"/>
  <c r="AE56" i="7"/>
  <c r="AF56" i="7"/>
  <c r="AG56" i="7"/>
  <c r="AH56" i="7"/>
  <c r="AI56" i="7"/>
  <c r="AJ56" i="7"/>
  <c r="AK56" i="7"/>
  <c r="AL56" i="7"/>
  <c r="AM56" i="7"/>
  <c r="AN56" i="7"/>
  <c r="AO56" i="7"/>
  <c r="AP56" i="7"/>
  <c r="AQ56" i="7"/>
  <c r="AR56" i="7"/>
  <c r="AS56" i="7"/>
  <c r="AT56" i="7"/>
  <c r="AU56" i="7"/>
  <c r="AV56" i="7"/>
  <c r="AW56" i="7"/>
  <c r="AX56" i="7"/>
  <c r="AY56" i="7"/>
  <c r="AZ56" i="7"/>
  <c r="BA56" i="7"/>
  <c r="BB56" i="7"/>
  <c r="BC56" i="7"/>
  <c r="BD56" i="7"/>
  <c r="BE56" i="7"/>
  <c r="BF56" i="7"/>
  <c r="BG56" i="7"/>
  <c r="BH56" i="7"/>
  <c r="BI56" i="7"/>
  <c r="BJ56" i="7"/>
  <c r="BK56" i="7"/>
  <c r="BL56" i="7"/>
  <c r="BM56" i="7"/>
  <c r="T57" i="7"/>
  <c r="U57" i="7"/>
  <c r="V57" i="7"/>
  <c r="W57" i="7"/>
  <c r="X57" i="7"/>
  <c r="Y57" i="7"/>
  <c r="Z57" i="7"/>
  <c r="AA57" i="7"/>
  <c r="AB57" i="7"/>
  <c r="AC57" i="7"/>
  <c r="AD57" i="7"/>
  <c r="AE57" i="7"/>
  <c r="AF57" i="7"/>
  <c r="AG57" i="7"/>
  <c r="AH57" i="7"/>
  <c r="AI57" i="7"/>
  <c r="AJ57" i="7"/>
  <c r="AK57" i="7"/>
  <c r="AL57" i="7"/>
  <c r="AM57" i="7"/>
  <c r="AN57" i="7"/>
  <c r="AO57" i="7"/>
  <c r="AP57" i="7"/>
  <c r="AQ57" i="7"/>
  <c r="AR57" i="7"/>
  <c r="AS57" i="7"/>
  <c r="AT57" i="7"/>
  <c r="AU57" i="7"/>
  <c r="AV57" i="7"/>
  <c r="AW57" i="7"/>
  <c r="AX57" i="7"/>
  <c r="AY57" i="7"/>
  <c r="AZ57" i="7"/>
  <c r="BA57" i="7"/>
  <c r="BB57" i="7"/>
  <c r="BC57" i="7"/>
  <c r="BD57" i="7"/>
  <c r="BE57" i="7"/>
  <c r="BF57" i="7"/>
  <c r="BG57" i="7"/>
  <c r="BH57" i="7"/>
  <c r="BI57" i="7"/>
  <c r="BJ57" i="7"/>
  <c r="BK57" i="7"/>
  <c r="BL57" i="7"/>
  <c r="BM57" i="7"/>
  <c r="T58" i="7"/>
  <c r="U58" i="7"/>
  <c r="V58" i="7"/>
  <c r="W58" i="7"/>
  <c r="X58" i="7"/>
  <c r="Y58" i="7"/>
  <c r="Z58" i="7"/>
  <c r="AA58" i="7"/>
  <c r="AB58" i="7"/>
  <c r="AC58" i="7"/>
  <c r="AD58" i="7"/>
  <c r="AE58" i="7"/>
  <c r="AF58" i="7"/>
  <c r="AG58" i="7"/>
  <c r="AH58" i="7"/>
  <c r="AI58" i="7"/>
  <c r="AJ58" i="7"/>
  <c r="AK58" i="7"/>
  <c r="AL58" i="7"/>
  <c r="AM58" i="7"/>
  <c r="AN58" i="7"/>
  <c r="AO58" i="7"/>
  <c r="AP58" i="7"/>
  <c r="AQ58" i="7"/>
  <c r="AR58" i="7"/>
  <c r="AS58" i="7"/>
  <c r="AT58" i="7"/>
  <c r="AU58" i="7"/>
  <c r="AV58" i="7"/>
  <c r="AW58" i="7"/>
  <c r="AX58" i="7"/>
  <c r="AY58" i="7"/>
  <c r="AZ58" i="7"/>
  <c r="BA58" i="7"/>
  <c r="BB58" i="7"/>
  <c r="BC58" i="7"/>
  <c r="BD58" i="7"/>
  <c r="BE58" i="7"/>
  <c r="BF58" i="7"/>
  <c r="BG58" i="7"/>
  <c r="BH58" i="7"/>
  <c r="BI58" i="7"/>
  <c r="BJ58" i="7"/>
  <c r="BK58" i="7"/>
  <c r="BL58" i="7"/>
  <c r="BM58" i="7"/>
  <c r="T59" i="7"/>
  <c r="U59" i="7"/>
  <c r="V59" i="7"/>
  <c r="W59" i="7"/>
  <c r="X59" i="7"/>
  <c r="Y59" i="7"/>
  <c r="Z59" i="7"/>
  <c r="AA59" i="7"/>
  <c r="AB59" i="7"/>
  <c r="AC59" i="7"/>
  <c r="AD59" i="7"/>
  <c r="AE59" i="7"/>
  <c r="AF59" i="7"/>
  <c r="AG59" i="7"/>
  <c r="AH59" i="7"/>
  <c r="AI59" i="7"/>
  <c r="AJ59" i="7"/>
  <c r="AK59" i="7"/>
  <c r="AL59" i="7"/>
  <c r="AM59" i="7"/>
  <c r="AN59" i="7"/>
  <c r="AO59" i="7"/>
  <c r="AP59" i="7"/>
  <c r="AQ59" i="7"/>
  <c r="AR59" i="7"/>
  <c r="AS59" i="7"/>
  <c r="AT59" i="7"/>
  <c r="AU59" i="7"/>
  <c r="AV59" i="7"/>
  <c r="AW59" i="7"/>
  <c r="AX59" i="7"/>
  <c r="AY59" i="7"/>
  <c r="AZ59" i="7"/>
  <c r="BA59" i="7"/>
  <c r="BB59" i="7"/>
  <c r="BC59" i="7"/>
  <c r="BD59" i="7"/>
  <c r="BE59" i="7"/>
  <c r="BF59" i="7"/>
  <c r="BG59" i="7"/>
  <c r="BH59" i="7"/>
  <c r="BI59" i="7"/>
  <c r="BJ59" i="7"/>
  <c r="BK59" i="7"/>
  <c r="BL59" i="7"/>
  <c r="BM59" i="7"/>
  <c r="T60" i="7"/>
  <c r="U60" i="7"/>
  <c r="V60" i="7"/>
  <c r="W60" i="7"/>
  <c r="X60" i="7"/>
  <c r="Y60" i="7"/>
  <c r="Z60" i="7"/>
  <c r="AA60" i="7"/>
  <c r="AB60" i="7"/>
  <c r="AC60" i="7"/>
  <c r="AD60" i="7"/>
  <c r="AE60" i="7"/>
  <c r="AF60" i="7"/>
  <c r="AG60" i="7"/>
  <c r="AH60" i="7"/>
  <c r="AI60" i="7"/>
  <c r="AJ60" i="7"/>
  <c r="AK60" i="7"/>
  <c r="AL60" i="7"/>
  <c r="AM60" i="7"/>
  <c r="AN60" i="7"/>
  <c r="AO60" i="7"/>
  <c r="AP60" i="7"/>
  <c r="AQ60" i="7"/>
  <c r="AR60" i="7"/>
  <c r="AS60" i="7"/>
  <c r="AT60" i="7"/>
  <c r="AU60" i="7"/>
  <c r="AV60" i="7"/>
  <c r="AW60" i="7"/>
  <c r="AX60" i="7"/>
  <c r="AY60" i="7"/>
  <c r="AZ60" i="7"/>
  <c r="BA60" i="7"/>
  <c r="BB60" i="7"/>
  <c r="BC60" i="7"/>
  <c r="BD60" i="7"/>
  <c r="BE60" i="7"/>
  <c r="BF60" i="7"/>
  <c r="BG60" i="7"/>
  <c r="BH60" i="7"/>
  <c r="BI60" i="7"/>
  <c r="BJ60" i="7"/>
  <c r="BK60" i="7"/>
  <c r="BL60" i="7"/>
  <c r="BM60" i="7"/>
  <c r="T61" i="7"/>
  <c r="U61" i="7"/>
  <c r="V61" i="7"/>
  <c r="W61" i="7"/>
  <c r="X61" i="7"/>
  <c r="Y61" i="7"/>
  <c r="Z61" i="7"/>
  <c r="AA61" i="7"/>
  <c r="AB61" i="7"/>
  <c r="AC61" i="7"/>
  <c r="AD61" i="7"/>
  <c r="AE61" i="7"/>
  <c r="AF61" i="7"/>
  <c r="AG61" i="7"/>
  <c r="AH61" i="7"/>
  <c r="AI61" i="7"/>
  <c r="AJ61" i="7"/>
  <c r="AK61" i="7"/>
  <c r="AL61" i="7"/>
  <c r="AM61" i="7"/>
  <c r="AN61" i="7"/>
  <c r="AO61" i="7"/>
  <c r="AP61" i="7"/>
  <c r="AQ61" i="7"/>
  <c r="AR61" i="7"/>
  <c r="AS61" i="7"/>
  <c r="AT61" i="7"/>
  <c r="AU61" i="7"/>
  <c r="AV61" i="7"/>
  <c r="AW61" i="7"/>
  <c r="AX61" i="7"/>
  <c r="AY61" i="7"/>
  <c r="AZ61" i="7"/>
  <c r="BA61" i="7"/>
  <c r="BB61" i="7"/>
  <c r="BC61" i="7"/>
  <c r="BD61" i="7"/>
  <c r="BE61" i="7"/>
  <c r="BF61" i="7"/>
  <c r="BG61" i="7"/>
  <c r="BH61" i="7"/>
  <c r="BI61" i="7"/>
  <c r="BJ61" i="7"/>
  <c r="BK61" i="7"/>
  <c r="BL61" i="7"/>
  <c r="BM61" i="7"/>
  <c r="T62" i="7"/>
  <c r="U62" i="7"/>
  <c r="V62" i="7"/>
  <c r="W62" i="7"/>
  <c r="X62" i="7"/>
  <c r="Y62" i="7"/>
  <c r="Z62" i="7"/>
  <c r="AA62" i="7"/>
  <c r="AB62" i="7"/>
  <c r="AC62" i="7"/>
  <c r="AD62" i="7"/>
  <c r="AE62" i="7"/>
  <c r="AF62" i="7"/>
  <c r="AG62" i="7"/>
  <c r="AH62" i="7"/>
  <c r="AI62" i="7"/>
  <c r="AJ62" i="7"/>
  <c r="AK62" i="7"/>
  <c r="AL62" i="7"/>
  <c r="AM62" i="7"/>
  <c r="AN62" i="7"/>
  <c r="AO62" i="7"/>
  <c r="AP62" i="7"/>
  <c r="AQ62" i="7"/>
  <c r="AR62" i="7"/>
  <c r="AS62" i="7"/>
  <c r="AT62" i="7"/>
  <c r="AU62" i="7"/>
  <c r="AV62" i="7"/>
  <c r="AW62" i="7"/>
  <c r="AX62" i="7"/>
  <c r="AY62" i="7"/>
  <c r="AZ62" i="7"/>
  <c r="BA62" i="7"/>
  <c r="BB62" i="7"/>
  <c r="BC62" i="7"/>
  <c r="BD62" i="7"/>
  <c r="BE62" i="7"/>
  <c r="BF62" i="7"/>
  <c r="BG62" i="7"/>
  <c r="BH62" i="7"/>
  <c r="BI62" i="7"/>
  <c r="BJ62" i="7"/>
  <c r="BK62" i="7"/>
  <c r="BL62" i="7"/>
  <c r="BM62" i="7"/>
  <c r="T63" i="7"/>
  <c r="U63" i="7"/>
  <c r="V63" i="7"/>
  <c r="W63" i="7"/>
  <c r="X63" i="7"/>
  <c r="Y63" i="7"/>
  <c r="Z63" i="7"/>
  <c r="AA63" i="7"/>
  <c r="AB63" i="7"/>
  <c r="AC63" i="7"/>
  <c r="AD63" i="7"/>
  <c r="AE63" i="7"/>
  <c r="AF63" i="7"/>
  <c r="AG63" i="7"/>
  <c r="AH63" i="7"/>
  <c r="AI63" i="7"/>
  <c r="AJ63" i="7"/>
  <c r="AK63" i="7"/>
  <c r="AL63" i="7"/>
  <c r="AM63" i="7"/>
  <c r="AN63" i="7"/>
  <c r="AO63" i="7"/>
  <c r="AP63" i="7"/>
  <c r="AQ63" i="7"/>
  <c r="AR63" i="7"/>
  <c r="AS63" i="7"/>
  <c r="AT63" i="7"/>
  <c r="AU63" i="7"/>
  <c r="AV63" i="7"/>
  <c r="AW63" i="7"/>
  <c r="AX63" i="7"/>
  <c r="AY63" i="7"/>
  <c r="AZ63" i="7"/>
  <c r="BA63" i="7"/>
  <c r="BB63" i="7"/>
  <c r="BC63" i="7"/>
  <c r="BD63" i="7"/>
  <c r="BE63" i="7"/>
  <c r="BF63" i="7"/>
  <c r="BG63" i="7"/>
  <c r="BH63" i="7"/>
  <c r="BI63" i="7"/>
  <c r="BJ63" i="7"/>
  <c r="BK63" i="7"/>
  <c r="BL63" i="7"/>
  <c r="BM63" i="7"/>
  <c r="T64" i="7"/>
  <c r="U64" i="7"/>
  <c r="V64" i="7"/>
  <c r="W64" i="7"/>
  <c r="X64" i="7"/>
  <c r="Y64" i="7"/>
  <c r="Z64" i="7"/>
  <c r="AA64" i="7"/>
  <c r="AB64" i="7"/>
  <c r="AC64" i="7"/>
  <c r="AD64" i="7"/>
  <c r="AE64" i="7"/>
  <c r="AF64" i="7"/>
  <c r="AG64" i="7"/>
  <c r="AH64" i="7"/>
  <c r="AI64" i="7"/>
  <c r="AJ64" i="7"/>
  <c r="AK64" i="7"/>
  <c r="AL64" i="7"/>
  <c r="AM64" i="7"/>
  <c r="AN64" i="7"/>
  <c r="AO64" i="7"/>
  <c r="AP64" i="7"/>
  <c r="AQ64" i="7"/>
  <c r="AR64" i="7"/>
  <c r="AS64" i="7"/>
  <c r="AT64" i="7"/>
  <c r="AU64" i="7"/>
  <c r="AV64" i="7"/>
  <c r="AW64" i="7"/>
  <c r="AX64" i="7"/>
  <c r="AY64" i="7"/>
  <c r="AZ64" i="7"/>
  <c r="BA64" i="7"/>
  <c r="BB64" i="7"/>
  <c r="BC64" i="7"/>
  <c r="BD64" i="7"/>
  <c r="BE64" i="7"/>
  <c r="BF64" i="7"/>
  <c r="BG64" i="7"/>
  <c r="BH64" i="7"/>
  <c r="BI64" i="7"/>
  <c r="BJ64" i="7"/>
  <c r="BK64" i="7"/>
  <c r="BL64" i="7"/>
  <c r="BM64" i="7"/>
  <c r="T65" i="7"/>
  <c r="U65" i="7"/>
  <c r="V65" i="7"/>
  <c r="W65" i="7"/>
  <c r="X65" i="7"/>
  <c r="Y65" i="7"/>
  <c r="Z65" i="7"/>
  <c r="AA65" i="7"/>
  <c r="AB65" i="7"/>
  <c r="AC65" i="7"/>
  <c r="AD65" i="7"/>
  <c r="AE65" i="7"/>
  <c r="AF65" i="7"/>
  <c r="AG65" i="7"/>
  <c r="AH65" i="7"/>
  <c r="AI65" i="7"/>
  <c r="AJ65" i="7"/>
  <c r="AK65" i="7"/>
  <c r="AL65" i="7"/>
  <c r="AM65" i="7"/>
  <c r="AN65" i="7"/>
  <c r="AO65" i="7"/>
  <c r="AP65" i="7"/>
  <c r="AQ65" i="7"/>
  <c r="AR65" i="7"/>
  <c r="AS65" i="7"/>
  <c r="AT65" i="7"/>
  <c r="AU65" i="7"/>
  <c r="AV65" i="7"/>
  <c r="AW65" i="7"/>
  <c r="AX65" i="7"/>
  <c r="AY65" i="7"/>
  <c r="AZ65" i="7"/>
  <c r="BA65" i="7"/>
  <c r="BB65" i="7"/>
  <c r="BC65" i="7"/>
  <c r="BD65" i="7"/>
  <c r="BE65" i="7"/>
  <c r="BF65" i="7"/>
  <c r="BG65" i="7"/>
  <c r="BH65" i="7"/>
  <c r="BI65" i="7"/>
  <c r="BJ65" i="7"/>
  <c r="BK65" i="7"/>
  <c r="BL65" i="7"/>
  <c r="BM65" i="7"/>
  <c r="T66" i="7"/>
  <c r="U66" i="7"/>
  <c r="V66" i="7"/>
  <c r="W66" i="7"/>
  <c r="X66" i="7"/>
  <c r="Y66" i="7"/>
  <c r="Z66" i="7"/>
  <c r="AA66" i="7"/>
  <c r="AB66" i="7"/>
  <c r="AC66" i="7"/>
  <c r="AD66" i="7"/>
  <c r="AE66" i="7"/>
  <c r="AF66" i="7"/>
  <c r="AG66" i="7"/>
  <c r="AH66" i="7"/>
  <c r="AI66" i="7"/>
  <c r="AJ66" i="7"/>
  <c r="AK66" i="7"/>
  <c r="AL66" i="7"/>
  <c r="AM66" i="7"/>
  <c r="AN66" i="7"/>
  <c r="AO66" i="7"/>
  <c r="AP66" i="7"/>
  <c r="AQ66" i="7"/>
  <c r="AR66" i="7"/>
  <c r="AS66" i="7"/>
  <c r="AT66" i="7"/>
  <c r="AU66" i="7"/>
  <c r="AV66" i="7"/>
  <c r="AW66" i="7"/>
  <c r="AX66" i="7"/>
  <c r="AY66" i="7"/>
  <c r="AZ66" i="7"/>
  <c r="BA66" i="7"/>
  <c r="BB66" i="7"/>
  <c r="BC66" i="7"/>
  <c r="BD66" i="7"/>
  <c r="BE66" i="7"/>
  <c r="BF66" i="7"/>
  <c r="BG66" i="7"/>
  <c r="BH66" i="7"/>
  <c r="BI66" i="7"/>
  <c r="BJ66" i="7"/>
  <c r="BK66" i="7"/>
  <c r="BL66" i="7"/>
  <c r="BM66" i="7"/>
  <c r="T67" i="7"/>
  <c r="U67" i="7"/>
  <c r="V67" i="7"/>
  <c r="W67" i="7"/>
  <c r="X67" i="7"/>
  <c r="Y67" i="7"/>
  <c r="Z67" i="7"/>
  <c r="AA67" i="7"/>
  <c r="AB67" i="7"/>
  <c r="AC67" i="7"/>
  <c r="AD67" i="7"/>
  <c r="AE67" i="7"/>
  <c r="AF67" i="7"/>
  <c r="AG67" i="7"/>
  <c r="AH67" i="7"/>
  <c r="AI67" i="7"/>
  <c r="AJ67" i="7"/>
  <c r="AK67" i="7"/>
  <c r="AL67" i="7"/>
  <c r="AM67" i="7"/>
  <c r="AN67" i="7"/>
  <c r="AO67" i="7"/>
  <c r="AP67" i="7"/>
  <c r="AQ67" i="7"/>
  <c r="AR67" i="7"/>
  <c r="AS67" i="7"/>
  <c r="AT67" i="7"/>
  <c r="AU67" i="7"/>
  <c r="AV67" i="7"/>
  <c r="AW67" i="7"/>
  <c r="AX67" i="7"/>
  <c r="AY67" i="7"/>
  <c r="AZ67" i="7"/>
  <c r="BA67" i="7"/>
  <c r="BB67" i="7"/>
  <c r="BC67" i="7"/>
  <c r="BD67" i="7"/>
  <c r="BE67" i="7"/>
  <c r="BF67" i="7"/>
  <c r="BG67" i="7"/>
  <c r="BH67" i="7"/>
  <c r="BI67" i="7"/>
  <c r="BJ67" i="7"/>
  <c r="BK67" i="7"/>
  <c r="BL67" i="7"/>
  <c r="BM67" i="7"/>
  <c r="T68" i="7"/>
  <c r="U68" i="7"/>
  <c r="V68" i="7"/>
  <c r="W68" i="7"/>
  <c r="X68" i="7"/>
  <c r="Y68" i="7"/>
  <c r="Z68" i="7"/>
  <c r="AA68" i="7"/>
  <c r="AB68" i="7"/>
  <c r="AC68" i="7"/>
  <c r="AD68" i="7"/>
  <c r="AE68" i="7"/>
  <c r="AF68" i="7"/>
  <c r="AG68" i="7"/>
  <c r="AH68" i="7"/>
  <c r="AI68" i="7"/>
  <c r="AJ68" i="7"/>
  <c r="AK68" i="7"/>
  <c r="AL68" i="7"/>
  <c r="AM68" i="7"/>
  <c r="AN68" i="7"/>
  <c r="AO68" i="7"/>
  <c r="AP68" i="7"/>
  <c r="AQ68" i="7"/>
  <c r="AR68" i="7"/>
  <c r="AS68" i="7"/>
  <c r="AT68" i="7"/>
  <c r="AU68" i="7"/>
  <c r="AV68" i="7"/>
  <c r="AW68" i="7"/>
  <c r="AX68" i="7"/>
  <c r="AY68" i="7"/>
  <c r="AZ68" i="7"/>
  <c r="BA68" i="7"/>
  <c r="BB68" i="7"/>
  <c r="BC68" i="7"/>
  <c r="BD68" i="7"/>
  <c r="BE68" i="7"/>
  <c r="BF68" i="7"/>
  <c r="BG68" i="7"/>
  <c r="BH68" i="7"/>
  <c r="BI68" i="7"/>
  <c r="BJ68" i="7"/>
  <c r="BK68" i="7"/>
  <c r="BL68" i="7"/>
  <c r="BM68" i="7"/>
  <c r="T69" i="7"/>
  <c r="U69" i="7"/>
  <c r="V69" i="7"/>
  <c r="W69" i="7"/>
  <c r="X69" i="7"/>
  <c r="Y69" i="7"/>
  <c r="Z69" i="7"/>
  <c r="AA69" i="7"/>
  <c r="AB69" i="7"/>
  <c r="AC69" i="7"/>
  <c r="AD69" i="7"/>
  <c r="AE69" i="7"/>
  <c r="AF69" i="7"/>
  <c r="AG69" i="7"/>
  <c r="AH69" i="7"/>
  <c r="AI69" i="7"/>
  <c r="AJ69" i="7"/>
  <c r="AK69" i="7"/>
  <c r="AL69" i="7"/>
  <c r="AM69" i="7"/>
  <c r="AN69" i="7"/>
  <c r="AO69" i="7"/>
  <c r="AP69" i="7"/>
  <c r="AQ69" i="7"/>
  <c r="AR69" i="7"/>
  <c r="AS69" i="7"/>
  <c r="AT69" i="7"/>
  <c r="AU69" i="7"/>
  <c r="AV69" i="7"/>
  <c r="AW69" i="7"/>
  <c r="AX69" i="7"/>
  <c r="AY69" i="7"/>
  <c r="AZ69" i="7"/>
  <c r="BA69" i="7"/>
  <c r="BB69" i="7"/>
  <c r="BC69" i="7"/>
  <c r="BD69" i="7"/>
  <c r="BE69" i="7"/>
  <c r="BF69" i="7"/>
  <c r="BG69" i="7"/>
  <c r="BH69" i="7"/>
  <c r="BI69" i="7"/>
  <c r="BJ69" i="7"/>
  <c r="BK69" i="7"/>
  <c r="BL69" i="7"/>
  <c r="BM69" i="7"/>
  <c r="T70" i="7"/>
  <c r="U70" i="7"/>
  <c r="V70" i="7"/>
  <c r="W70" i="7"/>
  <c r="X70" i="7"/>
  <c r="Y70" i="7"/>
  <c r="Z70" i="7"/>
  <c r="AA70" i="7"/>
  <c r="AB70" i="7"/>
  <c r="AC70" i="7"/>
  <c r="AD70" i="7"/>
  <c r="AE70" i="7"/>
  <c r="AF70" i="7"/>
  <c r="AG70" i="7"/>
  <c r="AH70" i="7"/>
  <c r="AI70" i="7"/>
  <c r="AJ70" i="7"/>
  <c r="AK70" i="7"/>
  <c r="AL70" i="7"/>
  <c r="AM70" i="7"/>
  <c r="AN70" i="7"/>
  <c r="AO70" i="7"/>
  <c r="AP70" i="7"/>
  <c r="AQ70" i="7"/>
  <c r="AR70" i="7"/>
  <c r="AS70" i="7"/>
  <c r="AT70" i="7"/>
  <c r="AU70" i="7"/>
  <c r="AV70" i="7"/>
  <c r="AW70" i="7"/>
  <c r="AX70" i="7"/>
  <c r="AY70" i="7"/>
  <c r="AZ70" i="7"/>
  <c r="BA70" i="7"/>
  <c r="BB70" i="7"/>
  <c r="BC70" i="7"/>
  <c r="BD70" i="7"/>
  <c r="BE70" i="7"/>
  <c r="BF70" i="7"/>
  <c r="BG70" i="7"/>
  <c r="BH70" i="7"/>
  <c r="BI70" i="7"/>
  <c r="BJ70" i="7"/>
  <c r="BK70" i="7"/>
  <c r="BL70" i="7"/>
  <c r="BM70" i="7"/>
  <c r="T71" i="7"/>
  <c r="U71" i="7"/>
  <c r="V71" i="7"/>
  <c r="W71" i="7"/>
  <c r="X71" i="7"/>
  <c r="Y71" i="7"/>
  <c r="Z71" i="7"/>
  <c r="AA71" i="7"/>
  <c r="AB71" i="7"/>
  <c r="AC71" i="7"/>
  <c r="AD71" i="7"/>
  <c r="AE71" i="7"/>
  <c r="AF71" i="7"/>
  <c r="AG71" i="7"/>
  <c r="AH71" i="7"/>
  <c r="AI71" i="7"/>
  <c r="AJ71" i="7"/>
  <c r="AK71" i="7"/>
  <c r="AL71" i="7"/>
  <c r="AM71" i="7"/>
  <c r="AN71" i="7"/>
  <c r="AO71" i="7"/>
  <c r="AP71" i="7"/>
  <c r="AQ71" i="7"/>
  <c r="AR71" i="7"/>
  <c r="AS71" i="7"/>
  <c r="AT71" i="7"/>
  <c r="AU71" i="7"/>
  <c r="AV71" i="7"/>
  <c r="AW71" i="7"/>
  <c r="AX71" i="7"/>
  <c r="AY71" i="7"/>
  <c r="AZ71" i="7"/>
  <c r="BA71" i="7"/>
  <c r="BB71" i="7"/>
  <c r="BC71" i="7"/>
  <c r="BD71" i="7"/>
  <c r="BE71" i="7"/>
  <c r="BF71" i="7"/>
  <c r="BG71" i="7"/>
  <c r="BH71" i="7"/>
  <c r="BI71" i="7"/>
  <c r="BJ71" i="7"/>
  <c r="BK71" i="7"/>
  <c r="BL71" i="7"/>
  <c r="BM71" i="7"/>
  <c r="T72" i="7"/>
  <c r="U72" i="7"/>
  <c r="V72" i="7"/>
  <c r="W72" i="7"/>
  <c r="X72" i="7"/>
  <c r="Y72" i="7"/>
  <c r="Z72" i="7"/>
  <c r="AA72" i="7"/>
  <c r="AB72" i="7"/>
  <c r="AC72" i="7"/>
  <c r="AD72" i="7"/>
  <c r="AE72" i="7"/>
  <c r="AF72" i="7"/>
  <c r="AG72" i="7"/>
  <c r="AH72" i="7"/>
  <c r="AI72" i="7"/>
  <c r="AJ72" i="7"/>
  <c r="AK72" i="7"/>
  <c r="AL72" i="7"/>
  <c r="AM72" i="7"/>
  <c r="AN72" i="7"/>
  <c r="AO72" i="7"/>
  <c r="AP72" i="7"/>
  <c r="AQ72" i="7"/>
  <c r="AR72" i="7"/>
  <c r="AS72" i="7"/>
  <c r="AT72" i="7"/>
  <c r="AU72" i="7"/>
  <c r="AV72" i="7"/>
  <c r="AW72" i="7"/>
  <c r="AX72" i="7"/>
  <c r="AY72" i="7"/>
  <c r="AZ72" i="7"/>
  <c r="BA72" i="7"/>
  <c r="BB72" i="7"/>
  <c r="BC72" i="7"/>
  <c r="BD72" i="7"/>
  <c r="BE72" i="7"/>
  <c r="BF72" i="7"/>
  <c r="BG72" i="7"/>
  <c r="BH72" i="7"/>
  <c r="BI72" i="7"/>
  <c r="BJ72" i="7"/>
  <c r="BK72" i="7"/>
  <c r="BL72" i="7"/>
  <c r="BM72" i="7"/>
  <c r="T73" i="7"/>
  <c r="U73" i="7"/>
  <c r="V73" i="7"/>
  <c r="W73" i="7"/>
  <c r="X73" i="7"/>
  <c r="Y73" i="7"/>
  <c r="Z73" i="7"/>
  <c r="AA73" i="7"/>
  <c r="AB73" i="7"/>
  <c r="AC73" i="7"/>
  <c r="AD73" i="7"/>
  <c r="AE73" i="7"/>
  <c r="AF73" i="7"/>
  <c r="AG73" i="7"/>
  <c r="AH73" i="7"/>
  <c r="AI73" i="7"/>
  <c r="AJ73" i="7"/>
  <c r="AK73" i="7"/>
  <c r="AL73" i="7"/>
  <c r="AM73" i="7"/>
  <c r="AN73" i="7"/>
  <c r="AO73" i="7"/>
  <c r="AP73" i="7"/>
  <c r="AQ73" i="7"/>
  <c r="AR73" i="7"/>
  <c r="AS73" i="7"/>
  <c r="AT73" i="7"/>
  <c r="AU73" i="7"/>
  <c r="AV73" i="7"/>
  <c r="AW73" i="7"/>
  <c r="AX73" i="7"/>
  <c r="AY73" i="7"/>
  <c r="AZ73" i="7"/>
  <c r="BA73" i="7"/>
  <c r="BB73" i="7"/>
  <c r="BC73" i="7"/>
  <c r="BD73" i="7"/>
  <c r="BE73" i="7"/>
  <c r="BF73" i="7"/>
  <c r="BG73" i="7"/>
  <c r="BH73" i="7"/>
  <c r="BI73" i="7"/>
  <c r="BJ73" i="7"/>
  <c r="BK73" i="7"/>
  <c r="BL73" i="7"/>
  <c r="BM73" i="7"/>
  <c r="T74" i="7"/>
  <c r="U74" i="7"/>
  <c r="V74" i="7"/>
  <c r="W74" i="7"/>
  <c r="X74" i="7"/>
  <c r="Y74" i="7"/>
  <c r="Z74" i="7"/>
  <c r="AA74" i="7"/>
  <c r="AB74" i="7"/>
  <c r="AC74" i="7"/>
  <c r="AD74" i="7"/>
  <c r="AE74" i="7"/>
  <c r="AF74" i="7"/>
  <c r="AG74" i="7"/>
  <c r="AH74" i="7"/>
  <c r="AI74" i="7"/>
  <c r="AJ74" i="7"/>
  <c r="AK74" i="7"/>
  <c r="AL74" i="7"/>
  <c r="AM74" i="7"/>
  <c r="AN74" i="7"/>
  <c r="AO74" i="7"/>
  <c r="AP74" i="7"/>
  <c r="AQ74" i="7"/>
  <c r="AR74" i="7"/>
  <c r="AS74" i="7"/>
  <c r="AT74" i="7"/>
  <c r="AU74" i="7"/>
  <c r="AV74" i="7"/>
  <c r="AW74" i="7"/>
  <c r="AX74" i="7"/>
  <c r="AY74" i="7"/>
  <c r="AZ74" i="7"/>
  <c r="BA74" i="7"/>
  <c r="BB74" i="7"/>
  <c r="BC74" i="7"/>
  <c r="BD74" i="7"/>
  <c r="BE74" i="7"/>
  <c r="BF74" i="7"/>
  <c r="BG74" i="7"/>
  <c r="BH74" i="7"/>
  <c r="BI74" i="7"/>
  <c r="BJ74" i="7"/>
  <c r="BK74" i="7"/>
  <c r="BL74" i="7"/>
  <c r="BM74" i="7"/>
  <c r="T75" i="7"/>
  <c r="U75" i="7"/>
  <c r="V75" i="7"/>
  <c r="W75" i="7"/>
  <c r="X75" i="7"/>
  <c r="Y75" i="7"/>
  <c r="Z75" i="7"/>
  <c r="AA75" i="7"/>
  <c r="AB75" i="7"/>
  <c r="AC75" i="7"/>
  <c r="AD75" i="7"/>
  <c r="AE75" i="7"/>
  <c r="AF75" i="7"/>
  <c r="AG75" i="7"/>
  <c r="AH75" i="7"/>
  <c r="AI75" i="7"/>
  <c r="AJ75" i="7"/>
  <c r="AK75" i="7"/>
  <c r="AL75" i="7"/>
  <c r="AM75" i="7"/>
  <c r="AN75" i="7"/>
  <c r="AO75" i="7"/>
  <c r="AP75" i="7"/>
  <c r="AQ75" i="7"/>
  <c r="AR75" i="7"/>
  <c r="AS75" i="7"/>
  <c r="AT75" i="7"/>
  <c r="AU75" i="7"/>
  <c r="AV75" i="7"/>
  <c r="AW75" i="7"/>
  <c r="AX75" i="7"/>
  <c r="AY75" i="7"/>
  <c r="AZ75" i="7"/>
  <c r="BA75" i="7"/>
  <c r="BB75" i="7"/>
  <c r="BC75" i="7"/>
  <c r="BD75" i="7"/>
  <c r="BE75" i="7"/>
  <c r="BF75" i="7"/>
  <c r="BG75" i="7"/>
  <c r="BH75" i="7"/>
  <c r="BI75" i="7"/>
  <c r="BJ75" i="7"/>
  <c r="BK75" i="7"/>
  <c r="BL75" i="7"/>
  <c r="BM75" i="7"/>
  <c r="T76" i="7"/>
  <c r="U76" i="7"/>
  <c r="V76" i="7"/>
  <c r="W76" i="7"/>
  <c r="X76" i="7"/>
  <c r="Y76" i="7"/>
  <c r="Z76" i="7"/>
  <c r="AA76" i="7"/>
  <c r="AB76" i="7"/>
  <c r="AC76" i="7"/>
  <c r="AD76" i="7"/>
  <c r="AE76" i="7"/>
  <c r="AF76" i="7"/>
  <c r="AG76" i="7"/>
  <c r="AH76" i="7"/>
  <c r="AI76" i="7"/>
  <c r="AJ76" i="7"/>
  <c r="AK76" i="7"/>
  <c r="AL76" i="7"/>
  <c r="AM76" i="7"/>
  <c r="AN76" i="7"/>
  <c r="AO76" i="7"/>
  <c r="AP76" i="7"/>
  <c r="AQ76" i="7"/>
  <c r="AR76" i="7"/>
  <c r="AS76" i="7"/>
  <c r="AT76" i="7"/>
  <c r="AU76" i="7"/>
  <c r="AV76" i="7"/>
  <c r="AW76" i="7"/>
  <c r="AX76" i="7"/>
  <c r="AY76" i="7"/>
  <c r="AZ76" i="7"/>
  <c r="BA76" i="7"/>
  <c r="BB76" i="7"/>
  <c r="BC76" i="7"/>
  <c r="BD76" i="7"/>
  <c r="BE76" i="7"/>
  <c r="BF76" i="7"/>
  <c r="BG76" i="7"/>
  <c r="BH76" i="7"/>
  <c r="BI76" i="7"/>
  <c r="BJ76" i="7"/>
  <c r="BK76" i="7"/>
  <c r="BL76" i="7"/>
  <c r="BM76" i="7"/>
  <c r="T77" i="7"/>
  <c r="U77" i="7"/>
  <c r="V77" i="7"/>
  <c r="W77" i="7"/>
  <c r="X77" i="7"/>
  <c r="Y77" i="7"/>
  <c r="Z77" i="7"/>
  <c r="AA77" i="7"/>
  <c r="AB77" i="7"/>
  <c r="AC77" i="7"/>
  <c r="AD77" i="7"/>
  <c r="AE77" i="7"/>
  <c r="AF77" i="7"/>
  <c r="AG77" i="7"/>
  <c r="AH77" i="7"/>
  <c r="AI77" i="7"/>
  <c r="AJ77" i="7"/>
  <c r="AK77" i="7"/>
  <c r="AL77" i="7"/>
  <c r="AM77" i="7"/>
  <c r="AN77" i="7"/>
  <c r="AO77" i="7"/>
  <c r="AP77" i="7"/>
  <c r="AQ77" i="7"/>
  <c r="AR77" i="7"/>
  <c r="AS77" i="7"/>
  <c r="AT77" i="7"/>
  <c r="AU77" i="7"/>
  <c r="AV77" i="7"/>
  <c r="AW77" i="7"/>
  <c r="AX77" i="7"/>
  <c r="AY77" i="7"/>
  <c r="AZ77" i="7"/>
  <c r="BA77" i="7"/>
  <c r="BB77" i="7"/>
  <c r="BC77" i="7"/>
  <c r="BD77" i="7"/>
  <c r="BE77" i="7"/>
  <c r="BF77" i="7"/>
  <c r="BG77" i="7"/>
  <c r="BH77" i="7"/>
  <c r="BI77" i="7"/>
  <c r="BJ77" i="7"/>
  <c r="BK77" i="7"/>
  <c r="BL77" i="7"/>
  <c r="BM77" i="7"/>
  <c r="T78" i="7"/>
  <c r="U78" i="7"/>
  <c r="V78" i="7"/>
  <c r="W78" i="7"/>
  <c r="X78" i="7"/>
  <c r="Y78" i="7"/>
  <c r="Z78" i="7"/>
  <c r="AA78" i="7"/>
  <c r="AB78" i="7"/>
  <c r="AC78" i="7"/>
  <c r="AD78" i="7"/>
  <c r="AE78" i="7"/>
  <c r="AF78" i="7"/>
  <c r="AG78" i="7"/>
  <c r="AH78" i="7"/>
  <c r="AI78" i="7"/>
  <c r="AJ78" i="7"/>
  <c r="AK78" i="7"/>
  <c r="AL78" i="7"/>
  <c r="AM78" i="7"/>
  <c r="AN78" i="7"/>
  <c r="AO78" i="7"/>
  <c r="AP78" i="7"/>
  <c r="AQ78" i="7"/>
  <c r="AR78" i="7"/>
  <c r="AS78" i="7"/>
  <c r="AT78" i="7"/>
  <c r="AU78" i="7"/>
  <c r="AV78" i="7"/>
  <c r="AW78" i="7"/>
  <c r="AX78" i="7"/>
  <c r="AY78" i="7"/>
  <c r="AZ78" i="7"/>
  <c r="BA78" i="7"/>
  <c r="BB78" i="7"/>
  <c r="BC78" i="7"/>
  <c r="BD78" i="7"/>
  <c r="BE78" i="7"/>
  <c r="BF78" i="7"/>
  <c r="BG78" i="7"/>
  <c r="BH78" i="7"/>
  <c r="BI78" i="7"/>
  <c r="BJ78" i="7"/>
  <c r="BK78" i="7"/>
  <c r="BL78" i="7"/>
  <c r="BM78" i="7"/>
  <c r="T79" i="7"/>
  <c r="U79" i="7"/>
  <c r="V79" i="7"/>
  <c r="W79" i="7"/>
  <c r="X79" i="7"/>
  <c r="Y79" i="7"/>
  <c r="Z79" i="7"/>
  <c r="AA79" i="7"/>
  <c r="AB79" i="7"/>
  <c r="AC79" i="7"/>
  <c r="AD79" i="7"/>
  <c r="AE79" i="7"/>
  <c r="AF79" i="7"/>
  <c r="AG79" i="7"/>
  <c r="AH79" i="7"/>
  <c r="AI79" i="7"/>
  <c r="AJ79" i="7"/>
  <c r="AK79" i="7"/>
  <c r="AL79" i="7"/>
  <c r="AM79" i="7"/>
  <c r="AN79" i="7"/>
  <c r="AO79" i="7"/>
  <c r="AP79" i="7"/>
  <c r="AQ79" i="7"/>
  <c r="AR79" i="7"/>
  <c r="AS79" i="7"/>
  <c r="AT79" i="7"/>
  <c r="AU79" i="7"/>
  <c r="AV79" i="7"/>
  <c r="AW79" i="7"/>
  <c r="AX79" i="7"/>
  <c r="AY79" i="7"/>
  <c r="AZ79" i="7"/>
  <c r="BA79" i="7"/>
  <c r="BB79" i="7"/>
  <c r="BC79" i="7"/>
  <c r="BD79" i="7"/>
  <c r="BE79" i="7"/>
  <c r="BF79" i="7"/>
  <c r="BG79" i="7"/>
  <c r="BH79" i="7"/>
  <c r="BI79" i="7"/>
  <c r="BJ79" i="7"/>
  <c r="BK79" i="7"/>
  <c r="BL79" i="7"/>
  <c r="BM79" i="7"/>
  <c r="T80" i="7"/>
  <c r="U80" i="7"/>
  <c r="V80" i="7"/>
  <c r="W80" i="7"/>
  <c r="X80" i="7"/>
  <c r="Y80" i="7"/>
  <c r="Z80" i="7"/>
  <c r="AA80" i="7"/>
  <c r="AB80" i="7"/>
  <c r="AC80" i="7"/>
  <c r="AD80" i="7"/>
  <c r="AE80" i="7"/>
  <c r="AF80" i="7"/>
  <c r="AG80" i="7"/>
  <c r="AH80" i="7"/>
  <c r="AI80" i="7"/>
  <c r="AJ80" i="7"/>
  <c r="AK80" i="7"/>
  <c r="AL80" i="7"/>
  <c r="AM80" i="7"/>
  <c r="AN80" i="7"/>
  <c r="AO80" i="7"/>
  <c r="AP80" i="7"/>
  <c r="AQ80" i="7"/>
  <c r="AR80" i="7"/>
  <c r="AS80" i="7"/>
  <c r="AT80" i="7"/>
  <c r="AU80" i="7"/>
  <c r="AV80" i="7"/>
  <c r="AW80" i="7"/>
  <c r="AX80" i="7"/>
  <c r="AY80" i="7"/>
  <c r="AZ80" i="7"/>
  <c r="BA80" i="7"/>
  <c r="BB80" i="7"/>
  <c r="BC80" i="7"/>
  <c r="BD80" i="7"/>
  <c r="BE80" i="7"/>
  <c r="BF80" i="7"/>
  <c r="BG80" i="7"/>
  <c r="BH80" i="7"/>
  <c r="BI80" i="7"/>
  <c r="BJ80" i="7"/>
  <c r="BK80" i="7"/>
  <c r="BL80" i="7"/>
  <c r="BM80" i="7"/>
  <c r="T81" i="7"/>
  <c r="U81" i="7"/>
  <c r="V81" i="7"/>
  <c r="W81" i="7"/>
  <c r="X81" i="7"/>
  <c r="Y81" i="7"/>
  <c r="Z81" i="7"/>
  <c r="AA81" i="7"/>
  <c r="AB81" i="7"/>
  <c r="AC81" i="7"/>
  <c r="AD81" i="7"/>
  <c r="AE81" i="7"/>
  <c r="AF81" i="7"/>
  <c r="AG81" i="7"/>
  <c r="AH81" i="7"/>
  <c r="AI81" i="7"/>
  <c r="AJ81" i="7"/>
  <c r="AK81" i="7"/>
  <c r="AL81" i="7"/>
  <c r="AM81" i="7"/>
  <c r="AN81" i="7"/>
  <c r="AO81" i="7"/>
  <c r="AP81" i="7"/>
  <c r="AQ81" i="7"/>
  <c r="AR81" i="7"/>
  <c r="AS81" i="7"/>
  <c r="AT81" i="7"/>
  <c r="AU81" i="7"/>
  <c r="AV81" i="7"/>
  <c r="AW81" i="7"/>
  <c r="AX81" i="7"/>
  <c r="AY81" i="7"/>
  <c r="AZ81" i="7"/>
  <c r="BA81" i="7"/>
  <c r="BB81" i="7"/>
  <c r="BC81" i="7"/>
  <c r="BD81" i="7"/>
  <c r="BE81" i="7"/>
  <c r="BF81" i="7"/>
  <c r="BG81" i="7"/>
  <c r="BH81" i="7"/>
  <c r="BI81" i="7"/>
  <c r="BJ81" i="7"/>
  <c r="BK81" i="7"/>
  <c r="BL81" i="7"/>
  <c r="BM81" i="7"/>
  <c r="T82" i="7"/>
  <c r="U82" i="7"/>
  <c r="V82" i="7"/>
  <c r="W82" i="7"/>
  <c r="X82" i="7"/>
  <c r="Y82" i="7"/>
  <c r="Z82" i="7"/>
  <c r="AA82" i="7"/>
  <c r="AB82" i="7"/>
  <c r="AC82" i="7"/>
  <c r="AD82" i="7"/>
  <c r="AE82" i="7"/>
  <c r="AF82" i="7"/>
  <c r="AG82" i="7"/>
  <c r="AH82" i="7"/>
  <c r="AI82" i="7"/>
  <c r="AJ82" i="7"/>
  <c r="AK82" i="7"/>
  <c r="AL82" i="7"/>
  <c r="AM82" i="7"/>
  <c r="AN82" i="7"/>
  <c r="AO82" i="7"/>
  <c r="AP82" i="7"/>
  <c r="AQ82" i="7"/>
  <c r="AR82" i="7"/>
  <c r="AS82" i="7"/>
  <c r="AT82" i="7"/>
  <c r="AU82" i="7"/>
  <c r="AV82" i="7"/>
  <c r="AW82" i="7"/>
  <c r="AX82" i="7"/>
  <c r="AY82" i="7"/>
  <c r="AZ82" i="7"/>
  <c r="BA82" i="7"/>
  <c r="BB82" i="7"/>
  <c r="BC82" i="7"/>
  <c r="BD82" i="7"/>
  <c r="BE82" i="7"/>
  <c r="BF82" i="7"/>
  <c r="BG82" i="7"/>
  <c r="BH82" i="7"/>
  <c r="BI82" i="7"/>
  <c r="BJ82" i="7"/>
  <c r="BK82" i="7"/>
  <c r="BL82" i="7"/>
  <c r="BM82" i="7"/>
  <c r="T83" i="7"/>
  <c r="U83" i="7"/>
  <c r="V83" i="7"/>
  <c r="W83" i="7"/>
  <c r="X83" i="7"/>
  <c r="Y83" i="7"/>
  <c r="Z83" i="7"/>
  <c r="AA83" i="7"/>
  <c r="AB83" i="7"/>
  <c r="AC83" i="7"/>
  <c r="AD83" i="7"/>
  <c r="AE83" i="7"/>
  <c r="AF83" i="7"/>
  <c r="AG83" i="7"/>
  <c r="AH83" i="7"/>
  <c r="AI83" i="7"/>
  <c r="AJ83" i="7"/>
  <c r="AK83" i="7"/>
  <c r="AL83" i="7"/>
  <c r="AM83" i="7"/>
  <c r="AN83" i="7"/>
  <c r="AO83" i="7"/>
  <c r="AP83" i="7"/>
  <c r="AQ83" i="7"/>
  <c r="AR83" i="7"/>
  <c r="AS83" i="7"/>
  <c r="AT83" i="7"/>
  <c r="AU83" i="7"/>
  <c r="AV83" i="7"/>
  <c r="AW83" i="7"/>
  <c r="AX83" i="7"/>
  <c r="AY83" i="7"/>
  <c r="AZ83" i="7"/>
  <c r="BA83" i="7"/>
  <c r="BB83" i="7"/>
  <c r="BC83" i="7"/>
  <c r="BD83" i="7"/>
  <c r="BE83" i="7"/>
  <c r="BF83" i="7"/>
  <c r="BG83" i="7"/>
  <c r="BH83" i="7"/>
  <c r="BI83" i="7"/>
  <c r="BJ83" i="7"/>
  <c r="BK83" i="7"/>
  <c r="BL83" i="7"/>
  <c r="BM83" i="7"/>
  <c r="T84" i="7"/>
  <c r="U84" i="7"/>
  <c r="V84" i="7"/>
  <c r="W84" i="7"/>
  <c r="X84" i="7"/>
  <c r="Y84" i="7"/>
  <c r="Z84" i="7"/>
  <c r="AA84" i="7"/>
  <c r="AB84" i="7"/>
  <c r="AC84" i="7"/>
  <c r="AD84" i="7"/>
  <c r="AE84" i="7"/>
  <c r="AF84" i="7"/>
  <c r="AG84" i="7"/>
  <c r="AH84" i="7"/>
  <c r="AI84" i="7"/>
  <c r="AJ84" i="7"/>
  <c r="AK84" i="7"/>
  <c r="AL84" i="7"/>
  <c r="AM84" i="7"/>
  <c r="AN84" i="7"/>
  <c r="AO84" i="7"/>
  <c r="AP84" i="7"/>
  <c r="AQ84" i="7"/>
  <c r="AR84" i="7"/>
  <c r="AS84" i="7"/>
  <c r="AT84" i="7"/>
  <c r="AU84" i="7"/>
  <c r="AV84" i="7"/>
  <c r="AW84" i="7"/>
  <c r="AX84" i="7"/>
  <c r="AY84" i="7"/>
  <c r="AZ84" i="7"/>
  <c r="BA84" i="7"/>
  <c r="BB84" i="7"/>
  <c r="BC84" i="7"/>
  <c r="BD84" i="7"/>
  <c r="BE84" i="7"/>
  <c r="BF84" i="7"/>
  <c r="BG84" i="7"/>
  <c r="BH84" i="7"/>
  <c r="BI84" i="7"/>
  <c r="BJ84" i="7"/>
  <c r="BK84" i="7"/>
  <c r="BL84" i="7"/>
  <c r="BM84" i="7"/>
  <c r="T85" i="7"/>
  <c r="U85" i="7"/>
  <c r="V85" i="7"/>
  <c r="W85" i="7"/>
  <c r="X85" i="7"/>
  <c r="Y85" i="7"/>
  <c r="Z85" i="7"/>
  <c r="AA85" i="7"/>
  <c r="AB85" i="7"/>
  <c r="AC85" i="7"/>
  <c r="AD85" i="7"/>
  <c r="AE85" i="7"/>
  <c r="AF85" i="7"/>
  <c r="AG85" i="7"/>
  <c r="AH85" i="7"/>
  <c r="AI85" i="7"/>
  <c r="AJ85" i="7"/>
  <c r="AK85" i="7"/>
  <c r="AL85" i="7"/>
  <c r="AM85" i="7"/>
  <c r="AN85" i="7"/>
  <c r="AO85" i="7"/>
  <c r="AP85" i="7"/>
  <c r="AQ85" i="7"/>
  <c r="AR85" i="7"/>
  <c r="AS85" i="7"/>
  <c r="AT85" i="7"/>
  <c r="AU85" i="7"/>
  <c r="AV85" i="7"/>
  <c r="AW85" i="7"/>
  <c r="AX85" i="7"/>
  <c r="AY85" i="7"/>
  <c r="AZ85" i="7"/>
  <c r="BA85" i="7"/>
  <c r="BB85" i="7"/>
  <c r="BC85" i="7"/>
  <c r="BD85" i="7"/>
  <c r="BE85" i="7"/>
  <c r="BF85" i="7"/>
  <c r="BG85" i="7"/>
  <c r="BH85" i="7"/>
  <c r="BI85" i="7"/>
  <c r="BJ85" i="7"/>
  <c r="BK85" i="7"/>
  <c r="BL85" i="7"/>
  <c r="BM85" i="7"/>
  <c r="T86" i="7"/>
  <c r="U86" i="7"/>
  <c r="V86" i="7"/>
  <c r="W86" i="7"/>
  <c r="X86" i="7"/>
  <c r="Y86" i="7"/>
  <c r="Z86" i="7"/>
  <c r="AA86" i="7"/>
  <c r="AB86" i="7"/>
  <c r="AC86" i="7"/>
  <c r="AD86" i="7"/>
  <c r="AE86" i="7"/>
  <c r="AF86" i="7"/>
  <c r="AG86" i="7"/>
  <c r="AH86" i="7"/>
  <c r="AI86" i="7"/>
  <c r="AJ86" i="7"/>
  <c r="AK86" i="7"/>
  <c r="AL86" i="7"/>
  <c r="AM86" i="7"/>
  <c r="AN86" i="7"/>
  <c r="AO86" i="7"/>
  <c r="AP86" i="7"/>
  <c r="AQ86" i="7"/>
  <c r="AR86" i="7"/>
  <c r="AS86" i="7"/>
  <c r="AT86" i="7"/>
  <c r="AU86" i="7"/>
  <c r="AV86" i="7"/>
  <c r="AW86" i="7"/>
  <c r="AX86" i="7"/>
  <c r="AY86" i="7"/>
  <c r="AZ86" i="7"/>
  <c r="BA86" i="7"/>
  <c r="BB86" i="7"/>
  <c r="BC86" i="7"/>
  <c r="BD86" i="7"/>
  <c r="BE86" i="7"/>
  <c r="BF86" i="7"/>
  <c r="BG86" i="7"/>
  <c r="BH86" i="7"/>
  <c r="BI86" i="7"/>
  <c r="BJ86" i="7"/>
  <c r="BK86" i="7"/>
  <c r="BL86" i="7"/>
  <c r="BM86" i="7"/>
  <c r="T87" i="7"/>
  <c r="U87" i="7"/>
  <c r="V87" i="7"/>
  <c r="W87" i="7"/>
  <c r="X87" i="7"/>
  <c r="Y87" i="7"/>
  <c r="Z87" i="7"/>
  <c r="AA87" i="7"/>
  <c r="AB87" i="7"/>
  <c r="AC87" i="7"/>
  <c r="AD87" i="7"/>
  <c r="AE87" i="7"/>
  <c r="AF87" i="7"/>
  <c r="AG87" i="7"/>
  <c r="AH87" i="7"/>
  <c r="AI87" i="7"/>
  <c r="AJ87" i="7"/>
  <c r="AK87" i="7"/>
  <c r="AL87" i="7"/>
  <c r="AM87" i="7"/>
  <c r="AN87" i="7"/>
  <c r="AO87" i="7"/>
  <c r="AP87" i="7"/>
  <c r="AQ87" i="7"/>
  <c r="AR87" i="7"/>
  <c r="AS87" i="7"/>
  <c r="AT87" i="7"/>
  <c r="AU87" i="7"/>
  <c r="AV87" i="7"/>
  <c r="AW87" i="7"/>
  <c r="AX87" i="7"/>
  <c r="AY87" i="7"/>
  <c r="AZ87" i="7"/>
  <c r="BA87" i="7"/>
  <c r="BB87" i="7"/>
  <c r="BC87" i="7"/>
  <c r="BD87" i="7"/>
  <c r="BE87" i="7"/>
  <c r="BF87" i="7"/>
  <c r="BG87" i="7"/>
  <c r="BH87" i="7"/>
  <c r="BI87" i="7"/>
  <c r="BJ87" i="7"/>
  <c r="BK87" i="7"/>
  <c r="BL87" i="7"/>
  <c r="BM87" i="7"/>
  <c r="T88" i="7"/>
  <c r="U88" i="7"/>
  <c r="V88" i="7"/>
  <c r="W88" i="7"/>
  <c r="X88" i="7"/>
  <c r="Y88" i="7"/>
  <c r="Z88" i="7"/>
  <c r="AA88" i="7"/>
  <c r="AB88" i="7"/>
  <c r="AC88" i="7"/>
  <c r="AD88" i="7"/>
  <c r="AE88" i="7"/>
  <c r="AF88" i="7"/>
  <c r="AG88" i="7"/>
  <c r="AH88" i="7"/>
  <c r="AI88" i="7"/>
  <c r="AJ88" i="7"/>
  <c r="AK88" i="7"/>
  <c r="AL88" i="7"/>
  <c r="AM88" i="7"/>
  <c r="AN88" i="7"/>
  <c r="AO88" i="7"/>
  <c r="AP88" i="7"/>
  <c r="AQ88" i="7"/>
  <c r="AR88" i="7"/>
  <c r="AS88" i="7"/>
  <c r="AT88" i="7"/>
  <c r="AU88" i="7"/>
  <c r="AV88" i="7"/>
  <c r="AW88" i="7"/>
  <c r="AX88" i="7"/>
  <c r="AY88" i="7"/>
  <c r="AZ88" i="7"/>
  <c r="BA88" i="7"/>
  <c r="BB88" i="7"/>
  <c r="BC88" i="7"/>
  <c r="BD88" i="7"/>
  <c r="BE88" i="7"/>
  <c r="BF88" i="7"/>
  <c r="BG88" i="7"/>
  <c r="BH88" i="7"/>
  <c r="BI88" i="7"/>
  <c r="BJ88" i="7"/>
  <c r="BK88" i="7"/>
  <c r="BL88" i="7"/>
  <c r="BM88" i="7"/>
  <c r="T89" i="7"/>
  <c r="U89" i="7"/>
  <c r="V89" i="7"/>
  <c r="W89" i="7"/>
  <c r="X89" i="7"/>
  <c r="Y89" i="7"/>
  <c r="Z89" i="7"/>
  <c r="AA89" i="7"/>
  <c r="AB89" i="7"/>
  <c r="AC89" i="7"/>
  <c r="AD89" i="7"/>
  <c r="AE89" i="7"/>
  <c r="AF89" i="7"/>
  <c r="AG89" i="7"/>
  <c r="AH89" i="7"/>
  <c r="AI89" i="7"/>
  <c r="AJ89" i="7"/>
  <c r="AK89" i="7"/>
  <c r="AL89" i="7"/>
  <c r="AM89" i="7"/>
  <c r="AN89" i="7"/>
  <c r="AO89" i="7"/>
  <c r="AP89" i="7"/>
  <c r="AQ89" i="7"/>
  <c r="AR89" i="7"/>
  <c r="AS89" i="7"/>
  <c r="AT89" i="7"/>
  <c r="AU89" i="7"/>
  <c r="AV89" i="7"/>
  <c r="AW89" i="7"/>
  <c r="AX89" i="7"/>
  <c r="AY89" i="7"/>
  <c r="AZ89" i="7"/>
  <c r="BA89" i="7"/>
  <c r="BB89" i="7"/>
  <c r="BC89" i="7"/>
  <c r="BD89" i="7"/>
  <c r="BE89" i="7"/>
  <c r="BF89" i="7"/>
  <c r="BG89" i="7"/>
  <c r="BH89" i="7"/>
  <c r="BI89" i="7"/>
  <c r="BJ89" i="7"/>
  <c r="BK89" i="7"/>
  <c r="BL89" i="7"/>
  <c r="BM89" i="7"/>
  <c r="T90" i="7"/>
  <c r="U90" i="7"/>
  <c r="V90" i="7"/>
  <c r="W90" i="7"/>
  <c r="X90" i="7"/>
  <c r="Y90" i="7"/>
  <c r="Z90" i="7"/>
  <c r="AA90" i="7"/>
  <c r="AB90" i="7"/>
  <c r="AC90" i="7"/>
  <c r="AD90" i="7"/>
  <c r="AE90" i="7"/>
  <c r="AF90" i="7"/>
  <c r="AG90" i="7"/>
  <c r="AH90" i="7"/>
  <c r="AI90" i="7"/>
  <c r="AJ90" i="7"/>
  <c r="AK90" i="7"/>
  <c r="AL90" i="7"/>
  <c r="AM90" i="7"/>
  <c r="AN90" i="7"/>
  <c r="AO90" i="7"/>
  <c r="AP90" i="7"/>
  <c r="AQ90" i="7"/>
  <c r="AR90" i="7"/>
  <c r="AS90" i="7"/>
  <c r="AT90" i="7"/>
  <c r="AU90" i="7"/>
  <c r="AV90" i="7"/>
  <c r="AW90" i="7"/>
  <c r="AX90" i="7"/>
  <c r="AY90" i="7"/>
  <c r="AZ90" i="7"/>
  <c r="BA90" i="7"/>
  <c r="BB90" i="7"/>
  <c r="BC90" i="7"/>
  <c r="BD90" i="7"/>
  <c r="BE90" i="7"/>
  <c r="BF90" i="7"/>
  <c r="BG90" i="7"/>
  <c r="BH90" i="7"/>
  <c r="BI90" i="7"/>
  <c r="BJ90" i="7"/>
  <c r="BK90" i="7"/>
  <c r="BL90" i="7"/>
  <c r="BM90" i="7"/>
  <c r="T91" i="7"/>
  <c r="U91" i="7"/>
  <c r="V91" i="7"/>
  <c r="W91" i="7"/>
  <c r="X91" i="7"/>
  <c r="Y91" i="7"/>
  <c r="Z91" i="7"/>
  <c r="AA91" i="7"/>
  <c r="AB91" i="7"/>
  <c r="AC91" i="7"/>
  <c r="AD91" i="7"/>
  <c r="AE91" i="7"/>
  <c r="AF91" i="7"/>
  <c r="AG91" i="7"/>
  <c r="AH91" i="7"/>
  <c r="AI91" i="7"/>
  <c r="AJ91" i="7"/>
  <c r="AK91" i="7"/>
  <c r="AL91" i="7"/>
  <c r="AM91" i="7"/>
  <c r="AN91" i="7"/>
  <c r="AO91" i="7"/>
  <c r="AP91" i="7"/>
  <c r="AQ91" i="7"/>
  <c r="AR91" i="7"/>
  <c r="AS91" i="7"/>
  <c r="AT91" i="7"/>
  <c r="AU91" i="7"/>
  <c r="AV91" i="7"/>
  <c r="AW91" i="7"/>
  <c r="AX91" i="7"/>
  <c r="AY91" i="7"/>
  <c r="AZ91" i="7"/>
  <c r="BA91" i="7"/>
  <c r="BB91" i="7"/>
  <c r="BC91" i="7"/>
  <c r="BD91" i="7"/>
  <c r="BE91" i="7"/>
  <c r="BF91" i="7"/>
  <c r="BG91" i="7"/>
  <c r="BH91" i="7"/>
  <c r="BI91" i="7"/>
  <c r="BJ91" i="7"/>
  <c r="BK91" i="7"/>
  <c r="BL91" i="7"/>
  <c r="BM91" i="7"/>
  <c r="T92" i="7"/>
  <c r="U92" i="7"/>
  <c r="V92" i="7"/>
  <c r="W92" i="7"/>
  <c r="X92" i="7"/>
  <c r="Y92" i="7"/>
  <c r="Z92" i="7"/>
  <c r="AA92" i="7"/>
  <c r="AB92" i="7"/>
  <c r="AC92" i="7"/>
  <c r="AD92" i="7"/>
  <c r="AE92" i="7"/>
  <c r="AF92" i="7"/>
  <c r="AG92" i="7"/>
  <c r="AH92" i="7"/>
  <c r="AI92" i="7"/>
  <c r="AJ92" i="7"/>
  <c r="AK92" i="7"/>
  <c r="AL92" i="7"/>
  <c r="AM92" i="7"/>
  <c r="AN92" i="7"/>
  <c r="AO92" i="7"/>
  <c r="AP92" i="7"/>
  <c r="AQ92" i="7"/>
  <c r="AR92" i="7"/>
  <c r="AS92" i="7"/>
  <c r="AT92" i="7"/>
  <c r="AU92" i="7"/>
  <c r="AV92" i="7"/>
  <c r="AW92" i="7"/>
  <c r="AX92" i="7"/>
  <c r="AY92" i="7"/>
  <c r="AZ92" i="7"/>
  <c r="BA92" i="7"/>
  <c r="BB92" i="7"/>
  <c r="BC92" i="7"/>
  <c r="BD92" i="7"/>
  <c r="BE92" i="7"/>
  <c r="BF92" i="7"/>
  <c r="BG92" i="7"/>
  <c r="BH92" i="7"/>
  <c r="BI92" i="7"/>
  <c r="BJ92" i="7"/>
  <c r="BK92" i="7"/>
  <c r="BL92" i="7"/>
  <c r="BM92" i="7"/>
  <c r="T93" i="7"/>
  <c r="U93" i="7"/>
  <c r="V93" i="7"/>
  <c r="W93" i="7"/>
  <c r="X93" i="7"/>
  <c r="Y93" i="7"/>
  <c r="Z93" i="7"/>
  <c r="AA93" i="7"/>
  <c r="AB93" i="7"/>
  <c r="AC93" i="7"/>
  <c r="AD93" i="7"/>
  <c r="AE93" i="7"/>
  <c r="AF93" i="7"/>
  <c r="AG93" i="7"/>
  <c r="AH93" i="7"/>
  <c r="AI93" i="7"/>
  <c r="AJ93" i="7"/>
  <c r="AK93" i="7"/>
  <c r="AL93" i="7"/>
  <c r="AM93" i="7"/>
  <c r="AN93" i="7"/>
  <c r="AO93" i="7"/>
  <c r="AP93" i="7"/>
  <c r="AQ93" i="7"/>
  <c r="AR93" i="7"/>
  <c r="AS93" i="7"/>
  <c r="AT93" i="7"/>
  <c r="AU93" i="7"/>
  <c r="AV93" i="7"/>
  <c r="AW93" i="7"/>
  <c r="AX93" i="7"/>
  <c r="AY93" i="7"/>
  <c r="AZ93" i="7"/>
  <c r="BA93" i="7"/>
  <c r="BB93" i="7"/>
  <c r="BC93" i="7"/>
  <c r="BD93" i="7"/>
  <c r="BE93" i="7"/>
  <c r="BF93" i="7"/>
  <c r="BG93" i="7"/>
  <c r="BH93" i="7"/>
  <c r="BI93" i="7"/>
  <c r="BJ93" i="7"/>
  <c r="BK93" i="7"/>
  <c r="BL93" i="7"/>
  <c r="BM93" i="7"/>
  <c r="T94" i="7"/>
  <c r="U94" i="7"/>
  <c r="V94" i="7"/>
  <c r="W94" i="7"/>
  <c r="X94" i="7"/>
  <c r="Y94" i="7"/>
  <c r="Z94" i="7"/>
  <c r="AA94" i="7"/>
  <c r="AB94" i="7"/>
  <c r="AC94" i="7"/>
  <c r="AD94" i="7"/>
  <c r="AE94" i="7"/>
  <c r="AF94" i="7"/>
  <c r="AG94" i="7"/>
  <c r="AH94" i="7"/>
  <c r="AI94" i="7"/>
  <c r="AJ94" i="7"/>
  <c r="AK94" i="7"/>
  <c r="AL94" i="7"/>
  <c r="AM94" i="7"/>
  <c r="AN94" i="7"/>
  <c r="AO94" i="7"/>
  <c r="AP94" i="7"/>
  <c r="AQ94" i="7"/>
  <c r="AR94" i="7"/>
  <c r="AS94" i="7"/>
  <c r="AT94" i="7"/>
  <c r="AU94" i="7"/>
  <c r="AV94" i="7"/>
  <c r="AW94" i="7"/>
  <c r="AX94" i="7"/>
  <c r="AY94" i="7"/>
  <c r="AZ94" i="7"/>
  <c r="BA94" i="7"/>
  <c r="BB94" i="7"/>
  <c r="BC94" i="7"/>
  <c r="BD94" i="7"/>
  <c r="BE94" i="7"/>
  <c r="BF94" i="7"/>
  <c r="BG94" i="7"/>
  <c r="BH94" i="7"/>
  <c r="BI94" i="7"/>
  <c r="BJ94" i="7"/>
  <c r="BK94" i="7"/>
  <c r="BL94" i="7"/>
  <c r="BM94" i="7"/>
  <c r="T95" i="7"/>
  <c r="U95" i="7"/>
  <c r="V95" i="7"/>
  <c r="W95" i="7"/>
  <c r="X95" i="7"/>
  <c r="Y95" i="7"/>
  <c r="Z95" i="7"/>
  <c r="AA95" i="7"/>
  <c r="AB95" i="7"/>
  <c r="AC95" i="7"/>
  <c r="AD95" i="7"/>
  <c r="AE95" i="7"/>
  <c r="AF95" i="7"/>
  <c r="AG95" i="7"/>
  <c r="AH95" i="7"/>
  <c r="AI95" i="7"/>
  <c r="AJ95" i="7"/>
  <c r="AK95" i="7"/>
  <c r="AL95" i="7"/>
  <c r="AM95" i="7"/>
  <c r="AN95" i="7"/>
  <c r="AO95" i="7"/>
  <c r="AP95" i="7"/>
  <c r="AQ95" i="7"/>
  <c r="AR95" i="7"/>
  <c r="AS95" i="7"/>
  <c r="AT95" i="7"/>
  <c r="AU95" i="7"/>
  <c r="AV95" i="7"/>
  <c r="AW95" i="7"/>
  <c r="AX95" i="7"/>
  <c r="AY95" i="7"/>
  <c r="AZ95" i="7"/>
  <c r="BA95" i="7"/>
  <c r="BB95" i="7"/>
  <c r="BC95" i="7"/>
  <c r="BD95" i="7"/>
  <c r="BE95" i="7"/>
  <c r="BF95" i="7"/>
  <c r="BG95" i="7"/>
  <c r="BH95" i="7"/>
  <c r="BI95" i="7"/>
  <c r="BJ95" i="7"/>
  <c r="BK95" i="7"/>
  <c r="BL95" i="7"/>
  <c r="BM95" i="7"/>
  <c r="T96" i="7"/>
  <c r="U96" i="7"/>
  <c r="V96" i="7"/>
  <c r="W96" i="7"/>
  <c r="X96" i="7"/>
  <c r="Y96" i="7"/>
  <c r="Z96" i="7"/>
  <c r="AA96" i="7"/>
  <c r="AB96" i="7"/>
  <c r="AC96" i="7"/>
  <c r="AD96" i="7"/>
  <c r="AE96" i="7"/>
  <c r="AF96" i="7"/>
  <c r="AG96" i="7"/>
  <c r="AH96" i="7"/>
  <c r="AI96" i="7"/>
  <c r="AJ96" i="7"/>
  <c r="AK96" i="7"/>
  <c r="AL96" i="7"/>
  <c r="AM96" i="7"/>
  <c r="AN96" i="7"/>
  <c r="AO96" i="7"/>
  <c r="AP96" i="7"/>
  <c r="AQ96" i="7"/>
  <c r="AR96" i="7"/>
  <c r="AS96" i="7"/>
  <c r="AT96" i="7"/>
  <c r="AU96" i="7"/>
  <c r="AV96" i="7"/>
  <c r="AW96" i="7"/>
  <c r="AX96" i="7"/>
  <c r="AY96" i="7"/>
  <c r="AZ96" i="7"/>
  <c r="BA96" i="7"/>
  <c r="BB96" i="7"/>
  <c r="BC96" i="7"/>
  <c r="BD96" i="7"/>
  <c r="BE96" i="7"/>
  <c r="BF96" i="7"/>
  <c r="BG96" i="7"/>
  <c r="BH96" i="7"/>
  <c r="BI96" i="7"/>
  <c r="BJ96" i="7"/>
  <c r="BK96" i="7"/>
  <c r="BL96" i="7"/>
  <c r="BM96" i="7"/>
  <c r="T97" i="7"/>
  <c r="U97" i="7"/>
  <c r="V97" i="7"/>
  <c r="W97" i="7"/>
  <c r="X97" i="7"/>
  <c r="Y97" i="7"/>
  <c r="Z97" i="7"/>
  <c r="AA97" i="7"/>
  <c r="AB97" i="7"/>
  <c r="AC97" i="7"/>
  <c r="AD97" i="7"/>
  <c r="AE97" i="7"/>
  <c r="AF97" i="7"/>
  <c r="AG97" i="7"/>
  <c r="AH97" i="7"/>
  <c r="AI97" i="7"/>
  <c r="AJ97" i="7"/>
  <c r="AK97" i="7"/>
  <c r="AL97" i="7"/>
  <c r="AM97" i="7"/>
  <c r="AN97" i="7"/>
  <c r="AO97" i="7"/>
  <c r="AP97" i="7"/>
  <c r="AQ97" i="7"/>
  <c r="AR97" i="7"/>
  <c r="AS97" i="7"/>
  <c r="AT97" i="7"/>
  <c r="AU97" i="7"/>
  <c r="AV97" i="7"/>
  <c r="AW97" i="7"/>
  <c r="AX97" i="7"/>
  <c r="AY97" i="7"/>
  <c r="AZ97" i="7"/>
  <c r="BA97" i="7"/>
  <c r="BB97" i="7"/>
  <c r="BC97" i="7"/>
  <c r="BD97" i="7"/>
  <c r="BE97" i="7"/>
  <c r="BF97" i="7"/>
  <c r="BG97" i="7"/>
  <c r="BH97" i="7"/>
  <c r="BI97" i="7"/>
  <c r="BJ97" i="7"/>
  <c r="BK97" i="7"/>
  <c r="BL97" i="7"/>
  <c r="BM97" i="7"/>
  <c r="T98" i="7"/>
  <c r="U98" i="7"/>
  <c r="V98" i="7"/>
  <c r="W98" i="7"/>
  <c r="X98" i="7"/>
  <c r="Y98" i="7"/>
  <c r="Z98" i="7"/>
  <c r="AA98" i="7"/>
  <c r="AB98" i="7"/>
  <c r="AC98" i="7"/>
  <c r="AD98" i="7"/>
  <c r="AE98" i="7"/>
  <c r="AF98" i="7"/>
  <c r="AG98" i="7"/>
  <c r="AH98" i="7"/>
  <c r="AI98" i="7"/>
  <c r="AJ98" i="7"/>
  <c r="AK98" i="7"/>
  <c r="AL98" i="7"/>
  <c r="AM98" i="7"/>
  <c r="AN98" i="7"/>
  <c r="AO98" i="7"/>
  <c r="AP98" i="7"/>
  <c r="AQ98" i="7"/>
  <c r="AR98" i="7"/>
  <c r="AS98" i="7"/>
  <c r="AT98" i="7"/>
  <c r="AU98" i="7"/>
  <c r="AV98" i="7"/>
  <c r="AW98" i="7"/>
  <c r="AX98" i="7"/>
  <c r="AY98" i="7"/>
  <c r="AZ98" i="7"/>
  <c r="BA98" i="7"/>
  <c r="BB98" i="7"/>
  <c r="BC98" i="7"/>
  <c r="BD98" i="7"/>
  <c r="BE98" i="7"/>
  <c r="BF98" i="7"/>
  <c r="BG98" i="7"/>
  <c r="BH98" i="7"/>
  <c r="BI98" i="7"/>
  <c r="BJ98" i="7"/>
  <c r="BK98" i="7"/>
  <c r="BL98" i="7"/>
  <c r="BM98" i="7"/>
  <c r="T99" i="7"/>
  <c r="U99" i="7"/>
  <c r="V99" i="7"/>
  <c r="W99" i="7"/>
  <c r="X99" i="7"/>
  <c r="Y99" i="7"/>
  <c r="Z99" i="7"/>
  <c r="AA99" i="7"/>
  <c r="AB99" i="7"/>
  <c r="AC99" i="7"/>
  <c r="AD99" i="7"/>
  <c r="AE99" i="7"/>
  <c r="AF99" i="7"/>
  <c r="AG99" i="7"/>
  <c r="AH99" i="7"/>
  <c r="AI99" i="7"/>
  <c r="AJ99" i="7"/>
  <c r="AK99" i="7"/>
  <c r="AL99" i="7"/>
  <c r="AM99" i="7"/>
  <c r="AN99" i="7"/>
  <c r="AO99" i="7"/>
  <c r="AP99" i="7"/>
  <c r="AQ99" i="7"/>
  <c r="AR99" i="7"/>
  <c r="AS99" i="7"/>
  <c r="AT99" i="7"/>
  <c r="AU99" i="7"/>
  <c r="AV99" i="7"/>
  <c r="AW99" i="7"/>
  <c r="AX99" i="7"/>
  <c r="AY99" i="7"/>
  <c r="AZ99" i="7"/>
  <c r="BA99" i="7"/>
  <c r="BB99" i="7"/>
  <c r="BC99" i="7"/>
  <c r="BD99" i="7"/>
  <c r="BE99" i="7"/>
  <c r="BF99" i="7"/>
  <c r="BG99" i="7"/>
  <c r="BH99" i="7"/>
  <c r="BI99" i="7"/>
  <c r="BJ99" i="7"/>
  <c r="BK99" i="7"/>
  <c r="BL99" i="7"/>
  <c r="BM99" i="7"/>
  <c r="T100" i="7"/>
  <c r="U100" i="7"/>
  <c r="V100" i="7"/>
  <c r="W100" i="7"/>
  <c r="X100" i="7"/>
  <c r="Y100" i="7"/>
  <c r="Z100" i="7"/>
  <c r="AA100" i="7"/>
  <c r="AB100" i="7"/>
  <c r="AC100" i="7"/>
  <c r="AD100" i="7"/>
  <c r="AE100" i="7"/>
  <c r="AF100" i="7"/>
  <c r="AG100" i="7"/>
  <c r="AH100" i="7"/>
  <c r="AI100" i="7"/>
  <c r="AJ100" i="7"/>
  <c r="AK100" i="7"/>
  <c r="AL100" i="7"/>
  <c r="AM100" i="7"/>
  <c r="AN100" i="7"/>
  <c r="AO100" i="7"/>
  <c r="AP100" i="7"/>
  <c r="AQ100" i="7"/>
  <c r="AR100" i="7"/>
  <c r="AS100" i="7"/>
  <c r="AT100" i="7"/>
  <c r="AU100" i="7"/>
  <c r="AV100" i="7"/>
  <c r="AW100" i="7"/>
  <c r="AX100" i="7"/>
  <c r="AY100" i="7"/>
  <c r="AZ100" i="7"/>
  <c r="BA100" i="7"/>
  <c r="BB100" i="7"/>
  <c r="BC100" i="7"/>
  <c r="BD100" i="7"/>
  <c r="BE100" i="7"/>
  <c r="BF100" i="7"/>
  <c r="BG100" i="7"/>
  <c r="BH100" i="7"/>
  <c r="BI100" i="7"/>
  <c r="BJ100" i="7"/>
  <c r="BK100" i="7"/>
  <c r="BL100" i="7"/>
  <c r="BM100" i="7"/>
  <c r="T101" i="7"/>
  <c r="U101" i="7"/>
  <c r="V101" i="7"/>
  <c r="W101" i="7"/>
  <c r="X101" i="7"/>
  <c r="Y101" i="7"/>
  <c r="Z101" i="7"/>
  <c r="AA101" i="7"/>
  <c r="AB101" i="7"/>
  <c r="AC101" i="7"/>
  <c r="AD101" i="7"/>
  <c r="AE101" i="7"/>
  <c r="AF101" i="7"/>
  <c r="AG101" i="7"/>
  <c r="AH101" i="7"/>
  <c r="AI101" i="7"/>
  <c r="AJ101" i="7"/>
  <c r="AK101" i="7"/>
  <c r="AL101" i="7"/>
  <c r="AM101" i="7"/>
  <c r="AN101" i="7"/>
  <c r="AO101" i="7"/>
  <c r="AP101" i="7"/>
  <c r="AQ101" i="7"/>
  <c r="AR101" i="7"/>
  <c r="AS101" i="7"/>
  <c r="AT101" i="7"/>
  <c r="AU101" i="7"/>
  <c r="AV101" i="7"/>
  <c r="AW101" i="7"/>
  <c r="AX101" i="7"/>
  <c r="AY101" i="7"/>
  <c r="AZ101" i="7"/>
  <c r="BA101" i="7"/>
  <c r="BB101" i="7"/>
  <c r="BC101" i="7"/>
  <c r="BD101" i="7"/>
  <c r="BE101" i="7"/>
  <c r="BF101" i="7"/>
  <c r="BG101" i="7"/>
  <c r="BH101" i="7"/>
  <c r="BI101" i="7"/>
  <c r="BJ101" i="7"/>
  <c r="BK101" i="7"/>
  <c r="BL101" i="7"/>
  <c r="BM101" i="7"/>
  <c r="T102" i="7"/>
  <c r="U102" i="7"/>
  <c r="V102" i="7"/>
  <c r="W102" i="7"/>
  <c r="X102" i="7"/>
  <c r="Y102" i="7"/>
  <c r="Z102" i="7"/>
  <c r="AA102" i="7"/>
  <c r="AB102" i="7"/>
  <c r="AC102" i="7"/>
  <c r="AD102" i="7"/>
  <c r="AE102" i="7"/>
  <c r="AF102" i="7"/>
  <c r="AG102" i="7"/>
  <c r="AH102" i="7"/>
  <c r="AI102" i="7"/>
  <c r="AJ102" i="7"/>
  <c r="AK102" i="7"/>
  <c r="AL102" i="7"/>
  <c r="AM102" i="7"/>
  <c r="AN102" i="7"/>
  <c r="AO102" i="7"/>
  <c r="AP102" i="7"/>
  <c r="AQ102" i="7"/>
  <c r="AR102" i="7"/>
  <c r="AS102" i="7"/>
  <c r="AT102" i="7"/>
  <c r="AU102" i="7"/>
  <c r="AV102" i="7"/>
  <c r="AW102" i="7"/>
  <c r="AX102" i="7"/>
  <c r="AY102" i="7"/>
  <c r="AZ102" i="7"/>
  <c r="BA102" i="7"/>
  <c r="BB102" i="7"/>
  <c r="BC102" i="7"/>
  <c r="BD102" i="7"/>
  <c r="BE102" i="7"/>
  <c r="BF102" i="7"/>
  <c r="BG102" i="7"/>
  <c r="BH102" i="7"/>
  <c r="BI102" i="7"/>
  <c r="BJ102" i="7"/>
  <c r="BK102" i="7"/>
  <c r="BL102" i="7"/>
  <c r="BM102" i="7"/>
  <c r="T103" i="7"/>
  <c r="U103" i="7"/>
  <c r="V103" i="7"/>
  <c r="W103" i="7"/>
  <c r="X103" i="7"/>
  <c r="Y103" i="7"/>
  <c r="Z103" i="7"/>
  <c r="AA103" i="7"/>
  <c r="AB103" i="7"/>
  <c r="AC103" i="7"/>
  <c r="AD103" i="7"/>
  <c r="AE103" i="7"/>
  <c r="AF103" i="7"/>
  <c r="AG103" i="7"/>
  <c r="AH103" i="7"/>
  <c r="AI103" i="7"/>
  <c r="AJ103" i="7"/>
  <c r="AK103" i="7"/>
  <c r="AL103" i="7"/>
  <c r="AM103" i="7"/>
  <c r="AN103" i="7"/>
  <c r="AO103" i="7"/>
  <c r="AP103" i="7"/>
  <c r="AQ103" i="7"/>
  <c r="AR103" i="7"/>
  <c r="AS103" i="7"/>
  <c r="AT103" i="7"/>
  <c r="AU103" i="7"/>
  <c r="AV103" i="7"/>
  <c r="AW103" i="7"/>
  <c r="AX103" i="7"/>
  <c r="AY103" i="7"/>
  <c r="AZ103" i="7"/>
  <c r="BA103" i="7"/>
  <c r="BB103" i="7"/>
  <c r="BC103" i="7"/>
  <c r="BD103" i="7"/>
  <c r="BE103" i="7"/>
  <c r="BF103" i="7"/>
  <c r="BG103" i="7"/>
  <c r="BH103" i="7"/>
  <c r="BI103" i="7"/>
  <c r="BJ103" i="7"/>
  <c r="BK103" i="7"/>
  <c r="BL103" i="7"/>
  <c r="BM103" i="7"/>
  <c r="T104" i="7"/>
  <c r="U104" i="7"/>
  <c r="V104" i="7"/>
  <c r="W104" i="7"/>
  <c r="X104" i="7"/>
  <c r="Y104" i="7"/>
  <c r="Z104" i="7"/>
  <c r="AA104" i="7"/>
  <c r="AB104" i="7"/>
  <c r="AC104" i="7"/>
  <c r="AD104" i="7"/>
  <c r="AE104" i="7"/>
  <c r="AF104" i="7"/>
  <c r="AG104" i="7"/>
  <c r="AH104" i="7"/>
  <c r="AI104" i="7"/>
  <c r="AJ104" i="7"/>
  <c r="AK104" i="7"/>
  <c r="AL104" i="7"/>
  <c r="AM104" i="7"/>
  <c r="AN104" i="7"/>
  <c r="AO104" i="7"/>
  <c r="AP104" i="7"/>
  <c r="AQ104" i="7"/>
  <c r="AR104" i="7"/>
  <c r="AS104" i="7"/>
  <c r="AT104" i="7"/>
  <c r="AU104" i="7"/>
  <c r="AV104" i="7"/>
  <c r="AW104" i="7"/>
  <c r="AX104" i="7"/>
  <c r="AY104" i="7"/>
  <c r="AZ104" i="7"/>
  <c r="BA104" i="7"/>
  <c r="BB104" i="7"/>
  <c r="BC104" i="7"/>
  <c r="BD104" i="7"/>
  <c r="BE104" i="7"/>
  <c r="BF104" i="7"/>
  <c r="BG104" i="7"/>
  <c r="BH104" i="7"/>
  <c r="BI104" i="7"/>
  <c r="BJ104" i="7"/>
  <c r="BK104" i="7"/>
  <c r="BL104" i="7"/>
  <c r="BM104" i="7"/>
  <c r="T105" i="7"/>
  <c r="U105" i="7"/>
  <c r="V105" i="7"/>
  <c r="W105" i="7"/>
  <c r="X105" i="7"/>
  <c r="Y105" i="7"/>
  <c r="Z105" i="7"/>
  <c r="AA105" i="7"/>
  <c r="AB105" i="7"/>
  <c r="AC105" i="7"/>
  <c r="AD105" i="7"/>
  <c r="AE105" i="7"/>
  <c r="AF105" i="7"/>
  <c r="AG105" i="7"/>
  <c r="AH105" i="7"/>
  <c r="AI105" i="7"/>
  <c r="AJ105" i="7"/>
  <c r="AK105" i="7"/>
  <c r="AL105" i="7"/>
  <c r="AM105" i="7"/>
  <c r="AN105" i="7"/>
  <c r="AO105" i="7"/>
  <c r="AP105" i="7"/>
  <c r="AQ105" i="7"/>
  <c r="AR105" i="7"/>
  <c r="AS105" i="7"/>
  <c r="AT105" i="7"/>
  <c r="AU105" i="7"/>
  <c r="AV105" i="7"/>
  <c r="AW105" i="7"/>
  <c r="AX105" i="7"/>
  <c r="AY105" i="7"/>
  <c r="AZ105" i="7"/>
  <c r="BA105" i="7"/>
  <c r="BB105" i="7"/>
  <c r="BC105" i="7"/>
  <c r="BD105" i="7"/>
  <c r="BE105" i="7"/>
  <c r="BF105" i="7"/>
  <c r="BG105" i="7"/>
  <c r="BH105" i="7"/>
  <c r="BI105" i="7"/>
  <c r="BJ105" i="7"/>
  <c r="BK105" i="7"/>
  <c r="BL105" i="7"/>
  <c r="BM105" i="7"/>
  <c r="T106" i="7"/>
  <c r="U106" i="7"/>
  <c r="V106" i="7"/>
  <c r="W106" i="7"/>
  <c r="X106" i="7"/>
  <c r="Y106" i="7"/>
  <c r="Z106" i="7"/>
  <c r="AA106" i="7"/>
  <c r="AB106" i="7"/>
  <c r="AC106" i="7"/>
  <c r="AD106" i="7"/>
  <c r="AE106" i="7"/>
  <c r="AF106" i="7"/>
  <c r="AG106" i="7"/>
  <c r="AH106" i="7"/>
  <c r="AI106" i="7"/>
  <c r="AJ106" i="7"/>
  <c r="AK106" i="7"/>
  <c r="AL106" i="7"/>
  <c r="AM106" i="7"/>
  <c r="AN106" i="7"/>
  <c r="AO106" i="7"/>
  <c r="AP106" i="7"/>
  <c r="AQ106" i="7"/>
  <c r="AR106" i="7"/>
  <c r="AS106" i="7"/>
  <c r="AT106" i="7"/>
  <c r="AU106" i="7"/>
  <c r="AV106" i="7"/>
  <c r="AW106" i="7"/>
  <c r="AX106" i="7"/>
  <c r="AY106" i="7"/>
  <c r="AZ106" i="7"/>
  <c r="BA106" i="7"/>
  <c r="BB106" i="7"/>
  <c r="BC106" i="7"/>
  <c r="BD106" i="7"/>
  <c r="BE106" i="7"/>
  <c r="BF106" i="7"/>
  <c r="BG106" i="7"/>
  <c r="BH106" i="7"/>
  <c r="BI106" i="7"/>
  <c r="BJ106" i="7"/>
  <c r="BK106" i="7"/>
  <c r="BL106" i="7"/>
  <c r="BM106" i="7"/>
  <c r="T107" i="7"/>
  <c r="U107" i="7"/>
  <c r="V107" i="7"/>
  <c r="W107" i="7"/>
  <c r="X107" i="7"/>
  <c r="Y107" i="7"/>
  <c r="Z107" i="7"/>
  <c r="AA107" i="7"/>
  <c r="AB107" i="7"/>
  <c r="AC107" i="7"/>
  <c r="AD107" i="7"/>
  <c r="AE107" i="7"/>
  <c r="AF107" i="7"/>
  <c r="AG107" i="7"/>
  <c r="AH107" i="7"/>
  <c r="AI107" i="7"/>
  <c r="AJ107" i="7"/>
  <c r="AK107" i="7"/>
  <c r="AL107" i="7"/>
  <c r="AM107" i="7"/>
  <c r="AN107" i="7"/>
  <c r="AO107" i="7"/>
  <c r="AP107" i="7"/>
  <c r="AQ107" i="7"/>
  <c r="AR107" i="7"/>
  <c r="AS107" i="7"/>
  <c r="AT107" i="7"/>
  <c r="AU107" i="7"/>
  <c r="AV107" i="7"/>
  <c r="AW107" i="7"/>
  <c r="AX107" i="7"/>
  <c r="AY107" i="7"/>
  <c r="AZ107" i="7"/>
  <c r="BA107" i="7"/>
  <c r="BB107" i="7"/>
  <c r="BC107" i="7"/>
  <c r="BD107" i="7"/>
  <c r="BE107" i="7"/>
  <c r="BF107" i="7"/>
  <c r="BG107" i="7"/>
  <c r="BH107" i="7"/>
  <c r="BI107" i="7"/>
  <c r="BJ107" i="7"/>
  <c r="BK107" i="7"/>
  <c r="BL107" i="7"/>
  <c r="BM107" i="7"/>
  <c r="T108" i="7"/>
  <c r="U108" i="7"/>
  <c r="V108" i="7"/>
  <c r="W108" i="7"/>
  <c r="X108" i="7"/>
  <c r="Y108" i="7"/>
  <c r="Z108" i="7"/>
  <c r="AA108" i="7"/>
  <c r="AB108" i="7"/>
  <c r="AC108" i="7"/>
  <c r="AD108" i="7"/>
  <c r="AE108" i="7"/>
  <c r="AF108" i="7"/>
  <c r="AG108" i="7"/>
  <c r="AH108" i="7"/>
  <c r="AI108" i="7"/>
  <c r="AJ108" i="7"/>
  <c r="AK108" i="7"/>
  <c r="AL108" i="7"/>
  <c r="AM108" i="7"/>
  <c r="AN108" i="7"/>
  <c r="AO108" i="7"/>
  <c r="AP108" i="7"/>
  <c r="AQ108" i="7"/>
  <c r="AR108" i="7"/>
  <c r="AS108" i="7"/>
  <c r="AT108" i="7"/>
  <c r="AU108" i="7"/>
  <c r="AV108" i="7"/>
  <c r="AW108" i="7"/>
  <c r="AX108" i="7"/>
  <c r="AY108" i="7"/>
  <c r="AZ108" i="7"/>
  <c r="BA108" i="7"/>
  <c r="BB108" i="7"/>
  <c r="BC108" i="7"/>
  <c r="BD108" i="7"/>
  <c r="BE108" i="7"/>
  <c r="BF108" i="7"/>
  <c r="BG108" i="7"/>
  <c r="BH108" i="7"/>
  <c r="BI108" i="7"/>
  <c r="BJ108" i="7"/>
  <c r="BK108" i="7"/>
  <c r="BL108" i="7"/>
  <c r="BM108" i="7"/>
  <c r="T109" i="7"/>
  <c r="U109" i="7"/>
  <c r="V109" i="7"/>
  <c r="W109" i="7"/>
  <c r="X109" i="7"/>
  <c r="Y109" i="7"/>
  <c r="Z109" i="7"/>
  <c r="AA109" i="7"/>
  <c r="AB109" i="7"/>
  <c r="AC109" i="7"/>
  <c r="AD109" i="7"/>
  <c r="AE109" i="7"/>
  <c r="AF109" i="7"/>
  <c r="AG109" i="7"/>
  <c r="AH109" i="7"/>
  <c r="AI109" i="7"/>
  <c r="AJ109" i="7"/>
  <c r="AK109" i="7"/>
  <c r="AL109" i="7"/>
  <c r="AM109" i="7"/>
  <c r="AN109" i="7"/>
  <c r="AO109" i="7"/>
  <c r="AP109" i="7"/>
  <c r="AQ109" i="7"/>
  <c r="AR109" i="7"/>
  <c r="AS109" i="7"/>
  <c r="AT109" i="7"/>
  <c r="AU109" i="7"/>
  <c r="AV109" i="7"/>
  <c r="AW109" i="7"/>
  <c r="AX109" i="7"/>
  <c r="AY109" i="7"/>
  <c r="AZ109" i="7"/>
  <c r="BA109" i="7"/>
  <c r="BB109" i="7"/>
  <c r="BC109" i="7"/>
  <c r="BD109" i="7"/>
  <c r="BE109" i="7"/>
  <c r="BF109" i="7"/>
  <c r="BG109" i="7"/>
  <c r="BH109" i="7"/>
  <c r="BI109" i="7"/>
  <c r="BJ109" i="7"/>
  <c r="BK109" i="7"/>
  <c r="BL109" i="7"/>
  <c r="BM109" i="7"/>
  <c r="T110" i="7"/>
  <c r="U110" i="7"/>
  <c r="V110" i="7"/>
  <c r="W110" i="7"/>
  <c r="X110" i="7"/>
  <c r="Y110" i="7"/>
  <c r="Z110" i="7"/>
  <c r="AA110" i="7"/>
  <c r="AB110" i="7"/>
  <c r="AC110" i="7"/>
  <c r="AD110" i="7"/>
  <c r="AE110" i="7"/>
  <c r="AF110" i="7"/>
  <c r="AG110" i="7"/>
  <c r="AH110" i="7"/>
  <c r="AI110" i="7"/>
  <c r="AJ110" i="7"/>
  <c r="AK110" i="7"/>
  <c r="AL110" i="7"/>
  <c r="AM110" i="7"/>
  <c r="AN110" i="7"/>
  <c r="AO110" i="7"/>
  <c r="AP110" i="7"/>
  <c r="AQ110" i="7"/>
  <c r="AR110" i="7"/>
  <c r="AS110" i="7"/>
  <c r="AT110" i="7"/>
  <c r="AU110" i="7"/>
  <c r="AV110" i="7"/>
  <c r="AW110" i="7"/>
  <c r="AX110" i="7"/>
  <c r="AY110" i="7"/>
  <c r="AZ110" i="7"/>
  <c r="BA110" i="7"/>
  <c r="BB110" i="7"/>
  <c r="BC110" i="7"/>
  <c r="BD110" i="7"/>
  <c r="BE110" i="7"/>
  <c r="BF110" i="7"/>
  <c r="BG110" i="7"/>
  <c r="BH110" i="7"/>
  <c r="BI110" i="7"/>
  <c r="BJ110" i="7"/>
  <c r="BK110" i="7"/>
  <c r="BL110" i="7"/>
  <c r="BM110" i="7"/>
  <c r="T111" i="7"/>
  <c r="U111" i="7"/>
  <c r="V111" i="7"/>
  <c r="W111" i="7"/>
  <c r="X111" i="7"/>
  <c r="Y111" i="7"/>
  <c r="Z111" i="7"/>
  <c r="AA111" i="7"/>
  <c r="AB111" i="7"/>
  <c r="AC111" i="7"/>
  <c r="AD111" i="7"/>
  <c r="AE111" i="7"/>
  <c r="AF111" i="7"/>
  <c r="AG111" i="7"/>
  <c r="AH111" i="7"/>
  <c r="AI111" i="7"/>
  <c r="AJ111" i="7"/>
  <c r="AK111" i="7"/>
  <c r="AL111" i="7"/>
  <c r="AM111" i="7"/>
  <c r="AN111" i="7"/>
  <c r="AO111" i="7"/>
  <c r="AP111" i="7"/>
  <c r="AQ111" i="7"/>
  <c r="AR111" i="7"/>
  <c r="AS111" i="7"/>
  <c r="AT111" i="7"/>
  <c r="AU111" i="7"/>
  <c r="AV111" i="7"/>
  <c r="AW111" i="7"/>
  <c r="AX111" i="7"/>
  <c r="AY111" i="7"/>
  <c r="AZ111" i="7"/>
  <c r="BA111" i="7"/>
  <c r="BB111" i="7"/>
  <c r="BC111" i="7"/>
  <c r="BD111" i="7"/>
  <c r="BE111" i="7"/>
  <c r="BF111" i="7"/>
  <c r="BG111" i="7"/>
  <c r="BH111" i="7"/>
  <c r="BI111" i="7"/>
  <c r="BJ111" i="7"/>
  <c r="BK111" i="7"/>
  <c r="BL111" i="7"/>
  <c r="BM111" i="7"/>
  <c r="T112" i="7"/>
  <c r="U112" i="7"/>
  <c r="V112" i="7"/>
  <c r="W112" i="7"/>
  <c r="X112" i="7"/>
  <c r="Y112" i="7"/>
  <c r="Z112" i="7"/>
  <c r="AA112" i="7"/>
  <c r="AB112" i="7"/>
  <c r="AC112" i="7"/>
  <c r="AD112" i="7"/>
  <c r="AE112" i="7"/>
  <c r="AF112" i="7"/>
  <c r="AG112" i="7"/>
  <c r="AH112" i="7"/>
  <c r="AI112" i="7"/>
  <c r="AJ112" i="7"/>
  <c r="AK112" i="7"/>
  <c r="AL112" i="7"/>
  <c r="AM112" i="7"/>
  <c r="AN112" i="7"/>
  <c r="AO112" i="7"/>
  <c r="AP112" i="7"/>
  <c r="AQ112" i="7"/>
  <c r="AR112" i="7"/>
  <c r="AS112" i="7"/>
  <c r="AT112" i="7"/>
  <c r="AU112" i="7"/>
  <c r="AV112" i="7"/>
  <c r="AW112" i="7"/>
  <c r="AX112" i="7"/>
  <c r="AY112" i="7"/>
  <c r="AZ112" i="7"/>
  <c r="BA112" i="7"/>
  <c r="BB112" i="7"/>
  <c r="BC112" i="7"/>
  <c r="BD112" i="7"/>
  <c r="BE112" i="7"/>
  <c r="BF112" i="7"/>
  <c r="BG112" i="7"/>
  <c r="BH112" i="7"/>
  <c r="BI112" i="7"/>
  <c r="BJ112" i="7"/>
  <c r="BK112" i="7"/>
  <c r="BL112" i="7"/>
  <c r="BM112" i="7"/>
  <c r="T113" i="7"/>
  <c r="U113" i="7"/>
  <c r="V113" i="7"/>
  <c r="W113" i="7"/>
  <c r="X113" i="7"/>
  <c r="Y113" i="7"/>
  <c r="Z113" i="7"/>
  <c r="AA113" i="7"/>
  <c r="AB113" i="7"/>
  <c r="AC113" i="7"/>
  <c r="AD113" i="7"/>
  <c r="AE113" i="7"/>
  <c r="AF113" i="7"/>
  <c r="AG113" i="7"/>
  <c r="AH113" i="7"/>
  <c r="AI113" i="7"/>
  <c r="AJ113" i="7"/>
  <c r="AK113" i="7"/>
  <c r="AL113" i="7"/>
  <c r="AM113" i="7"/>
  <c r="AN113" i="7"/>
  <c r="AO113" i="7"/>
  <c r="AP113" i="7"/>
  <c r="AQ113" i="7"/>
  <c r="AR113" i="7"/>
  <c r="AS113" i="7"/>
  <c r="AT113" i="7"/>
  <c r="AU113" i="7"/>
  <c r="AV113" i="7"/>
  <c r="AW113" i="7"/>
  <c r="AX113" i="7"/>
  <c r="AY113" i="7"/>
  <c r="AZ113" i="7"/>
  <c r="BA113" i="7"/>
  <c r="BB113" i="7"/>
  <c r="BC113" i="7"/>
  <c r="BD113" i="7"/>
  <c r="BE113" i="7"/>
  <c r="BF113" i="7"/>
  <c r="BG113" i="7"/>
  <c r="BH113" i="7"/>
  <c r="BI113" i="7"/>
  <c r="BJ113" i="7"/>
  <c r="BK113" i="7"/>
  <c r="BL113" i="7"/>
  <c r="BM113" i="7"/>
  <c r="T114" i="7"/>
  <c r="U114" i="7"/>
  <c r="V114" i="7"/>
  <c r="W114" i="7"/>
  <c r="X114" i="7"/>
  <c r="Y114" i="7"/>
  <c r="Z114" i="7"/>
  <c r="AA114" i="7"/>
  <c r="AB114" i="7"/>
  <c r="AC114" i="7"/>
  <c r="AD114" i="7"/>
  <c r="AE114" i="7"/>
  <c r="AF114" i="7"/>
  <c r="AG114" i="7"/>
  <c r="AH114" i="7"/>
  <c r="AI114" i="7"/>
  <c r="AJ114" i="7"/>
  <c r="AK114" i="7"/>
  <c r="AL114" i="7"/>
  <c r="AM114" i="7"/>
  <c r="AN114" i="7"/>
  <c r="AO114" i="7"/>
  <c r="AP114" i="7"/>
  <c r="AQ114" i="7"/>
  <c r="AR114" i="7"/>
  <c r="AS114" i="7"/>
  <c r="AT114" i="7"/>
  <c r="AU114" i="7"/>
  <c r="AV114" i="7"/>
  <c r="AW114" i="7"/>
  <c r="AX114" i="7"/>
  <c r="AY114" i="7"/>
  <c r="AZ114" i="7"/>
  <c r="BA114" i="7"/>
  <c r="BB114" i="7"/>
  <c r="BC114" i="7"/>
  <c r="BD114" i="7"/>
  <c r="BE114" i="7"/>
  <c r="BF114" i="7"/>
  <c r="BG114" i="7"/>
  <c r="BH114" i="7"/>
  <c r="BI114" i="7"/>
  <c r="BJ114" i="7"/>
  <c r="BK114" i="7"/>
  <c r="BL114" i="7"/>
  <c r="BM114" i="7"/>
  <c r="T115" i="7"/>
  <c r="U115" i="7"/>
  <c r="V115" i="7"/>
  <c r="W115" i="7"/>
  <c r="X115" i="7"/>
  <c r="Y115" i="7"/>
  <c r="Z115" i="7"/>
  <c r="AA115" i="7"/>
  <c r="AB115" i="7"/>
  <c r="AC115" i="7"/>
  <c r="AD115" i="7"/>
  <c r="AE115" i="7"/>
  <c r="AF115" i="7"/>
  <c r="AG115" i="7"/>
  <c r="AH115" i="7"/>
  <c r="AI115" i="7"/>
  <c r="AJ115" i="7"/>
  <c r="AK115" i="7"/>
  <c r="AL115" i="7"/>
  <c r="AM115" i="7"/>
  <c r="AN115" i="7"/>
  <c r="AO115" i="7"/>
  <c r="AP115" i="7"/>
  <c r="AQ115" i="7"/>
  <c r="AR115" i="7"/>
  <c r="AS115" i="7"/>
  <c r="AT115" i="7"/>
  <c r="AU115" i="7"/>
  <c r="AV115" i="7"/>
  <c r="AW115" i="7"/>
  <c r="AX115" i="7"/>
  <c r="AY115" i="7"/>
  <c r="AZ115" i="7"/>
  <c r="BA115" i="7"/>
  <c r="BB115" i="7"/>
  <c r="BC115" i="7"/>
  <c r="BD115" i="7"/>
  <c r="BE115" i="7"/>
  <c r="BF115" i="7"/>
  <c r="BG115" i="7"/>
  <c r="BH115" i="7"/>
  <c r="BI115" i="7"/>
  <c r="BJ115" i="7"/>
  <c r="BK115" i="7"/>
  <c r="BL115" i="7"/>
  <c r="BM115" i="7"/>
  <c r="T116" i="7"/>
  <c r="U116" i="7"/>
  <c r="V116" i="7"/>
  <c r="W116" i="7"/>
  <c r="X116" i="7"/>
  <c r="Y116" i="7"/>
  <c r="Z116" i="7"/>
  <c r="AA116" i="7"/>
  <c r="AB116" i="7"/>
  <c r="AC116" i="7"/>
  <c r="AD116" i="7"/>
  <c r="AE116" i="7"/>
  <c r="AF116" i="7"/>
  <c r="AG116" i="7"/>
  <c r="AH116" i="7"/>
  <c r="AI116" i="7"/>
  <c r="AJ116" i="7"/>
  <c r="AK116" i="7"/>
  <c r="AL116" i="7"/>
  <c r="AM116" i="7"/>
  <c r="AN116" i="7"/>
  <c r="AO116" i="7"/>
  <c r="AP116" i="7"/>
  <c r="AQ116" i="7"/>
  <c r="AR116" i="7"/>
  <c r="AS116" i="7"/>
  <c r="AT116" i="7"/>
  <c r="AU116" i="7"/>
  <c r="AV116" i="7"/>
  <c r="AW116" i="7"/>
  <c r="AX116" i="7"/>
  <c r="AY116" i="7"/>
  <c r="AZ116" i="7"/>
  <c r="BA116" i="7"/>
  <c r="BB116" i="7"/>
  <c r="BC116" i="7"/>
  <c r="BD116" i="7"/>
  <c r="BE116" i="7"/>
  <c r="BF116" i="7"/>
  <c r="BG116" i="7"/>
  <c r="BH116" i="7"/>
  <c r="BI116" i="7"/>
  <c r="BJ116" i="7"/>
  <c r="BK116" i="7"/>
  <c r="BL116" i="7"/>
  <c r="BM116" i="7"/>
  <c r="T117" i="7"/>
  <c r="U117" i="7"/>
  <c r="V117" i="7"/>
  <c r="W117" i="7"/>
  <c r="X117" i="7"/>
  <c r="Y117" i="7"/>
  <c r="Z117" i="7"/>
  <c r="AA117" i="7"/>
  <c r="AB117" i="7"/>
  <c r="AC117" i="7"/>
  <c r="AD117" i="7"/>
  <c r="AE117" i="7"/>
  <c r="AF117" i="7"/>
  <c r="AG117" i="7"/>
  <c r="AH117" i="7"/>
  <c r="AI117" i="7"/>
  <c r="AJ117" i="7"/>
  <c r="AK117" i="7"/>
  <c r="AL117" i="7"/>
  <c r="AM117" i="7"/>
  <c r="AN117" i="7"/>
  <c r="AO117" i="7"/>
  <c r="AP117" i="7"/>
  <c r="AQ117" i="7"/>
  <c r="AR117" i="7"/>
  <c r="AS117" i="7"/>
  <c r="AT117" i="7"/>
  <c r="AU117" i="7"/>
  <c r="AV117" i="7"/>
  <c r="AW117" i="7"/>
  <c r="AX117" i="7"/>
  <c r="AY117" i="7"/>
  <c r="AZ117" i="7"/>
  <c r="BA117" i="7"/>
  <c r="BB117" i="7"/>
  <c r="BC117" i="7"/>
  <c r="BD117" i="7"/>
  <c r="BE117" i="7"/>
  <c r="BF117" i="7"/>
  <c r="BG117" i="7"/>
  <c r="BH117" i="7"/>
  <c r="BI117" i="7"/>
  <c r="BJ117" i="7"/>
  <c r="BK117" i="7"/>
  <c r="BL117" i="7"/>
  <c r="BM117" i="7"/>
  <c r="T118" i="7"/>
  <c r="U118" i="7"/>
  <c r="V118" i="7"/>
  <c r="W118" i="7"/>
  <c r="X118" i="7"/>
  <c r="Y118" i="7"/>
  <c r="Z118" i="7"/>
  <c r="AA118" i="7"/>
  <c r="AB118" i="7"/>
  <c r="AC118" i="7"/>
  <c r="AD118" i="7"/>
  <c r="AE118" i="7"/>
  <c r="AF118" i="7"/>
  <c r="AG118" i="7"/>
  <c r="AH118" i="7"/>
  <c r="AI118" i="7"/>
  <c r="AJ118" i="7"/>
  <c r="AK118" i="7"/>
  <c r="AL118" i="7"/>
  <c r="AM118" i="7"/>
  <c r="AN118" i="7"/>
  <c r="AO118" i="7"/>
  <c r="AP118" i="7"/>
  <c r="AQ118" i="7"/>
  <c r="AR118" i="7"/>
  <c r="AS118" i="7"/>
  <c r="AT118" i="7"/>
  <c r="AU118" i="7"/>
  <c r="AV118" i="7"/>
  <c r="AW118" i="7"/>
  <c r="AX118" i="7"/>
  <c r="AY118" i="7"/>
  <c r="AZ118" i="7"/>
  <c r="BA118" i="7"/>
  <c r="BB118" i="7"/>
  <c r="BC118" i="7"/>
  <c r="BD118" i="7"/>
  <c r="BE118" i="7"/>
  <c r="BF118" i="7"/>
  <c r="BG118" i="7"/>
  <c r="BH118" i="7"/>
  <c r="BI118" i="7"/>
  <c r="BJ118" i="7"/>
  <c r="BK118" i="7"/>
  <c r="BL118" i="7"/>
  <c r="BM118" i="7"/>
  <c r="T119" i="7"/>
  <c r="U119" i="7"/>
  <c r="V119" i="7"/>
  <c r="W119" i="7"/>
  <c r="X119" i="7"/>
  <c r="Y119" i="7"/>
  <c r="Z119" i="7"/>
  <c r="AA119" i="7"/>
  <c r="AB119" i="7"/>
  <c r="AC119" i="7"/>
  <c r="AD119" i="7"/>
  <c r="AE119" i="7"/>
  <c r="AF119" i="7"/>
  <c r="AG119" i="7"/>
  <c r="AH119" i="7"/>
  <c r="AI119" i="7"/>
  <c r="AJ119" i="7"/>
  <c r="AK119" i="7"/>
  <c r="AL119" i="7"/>
  <c r="AM119" i="7"/>
  <c r="AN119" i="7"/>
  <c r="AO119" i="7"/>
  <c r="AP119" i="7"/>
  <c r="AQ119" i="7"/>
  <c r="AR119" i="7"/>
  <c r="AS119" i="7"/>
  <c r="AT119" i="7"/>
  <c r="AU119" i="7"/>
  <c r="AV119" i="7"/>
  <c r="AW119" i="7"/>
  <c r="AX119" i="7"/>
  <c r="AY119" i="7"/>
  <c r="AZ119" i="7"/>
  <c r="BA119" i="7"/>
  <c r="BB119" i="7"/>
  <c r="BC119" i="7"/>
  <c r="BD119" i="7"/>
  <c r="BE119" i="7"/>
  <c r="BF119" i="7"/>
  <c r="BG119" i="7"/>
  <c r="BH119" i="7"/>
  <c r="BI119" i="7"/>
  <c r="BJ119" i="7"/>
  <c r="BK119" i="7"/>
  <c r="BL119" i="7"/>
  <c r="BM119" i="7"/>
  <c r="T120" i="7"/>
  <c r="U120" i="7"/>
  <c r="V120" i="7"/>
  <c r="W120" i="7"/>
  <c r="X120" i="7"/>
  <c r="Y120" i="7"/>
  <c r="Z120" i="7"/>
  <c r="AA120" i="7"/>
  <c r="AB120" i="7"/>
  <c r="AC120" i="7"/>
  <c r="AD120" i="7"/>
  <c r="AE120" i="7"/>
  <c r="AF120" i="7"/>
  <c r="AG120" i="7"/>
  <c r="AH120" i="7"/>
  <c r="AI120" i="7"/>
  <c r="AJ120" i="7"/>
  <c r="AK120" i="7"/>
  <c r="AL120" i="7"/>
  <c r="AM120" i="7"/>
  <c r="AN120" i="7"/>
  <c r="AO120" i="7"/>
  <c r="AP120" i="7"/>
  <c r="AQ120" i="7"/>
  <c r="AR120" i="7"/>
  <c r="AS120" i="7"/>
  <c r="AT120" i="7"/>
  <c r="AU120" i="7"/>
  <c r="AV120" i="7"/>
  <c r="AW120" i="7"/>
  <c r="AX120" i="7"/>
  <c r="AY120" i="7"/>
  <c r="AZ120" i="7"/>
  <c r="BA120" i="7"/>
  <c r="BB120" i="7"/>
  <c r="BC120" i="7"/>
  <c r="BD120" i="7"/>
  <c r="BE120" i="7"/>
  <c r="BF120" i="7"/>
  <c r="BG120" i="7"/>
  <c r="BH120" i="7"/>
  <c r="BI120" i="7"/>
  <c r="BJ120" i="7"/>
  <c r="BK120" i="7"/>
  <c r="BL120" i="7"/>
  <c r="BM120" i="7"/>
  <c r="T121" i="7"/>
  <c r="U121" i="7"/>
  <c r="V121" i="7"/>
  <c r="W121" i="7"/>
  <c r="X121" i="7"/>
  <c r="Y121" i="7"/>
  <c r="Z121" i="7"/>
  <c r="AA121" i="7"/>
  <c r="AB121" i="7"/>
  <c r="AC121" i="7"/>
  <c r="AD121" i="7"/>
  <c r="AE121" i="7"/>
  <c r="AF121" i="7"/>
  <c r="AG121" i="7"/>
  <c r="AH121" i="7"/>
  <c r="AI121" i="7"/>
  <c r="AJ121" i="7"/>
  <c r="AK121" i="7"/>
  <c r="AL121" i="7"/>
  <c r="AM121" i="7"/>
  <c r="AN121" i="7"/>
  <c r="AO121" i="7"/>
  <c r="AP121" i="7"/>
  <c r="AQ121" i="7"/>
  <c r="AR121" i="7"/>
  <c r="AS121" i="7"/>
  <c r="AT121" i="7"/>
  <c r="AU121" i="7"/>
  <c r="AV121" i="7"/>
  <c r="AW121" i="7"/>
  <c r="AX121" i="7"/>
  <c r="AY121" i="7"/>
  <c r="AZ121" i="7"/>
  <c r="BA121" i="7"/>
  <c r="BB121" i="7"/>
  <c r="BC121" i="7"/>
  <c r="BD121" i="7"/>
  <c r="BE121" i="7"/>
  <c r="BF121" i="7"/>
  <c r="BG121" i="7"/>
  <c r="BH121" i="7"/>
  <c r="BI121" i="7"/>
  <c r="BJ121" i="7"/>
  <c r="BK121" i="7"/>
  <c r="BL121" i="7"/>
  <c r="BM121" i="7"/>
  <c r="T122" i="7"/>
  <c r="U122" i="7"/>
  <c r="V122" i="7"/>
  <c r="W122" i="7"/>
  <c r="X122" i="7"/>
  <c r="Y122" i="7"/>
  <c r="Z122" i="7"/>
  <c r="AA122" i="7"/>
  <c r="AB122" i="7"/>
  <c r="AC122" i="7"/>
  <c r="AD122" i="7"/>
  <c r="AE122" i="7"/>
  <c r="AF122" i="7"/>
  <c r="AG122" i="7"/>
  <c r="AH122" i="7"/>
  <c r="AI122" i="7"/>
  <c r="AJ122" i="7"/>
  <c r="AK122" i="7"/>
  <c r="AL122" i="7"/>
  <c r="AM122" i="7"/>
  <c r="AN122" i="7"/>
  <c r="AO122" i="7"/>
  <c r="AP122" i="7"/>
  <c r="AQ122" i="7"/>
  <c r="AR122" i="7"/>
  <c r="AS122" i="7"/>
  <c r="AT122" i="7"/>
  <c r="AU122" i="7"/>
  <c r="AV122" i="7"/>
  <c r="AW122" i="7"/>
  <c r="AX122" i="7"/>
  <c r="AY122" i="7"/>
  <c r="AZ122" i="7"/>
  <c r="BA122" i="7"/>
  <c r="BB122" i="7"/>
  <c r="BC122" i="7"/>
  <c r="BD122" i="7"/>
  <c r="BE122" i="7"/>
  <c r="BF122" i="7"/>
  <c r="BG122" i="7"/>
  <c r="BH122" i="7"/>
  <c r="BI122" i="7"/>
  <c r="BJ122" i="7"/>
  <c r="BK122" i="7"/>
  <c r="BL122" i="7"/>
  <c r="BM122" i="7"/>
  <c r="T123" i="7"/>
  <c r="U123" i="7"/>
  <c r="V123" i="7"/>
  <c r="W123" i="7"/>
  <c r="X123" i="7"/>
  <c r="Y123" i="7"/>
  <c r="Z123" i="7"/>
  <c r="AA123" i="7"/>
  <c r="AB123" i="7"/>
  <c r="AC123" i="7"/>
  <c r="AD123" i="7"/>
  <c r="AE123" i="7"/>
  <c r="AF123" i="7"/>
  <c r="AG123" i="7"/>
  <c r="AH123" i="7"/>
  <c r="AI123" i="7"/>
  <c r="AJ123" i="7"/>
  <c r="AK123" i="7"/>
  <c r="AL123" i="7"/>
  <c r="AM123" i="7"/>
  <c r="AN123" i="7"/>
  <c r="AO123" i="7"/>
  <c r="AP123" i="7"/>
  <c r="AQ123" i="7"/>
  <c r="AR123" i="7"/>
  <c r="AS123" i="7"/>
  <c r="AT123" i="7"/>
  <c r="AU123" i="7"/>
  <c r="AV123" i="7"/>
  <c r="AW123" i="7"/>
  <c r="AX123" i="7"/>
  <c r="AY123" i="7"/>
  <c r="AZ123" i="7"/>
  <c r="BA123" i="7"/>
  <c r="BB123" i="7"/>
  <c r="BC123" i="7"/>
  <c r="BD123" i="7"/>
  <c r="BE123" i="7"/>
  <c r="BF123" i="7"/>
  <c r="BG123" i="7"/>
  <c r="BH123" i="7"/>
  <c r="BI123" i="7"/>
  <c r="BJ123" i="7"/>
  <c r="BK123" i="7"/>
  <c r="BL123" i="7"/>
  <c r="BM123" i="7"/>
  <c r="T124" i="7"/>
  <c r="U124" i="7"/>
  <c r="V124" i="7"/>
  <c r="W124" i="7"/>
  <c r="X124" i="7"/>
  <c r="Y124" i="7"/>
  <c r="Z124" i="7"/>
  <c r="AA124" i="7"/>
  <c r="AB124" i="7"/>
  <c r="AC124" i="7"/>
  <c r="AD124" i="7"/>
  <c r="AE124" i="7"/>
  <c r="AF124" i="7"/>
  <c r="AG124" i="7"/>
  <c r="AH124" i="7"/>
  <c r="AI124" i="7"/>
  <c r="AJ124" i="7"/>
  <c r="AK124" i="7"/>
  <c r="AL124" i="7"/>
  <c r="AM124" i="7"/>
  <c r="AN124" i="7"/>
  <c r="AO124" i="7"/>
  <c r="AP124" i="7"/>
  <c r="AQ124" i="7"/>
  <c r="AR124" i="7"/>
  <c r="AS124" i="7"/>
  <c r="AT124" i="7"/>
  <c r="AU124" i="7"/>
  <c r="AV124" i="7"/>
  <c r="AW124" i="7"/>
  <c r="AX124" i="7"/>
  <c r="AY124" i="7"/>
  <c r="AZ124" i="7"/>
  <c r="BA124" i="7"/>
  <c r="BB124" i="7"/>
  <c r="BC124" i="7"/>
  <c r="BD124" i="7"/>
  <c r="BE124" i="7"/>
  <c r="BF124" i="7"/>
  <c r="BG124" i="7"/>
  <c r="BH124" i="7"/>
  <c r="BI124" i="7"/>
  <c r="BJ124" i="7"/>
  <c r="BK124" i="7"/>
  <c r="BL124" i="7"/>
  <c r="BM124" i="7"/>
  <c r="T125" i="7"/>
  <c r="U125" i="7"/>
  <c r="V125" i="7"/>
  <c r="W125" i="7"/>
  <c r="X125" i="7"/>
  <c r="Y125" i="7"/>
  <c r="Z125" i="7"/>
  <c r="AA125" i="7"/>
  <c r="AB125" i="7"/>
  <c r="AC125" i="7"/>
  <c r="AD125" i="7"/>
  <c r="AE125" i="7"/>
  <c r="AF125" i="7"/>
  <c r="AG125" i="7"/>
  <c r="AH125" i="7"/>
  <c r="AI125" i="7"/>
  <c r="AJ125" i="7"/>
  <c r="AK125" i="7"/>
  <c r="AL125" i="7"/>
  <c r="AM125" i="7"/>
  <c r="AN125" i="7"/>
  <c r="AO125" i="7"/>
  <c r="AP125" i="7"/>
  <c r="AQ125" i="7"/>
  <c r="AR125" i="7"/>
  <c r="AS125" i="7"/>
  <c r="AT125" i="7"/>
  <c r="AU125" i="7"/>
  <c r="AV125" i="7"/>
  <c r="AW125" i="7"/>
  <c r="AX125" i="7"/>
  <c r="AY125" i="7"/>
  <c r="AZ125" i="7"/>
  <c r="BA125" i="7"/>
  <c r="BB125" i="7"/>
  <c r="BC125" i="7"/>
  <c r="BD125" i="7"/>
  <c r="BE125" i="7"/>
  <c r="BF125" i="7"/>
  <c r="BG125" i="7"/>
  <c r="BH125" i="7"/>
  <c r="BI125" i="7"/>
  <c r="BJ125" i="7"/>
  <c r="BK125" i="7"/>
  <c r="BL125" i="7"/>
  <c r="BM125" i="7"/>
  <c r="T126" i="7"/>
  <c r="U126" i="7"/>
  <c r="V126" i="7"/>
  <c r="W126" i="7"/>
  <c r="X126" i="7"/>
  <c r="Y126" i="7"/>
  <c r="Z126" i="7"/>
  <c r="AA126" i="7"/>
  <c r="AB126" i="7"/>
  <c r="AC126" i="7"/>
  <c r="AD126" i="7"/>
  <c r="AE126" i="7"/>
  <c r="AF126" i="7"/>
  <c r="AG126" i="7"/>
  <c r="AH126" i="7"/>
  <c r="AI126" i="7"/>
  <c r="AJ126" i="7"/>
  <c r="AK126" i="7"/>
  <c r="AL126" i="7"/>
  <c r="AM126" i="7"/>
  <c r="AN126" i="7"/>
  <c r="AO126" i="7"/>
  <c r="AP126" i="7"/>
  <c r="AQ126" i="7"/>
  <c r="AR126" i="7"/>
  <c r="AS126" i="7"/>
  <c r="AT126" i="7"/>
  <c r="AU126" i="7"/>
  <c r="AV126" i="7"/>
  <c r="AW126" i="7"/>
  <c r="AX126" i="7"/>
  <c r="AY126" i="7"/>
  <c r="AZ126" i="7"/>
  <c r="BA126" i="7"/>
  <c r="BB126" i="7"/>
  <c r="BC126" i="7"/>
  <c r="BD126" i="7"/>
  <c r="BE126" i="7"/>
  <c r="BF126" i="7"/>
  <c r="BG126" i="7"/>
  <c r="BH126" i="7"/>
  <c r="BI126" i="7"/>
  <c r="BJ126" i="7"/>
  <c r="BK126" i="7"/>
  <c r="BL126" i="7"/>
  <c r="BM126" i="7"/>
  <c r="S126" i="7"/>
  <c r="S125" i="7"/>
  <c r="S124" i="7"/>
  <c r="S123" i="7"/>
  <c r="S122" i="7"/>
  <c r="S121" i="7"/>
  <c r="S120" i="7"/>
  <c r="S119" i="7"/>
  <c r="S118" i="7"/>
  <c r="S117" i="7"/>
  <c r="S116" i="7"/>
  <c r="S115" i="7"/>
  <c r="S114" i="7"/>
  <c r="S113" i="7"/>
  <c r="S112" i="7"/>
  <c r="S111" i="7"/>
  <c r="S110" i="7"/>
  <c r="S109" i="7"/>
  <c r="S108" i="7"/>
  <c r="S107" i="7"/>
  <c r="S106" i="7"/>
  <c r="S105" i="7"/>
  <c r="S104" i="7"/>
  <c r="S103" i="7"/>
  <c r="S102" i="7"/>
  <c r="S101" i="7"/>
  <c r="S100" i="7"/>
  <c r="S99" i="7"/>
  <c r="S98" i="7"/>
  <c r="S97" i="7"/>
  <c r="S96" i="7"/>
  <c r="S95" i="7"/>
  <c r="S94" i="7"/>
  <c r="S93" i="7"/>
  <c r="S92" i="7"/>
  <c r="S91" i="7"/>
  <c r="S90" i="7"/>
  <c r="S89" i="7"/>
  <c r="S88" i="7"/>
  <c r="S87" i="7"/>
  <c r="S86" i="7"/>
  <c r="S85" i="7"/>
  <c r="S84" i="7"/>
  <c r="S83" i="7"/>
  <c r="S82" i="7"/>
  <c r="S81" i="7"/>
  <c r="S80" i="7"/>
  <c r="S79" i="7"/>
  <c r="S78" i="7"/>
  <c r="S77" i="7"/>
  <c r="S76" i="7"/>
  <c r="S75" i="7"/>
  <c r="S74" i="7"/>
  <c r="S73" i="7"/>
  <c r="S72" i="7"/>
  <c r="S71" i="7"/>
  <c r="S70" i="7"/>
  <c r="S69" i="7"/>
  <c r="S68" i="7"/>
  <c r="S67" i="7"/>
  <c r="S66" i="7"/>
  <c r="S65" i="7"/>
  <c r="S64" i="7"/>
  <c r="S63" i="7"/>
  <c r="S62" i="7"/>
  <c r="S61" i="7"/>
  <c r="S60" i="7"/>
  <c r="S59" i="7"/>
  <c r="S58" i="7"/>
  <c r="S57" i="7"/>
  <c r="S56" i="7"/>
  <c r="S55" i="7"/>
  <c r="S54" i="7"/>
  <c r="S53" i="7"/>
  <c r="S52" i="7"/>
  <c r="S51" i="7"/>
  <c r="S50" i="7"/>
  <c r="S49" i="7"/>
  <c r="S48" i="7"/>
  <c r="S47" i="7"/>
  <c r="S46" i="7"/>
  <c r="S45" i="7"/>
  <c r="S44" i="7"/>
  <c r="S43" i="7"/>
  <c r="S42" i="7"/>
  <c r="S41" i="7"/>
  <c r="S40" i="7"/>
  <c r="S39" i="7"/>
  <c r="S38" i="7"/>
  <c r="S37" i="7"/>
  <c r="S36" i="7"/>
  <c r="S35" i="7"/>
  <c r="S34" i="7"/>
  <c r="S33" i="7"/>
  <c r="S32" i="7"/>
  <c r="S31" i="7"/>
  <c r="S30" i="7"/>
  <c r="S29" i="7"/>
  <c r="S28" i="7"/>
  <c r="S27" i="7"/>
  <c r="S26" i="7"/>
  <c r="S25" i="7"/>
  <c r="S24" i="7"/>
  <c r="S23" i="7"/>
  <c r="S22" i="7"/>
  <c r="S21" i="7"/>
  <c r="S20" i="7"/>
  <c r="S19" i="7"/>
  <c r="S18" i="7"/>
  <c r="S17" i="7"/>
  <c r="S16" i="7"/>
  <c r="S15" i="7"/>
  <c r="S14" i="7"/>
  <c r="S13" i="7"/>
  <c r="S12" i="7"/>
  <c r="S11" i="7"/>
  <c r="S10" i="7"/>
  <c r="S9" i="7"/>
  <c r="S8" i="7"/>
  <c r="S7" i="7"/>
  <c r="S6" i="7"/>
  <c r="S5" i="7"/>
  <c r="J126" i="7"/>
  <c r="J12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J79" i="7"/>
  <c r="J80" i="7"/>
  <c r="J81" i="7"/>
  <c r="J82" i="7"/>
  <c r="J83" i="7"/>
  <c r="J84" i="7"/>
  <c r="J85" i="7"/>
  <c r="J86" i="7"/>
  <c r="J87" i="7"/>
  <c r="J88" i="7"/>
  <c r="J89" i="7"/>
  <c r="J90" i="7"/>
  <c r="J91" i="7"/>
  <c r="J92" i="7"/>
  <c r="J93" i="7"/>
  <c r="J94" i="7"/>
  <c r="J95" i="7"/>
  <c r="J96" i="7"/>
  <c r="J97" i="7"/>
  <c r="J98" i="7"/>
  <c r="J99" i="7"/>
  <c r="J100" i="7"/>
  <c r="J101" i="7"/>
  <c r="J102" i="7"/>
  <c r="J103" i="7"/>
  <c r="J104" i="7"/>
  <c r="J105" i="7"/>
  <c r="J106" i="7"/>
  <c r="J107" i="7"/>
  <c r="J108" i="7"/>
  <c r="J109" i="7"/>
  <c r="J110" i="7"/>
  <c r="J111" i="7"/>
  <c r="J112" i="7"/>
  <c r="J113" i="7"/>
  <c r="J114" i="7"/>
  <c r="J115" i="7"/>
  <c r="J116" i="7"/>
  <c r="J117" i="7"/>
  <c r="J118" i="7"/>
  <c r="J119" i="7"/>
  <c r="J120" i="7"/>
  <c r="J121" i="7"/>
  <c r="J122" i="7"/>
  <c r="J123" i="7"/>
  <c r="J124" i="7"/>
  <c r="J5" i="7"/>
  <c r="U203" i="10"/>
  <c r="U202" i="10"/>
  <c r="U201" i="10"/>
  <c r="U200" i="10"/>
  <c r="U199" i="10"/>
  <c r="U198" i="10"/>
  <c r="U197" i="10"/>
  <c r="U196" i="10"/>
  <c r="U195" i="10"/>
  <c r="U194" i="10"/>
  <c r="U193" i="10"/>
  <c r="U192" i="10"/>
  <c r="U191" i="10"/>
  <c r="U190" i="10"/>
  <c r="U189" i="10"/>
  <c r="U188" i="10"/>
  <c r="U187" i="10"/>
  <c r="U186" i="10"/>
  <c r="U185" i="10"/>
  <c r="U184" i="10"/>
  <c r="U183" i="10"/>
  <c r="U182" i="10"/>
  <c r="U181" i="10"/>
  <c r="U180" i="10"/>
  <c r="U179" i="10"/>
  <c r="U178" i="10"/>
  <c r="U177" i="10"/>
  <c r="U176" i="10"/>
  <c r="U175" i="10"/>
  <c r="U174" i="10"/>
  <c r="U173" i="10"/>
  <c r="U172" i="10"/>
  <c r="U171" i="10"/>
  <c r="U170" i="10"/>
  <c r="U169" i="10"/>
  <c r="U168" i="10"/>
  <c r="U167" i="10"/>
  <c r="U166" i="10"/>
  <c r="U165" i="10"/>
  <c r="U164" i="10"/>
  <c r="U163" i="10"/>
  <c r="U162" i="10"/>
  <c r="U161" i="10"/>
  <c r="U160" i="10"/>
  <c r="U159" i="10"/>
  <c r="U158" i="10"/>
  <c r="U157" i="10"/>
  <c r="U156" i="10"/>
  <c r="U155" i="10"/>
  <c r="U154" i="10"/>
  <c r="U153" i="10"/>
  <c r="U152" i="10"/>
  <c r="U151" i="10"/>
  <c r="U150" i="10"/>
  <c r="U149" i="10"/>
  <c r="U148" i="10"/>
  <c r="U147" i="10"/>
  <c r="U146" i="10"/>
  <c r="U145" i="10"/>
  <c r="U144" i="10"/>
  <c r="U143" i="10"/>
  <c r="U142" i="10"/>
  <c r="U141" i="10"/>
  <c r="U140" i="10"/>
  <c r="U139" i="10"/>
  <c r="U138" i="10"/>
  <c r="U137" i="10"/>
  <c r="U136" i="10"/>
  <c r="U135" i="10"/>
  <c r="U134" i="10"/>
  <c r="U133" i="10"/>
  <c r="U132" i="10"/>
  <c r="U131" i="10"/>
  <c r="U130" i="10"/>
  <c r="U129" i="10"/>
  <c r="U128" i="10"/>
  <c r="U127" i="10"/>
  <c r="U126" i="10"/>
  <c r="U125" i="10"/>
  <c r="U124" i="10"/>
  <c r="U123" i="10"/>
  <c r="U122" i="10"/>
  <c r="U121" i="10"/>
  <c r="U120" i="10"/>
  <c r="U119" i="10"/>
  <c r="U118" i="10"/>
  <c r="U117" i="10"/>
  <c r="U116" i="10"/>
  <c r="U115" i="10"/>
  <c r="U114" i="10"/>
  <c r="U113" i="10"/>
  <c r="U112" i="10"/>
  <c r="U111" i="10"/>
  <c r="U110" i="10"/>
  <c r="U109" i="10"/>
  <c r="U108" i="10"/>
  <c r="U107" i="10"/>
  <c r="U106" i="10"/>
  <c r="U105" i="10"/>
  <c r="B7" i="10"/>
  <c r="I108" i="10" s="1"/>
  <c r="J4" i="10"/>
  <c r="DJ5" i="14"/>
  <c r="DI5" i="14"/>
  <c r="DH5" i="14"/>
  <c r="DG5" i="14"/>
  <c r="DF5" i="14"/>
  <c r="DE5" i="14"/>
  <c r="DD5" i="14"/>
  <c r="DC5" i="14"/>
  <c r="DB5" i="14"/>
  <c r="DA5" i="14"/>
  <c r="CZ5" i="14"/>
  <c r="CY5" i="14"/>
  <c r="CX5" i="14"/>
  <c r="CW5" i="14"/>
  <c r="CV5" i="14"/>
  <c r="CU5" i="14"/>
  <c r="CT5" i="14"/>
  <c r="CS5" i="14"/>
  <c r="CR5" i="14"/>
  <c r="CQ5" i="14"/>
  <c r="CP5" i="14"/>
  <c r="CO5" i="14"/>
  <c r="CN5" i="14"/>
  <c r="CM5" i="14"/>
  <c r="CL5" i="14"/>
  <c r="CK5" i="14"/>
  <c r="CJ5" i="14"/>
  <c r="CI5" i="14"/>
  <c r="CH5" i="14"/>
  <c r="CG5" i="14"/>
  <c r="CF5" i="14"/>
  <c r="CE5" i="14"/>
  <c r="CD5" i="14"/>
  <c r="CC5" i="14"/>
  <c r="CB5" i="14"/>
  <c r="CA5" i="14"/>
  <c r="BZ5" i="14"/>
  <c r="BY5" i="14"/>
  <c r="BX5" i="14"/>
  <c r="BW5" i="14"/>
  <c r="BV5" i="14"/>
  <c r="BU5" i="14"/>
  <c r="BT5" i="14"/>
  <c r="BS5" i="14"/>
  <c r="BR5" i="14"/>
  <c r="BQ5" i="14"/>
  <c r="BP5" i="14"/>
  <c r="BO5" i="14"/>
  <c r="BN5" i="14"/>
  <c r="BM5" i="14"/>
  <c r="BL5" i="14"/>
  <c r="BK5" i="14"/>
  <c r="BJ5" i="14"/>
  <c r="BI5" i="14"/>
  <c r="BH5" i="14"/>
  <c r="BG5" i="14"/>
  <c r="BF5" i="14"/>
  <c r="BE5" i="14"/>
  <c r="BD5" i="14"/>
  <c r="BC5" i="14"/>
  <c r="BB5" i="14"/>
  <c r="BA5" i="14"/>
  <c r="AZ5" i="14"/>
  <c r="AY5" i="14"/>
  <c r="AX5" i="14"/>
  <c r="AW5" i="14"/>
  <c r="AV5" i="14"/>
  <c r="AU5" i="14"/>
  <c r="AT5" i="14"/>
  <c r="AS5" i="14"/>
  <c r="AR5" i="14"/>
  <c r="AQ5" i="14"/>
  <c r="AP5" i="14"/>
  <c r="AO5" i="14"/>
  <c r="AN5" i="14"/>
  <c r="AM5" i="14"/>
  <c r="AL5" i="14"/>
  <c r="AK5" i="14"/>
  <c r="AJ5" i="14"/>
  <c r="AI5" i="14"/>
  <c r="AH5" i="14"/>
  <c r="AG5" i="14"/>
  <c r="AF5" i="14"/>
  <c r="AE5" i="14"/>
  <c r="AD5" i="14"/>
  <c r="AC5" i="14"/>
  <c r="AB5" i="14"/>
  <c r="AA5" i="14"/>
  <c r="Z5" i="14"/>
  <c r="Y5" i="14"/>
  <c r="X5" i="14"/>
  <c r="W5" i="14"/>
  <c r="V5" i="14"/>
  <c r="U5" i="14"/>
  <c r="T5" i="14"/>
  <c r="S5" i="14"/>
  <c r="R5" i="14"/>
  <c r="Q5" i="14"/>
  <c r="P5" i="14"/>
  <c r="O5" i="14"/>
  <c r="B5" i="14"/>
  <c r="G94" i="14" s="1"/>
  <c r="H4" i="14"/>
  <c r="N68" i="6"/>
  <c r="M68" i="6"/>
  <c r="L68" i="6"/>
  <c r="N67" i="6"/>
  <c r="M67" i="6"/>
  <c r="L67" i="6"/>
  <c r="N66" i="6"/>
  <c r="M66" i="6"/>
  <c r="L66" i="6"/>
  <c r="N65" i="6"/>
  <c r="M65" i="6"/>
  <c r="L65" i="6"/>
  <c r="N64" i="6"/>
  <c r="M64" i="6"/>
  <c r="L64" i="6"/>
  <c r="N63" i="6"/>
  <c r="M63" i="6"/>
  <c r="L63" i="6"/>
  <c r="N62" i="6"/>
  <c r="M62" i="6"/>
  <c r="L62" i="6"/>
  <c r="N61" i="6"/>
  <c r="M61" i="6"/>
  <c r="L61" i="6"/>
  <c r="N60" i="6"/>
  <c r="M60" i="6"/>
  <c r="L60" i="6"/>
  <c r="N59" i="6"/>
  <c r="M59" i="6"/>
  <c r="L59" i="6"/>
  <c r="N58" i="6"/>
  <c r="M58" i="6"/>
  <c r="L58" i="6"/>
  <c r="N57" i="6"/>
  <c r="M57" i="6"/>
  <c r="L57" i="6"/>
  <c r="N56" i="6"/>
  <c r="M56" i="6"/>
  <c r="L56" i="6"/>
  <c r="N55" i="6"/>
  <c r="M55" i="6"/>
  <c r="L55" i="6"/>
  <c r="N54" i="6"/>
  <c r="M54" i="6"/>
  <c r="L54" i="6"/>
  <c r="N53" i="6"/>
  <c r="M53" i="6"/>
  <c r="L53" i="6"/>
  <c r="N52" i="6"/>
  <c r="M52" i="6"/>
  <c r="L52" i="6"/>
  <c r="N51" i="6"/>
  <c r="M51" i="6"/>
  <c r="L51" i="6"/>
  <c r="N50" i="6"/>
  <c r="M50" i="6"/>
  <c r="L50" i="6"/>
  <c r="N49" i="6"/>
  <c r="M49" i="6"/>
  <c r="L49" i="6"/>
  <c r="N48" i="6"/>
  <c r="M48" i="6"/>
  <c r="L48" i="6"/>
  <c r="N47" i="6"/>
  <c r="M47" i="6"/>
  <c r="L47" i="6"/>
  <c r="N46" i="6"/>
  <c r="M46" i="6"/>
  <c r="L46" i="6"/>
  <c r="N45" i="6"/>
  <c r="M45" i="6"/>
  <c r="L45" i="6"/>
  <c r="N44" i="6"/>
  <c r="M44" i="6"/>
  <c r="L44" i="6"/>
  <c r="N43" i="6"/>
  <c r="M43" i="6"/>
  <c r="L43" i="6"/>
  <c r="N42" i="6"/>
  <c r="M42" i="6"/>
  <c r="L42" i="6"/>
  <c r="N41" i="6"/>
  <c r="M41" i="6"/>
  <c r="L41" i="6"/>
  <c r="N40" i="6"/>
  <c r="M40" i="6"/>
  <c r="L40" i="6"/>
  <c r="N39" i="6"/>
  <c r="M39" i="6"/>
  <c r="L39" i="6"/>
  <c r="N38" i="6"/>
  <c r="M38" i="6"/>
  <c r="L38" i="6"/>
  <c r="N37" i="6"/>
  <c r="M37" i="6"/>
  <c r="L37" i="6"/>
  <c r="N36" i="6"/>
  <c r="M36" i="6"/>
  <c r="L36" i="6"/>
  <c r="N35" i="6"/>
  <c r="M35" i="6"/>
  <c r="L35" i="6"/>
  <c r="N34" i="6"/>
  <c r="M34" i="6"/>
  <c r="L34" i="6"/>
  <c r="N33" i="6"/>
  <c r="M33" i="6"/>
  <c r="L33" i="6"/>
  <c r="N32" i="6"/>
  <c r="M32" i="6"/>
  <c r="L32" i="6"/>
  <c r="N31" i="6"/>
  <c r="M31" i="6"/>
  <c r="L31" i="6"/>
  <c r="N30" i="6"/>
  <c r="M30" i="6"/>
  <c r="L30" i="6"/>
  <c r="N29" i="6"/>
  <c r="M29" i="6"/>
  <c r="L29" i="6"/>
  <c r="N28" i="6"/>
  <c r="M28" i="6"/>
  <c r="L28" i="6"/>
  <c r="N27" i="6"/>
  <c r="M27" i="6"/>
  <c r="L27" i="6"/>
  <c r="N26" i="6"/>
  <c r="M26" i="6"/>
  <c r="L26" i="6"/>
  <c r="D26" i="6"/>
  <c r="N25" i="6"/>
  <c r="M25" i="6"/>
  <c r="L25" i="6"/>
  <c r="N24" i="6"/>
  <c r="M24" i="6"/>
  <c r="L24" i="6"/>
  <c r="N23" i="6"/>
  <c r="M23" i="6"/>
  <c r="L23" i="6"/>
  <c r="N22" i="6"/>
  <c r="M22" i="6"/>
  <c r="L22" i="6"/>
  <c r="B22" i="6"/>
  <c r="N21" i="6"/>
  <c r="M21" i="6"/>
  <c r="L21" i="6"/>
  <c r="N20" i="6"/>
  <c r="M20" i="6"/>
  <c r="L20" i="6"/>
  <c r="N19" i="6"/>
  <c r="M19" i="6"/>
  <c r="L19" i="6"/>
  <c r="A19" i="6"/>
  <c r="N18" i="6"/>
  <c r="M18" i="6"/>
  <c r="L18" i="6"/>
  <c r="A18" i="6"/>
  <c r="N17" i="6"/>
  <c r="M17" i="6"/>
  <c r="L17" i="6"/>
  <c r="A17" i="6"/>
  <c r="N16" i="6"/>
  <c r="M16" i="6"/>
  <c r="L16" i="6"/>
  <c r="N15" i="6"/>
  <c r="M15" i="6"/>
  <c r="L15" i="6"/>
  <c r="N14" i="6"/>
  <c r="M14" i="6"/>
  <c r="L14" i="6"/>
  <c r="N13" i="6"/>
  <c r="M13" i="6"/>
  <c r="L13" i="6"/>
  <c r="N12" i="6"/>
  <c r="M12" i="6"/>
  <c r="L12" i="6"/>
  <c r="N11" i="6"/>
  <c r="M11" i="6"/>
  <c r="L11" i="6"/>
  <c r="N10" i="6"/>
  <c r="M10" i="6"/>
  <c r="L10" i="6"/>
  <c r="N9" i="6"/>
  <c r="M9" i="6"/>
  <c r="L9" i="6"/>
  <c r="N7" i="6"/>
  <c r="D16" i="6" s="1"/>
  <c r="C25" i="6" s="1"/>
  <c r="M7" i="6"/>
  <c r="C16" i="6" s="1"/>
  <c r="L7" i="6"/>
  <c r="B16" i="6" s="1"/>
  <c r="B12" i="5"/>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B7" i="2"/>
  <c r="F6" i="2"/>
  <c r="I5" i="2"/>
  <c r="B15" i="2" s="1"/>
  <c r="F5" i="2"/>
  <c r="B10" i="3"/>
  <c r="B7" i="3"/>
  <c r="B18" i="5" a="1"/>
  <c r="B66" i="5" a="1"/>
  <c r="B92" i="5" a="1"/>
  <c r="B80" i="5" a="1"/>
  <c r="B26" i="5" a="1"/>
  <c r="B40" i="5" a="1"/>
  <c r="B51" i="5" a="1"/>
  <c r="B39" i="5" a="1"/>
  <c r="B105" i="5" a="1"/>
  <c r="B101" i="5" a="1"/>
  <c r="B45" i="5" a="1"/>
  <c r="B132" i="5" a="1"/>
  <c r="B68" i="5" a="1"/>
  <c r="B73" i="5" a="1"/>
  <c r="B35" i="5" a="1"/>
  <c r="B53" i="5" a="1"/>
  <c r="B114" i="5" a="1"/>
  <c r="B56" i="5" a="1"/>
  <c r="B125" i="5" a="1"/>
  <c r="B113" i="5" a="1"/>
  <c r="B103" i="5" a="1"/>
  <c r="B108" i="5" a="1"/>
  <c r="B81" i="5" a="1"/>
  <c r="B54" i="5" a="1"/>
  <c r="B98" i="5" a="1"/>
  <c r="B71" i="5" a="1"/>
  <c r="B24" i="5" a="1"/>
  <c r="B87" i="5" a="1"/>
  <c r="B42" i="5" a="1"/>
  <c r="B94" i="5" a="1"/>
  <c r="B28" i="5" a="1"/>
  <c r="B41" i="5" a="1"/>
  <c r="B27" i="5" a="1"/>
  <c r="B111" i="5" a="1"/>
  <c r="B69" i="5" a="1"/>
  <c r="B29" i="5" a="1"/>
  <c r="B34" i="5" a="1"/>
  <c r="B99" i="5" a="1"/>
  <c r="B58" i="5" a="1"/>
  <c r="B86" i="5" a="1"/>
  <c r="B109" i="5" a="1"/>
  <c r="B47" i="5" a="1"/>
  <c r="B120" i="5" a="1"/>
  <c r="B59" i="5" a="1"/>
  <c r="B63" i="5" a="1"/>
  <c r="B96" i="5" a="1"/>
  <c r="B110" i="5" a="1"/>
  <c r="B131" i="5" a="1"/>
  <c r="B21" i="5" a="1"/>
  <c r="B90" i="5" a="1"/>
  <c r="B64" i="5" a="1"/>
  <c r="B116" i="5" a="1"/>
  <c r="B57" i="5" a="1"/>
  <c r="B38" i="5" a="1"/>
  <c r="B106" i="5" a="1"/>
  <c r="B17" i="5" a="1"/>
  <c r="B130" i="5" a="1"/>
  <c r="B31" i="5" a="1"/>
  <c r="B82" i="5" a="1"/>
  <c r="B104" i="5" a="1"/>
  <c r="B126" i="5" a="1"/>
  <c r="B97" i="5" a="1"/>
  <c r="B88" i="5" a="1"/>
  <c r="B124" i="5" a="1"/>
  <c r="B112" i="5" a="1"/>
  <c r="B30" i="5" a="1"/>
  <c r="B14" i="5" a="1"/>
  <c r="B119" i="5" a="1"/>
  <c r="B95" i="5" a="1"/>
  <c r="B20" i="5" a="1"/>
  <c r="B15" i="5" a="1"/>
  <c r="B32" i="5" a="1"/>
  <c r="B37" i="5" a="1"/>
  <c r="B43" i="5" a="1"/>
  <c r="B85" i="5" a="1"/>
  <c r="B46" i="5" a="1"/>
  <c r="B19" i="5" a="1"/>
  <c r="B89" i="5" a="1"/>
  <c r="B93" i="5" a="1"/>
  <c r="B127" i="5" a="1"/>
  <c r="B79" i="5" a="1"/>
  <c r="B23" i="5" a="1"/>
  <c r="B84" i="5" a="1"/>
  <c r="B55" i="5" a="1"/>
  <c r="B129" i="5" a="1"/>
  <c r="B75" i="5" a="1"/>
  <c r="B117" i="5" a="1"/>
  <c r="B83" i="5" a="1"/>
  <c r="B60" i="5" a="1"/>
  <c r="B102" i="5" a="1"/>
  <c r="B50" i="5" a="1"/>
  <c r="B70" i="5" a="1"/>
  <c r="B25" i="5" a="1"/>
  <c r="B128" i="5" a="1"/>
  <c r="B52" i="5" a="1"/>
  <c r="B61" i="5" a="1"/>
  <c r="B91" i="5" a="1"/>
  <c r="B122" i="5" a="1"/>
  <c r="B67" i="5" a="1"/>
  <c r="B36" i="5" a="1"/>
  <c r="B118" i="5" a="1"/>
  <c r="B100" i="5" a="1"/>
  <c r="B74" i="5" a="1"/>
  <c r="B123" i="5" a="1"/>
  <c r="B72" i="5" a="1"/>
  <c r="B44" i="5" a="1"/>
  <c r="B22" i="5" a="1"/>
  <c r="B76" i="5" a="1"/>
  <c r="B49" i="5" a="1"/>
  <c r="B62" i="5" a="1"/>
  <c r="B13" i="5" a="1"/>
  <c r="B121" i="5" a="1"/>
  <c r="B16" i="5" a="1"/>
  <c r="B107" i="5" a="1"/>
  <c r="B65" i="5" a="1"/>
  <c r="B115" i="5" a="1"/>
  <c r="B78" i="5" a="1"/>
  <c r="B33" i="5" a="1"/>
  <c r="B48" i="5" a="1"/>
  <c r="B77" i="5" a="1"/>
  <c r="I6" i="2" l="1"/>
  <c r="I7" i="2" s="1"/>
  <c r="I8" i="2" s="1"/>
  <c r="I9" i="2" s="1"/>
  <c r="W6" i="14"/>
  <c r="W7" i="14" s="1"/>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AG6" i="14"/>
  <c r="AG7" i="14" s="1"/>
  <c r="AG8" i="14" s="1"/>
  <c r="AG9" i="14" s="1"/>
  <c r="AG10" i="14" s="1"/>
  <c r="AG11" i="14" s="1"/>
  <c r="AG12" i="14" s="1"/>
  <c r="AG13" i="14" s="1"/>
  <c r="AG14" i="14" s="1"/>
  <c r="AG15" i="14" s="1"/>
  <c r="AG16" i="14" s="1"/>
  <c r="AG17" i="14" s="1"/>
  <c r="AG18" i="14" s="1"/>
  <c r="AG19" i="14" s="1"/>
  <c r="AG20" i="14" s="1"/>
  <c r="AG21" i="14" s="1"/>
  <c r="AG22" i="14" s="1"/>
  <c r="AG23" i="14" s="1"/>
  <c r="AG24" i="14" s="1"/>
  <c r="AG25" i="14" s="1"/>
  <c r="AG26" i="14" s="1"/>
  <c r="AG27" i="14" s="1"/>
  <c r="AG28" i="14" s="1"/>
  <c r="AG29" i="14" s="1"/>
  <c r="AG30" i="14" s="1"/>
  <c r="AG31" i="14" s="1"/>
  <c r="AG32" i="14" s="1"/>
  <c r="AG33" i="14" s="1"/>
  <c r="AG34" i="14" s="1"/>
  <c r="AG35" i="14" s="1"/>
  <c r="AG36" i="14" s="1"/>
  <c r="AG37" i="14" s="1"/>
  <c r="AG38" i="14" s="1"/>
  <c r="AG39" i="14" s="1"/>
  <c r="AG40" i="14" s="1"/>
  <c r="AG41" i="14" s="1"/>
  <c r="AG42" i="14" s="1"/>
  <c r="AG43" i="14" s="1"/>
  <c r="AG44" i="14" s="1"/>
  <c r="AG45" i="14" s="1"/>
  <c r="AG46" i="14" s="1"/>
  <c r="AG47" i="14" s="1"/>
  <c r="AG48" i="14" s="1"/>
  <c r="AG49" i="14" s="1"/>
  <c r="AG50" i="14" s="1"/>
  <c r="AG51" i="14" s="1"/>
  <c r="AG52" i="14" s="1"/>
  <c r="AG53" i="14" s="1"/>
  <c r="AG54" i="14" s="1"/>
  <c r="AG55" i="14" s="1"/>
  <c r="AG56" i="14" s="1"/>
  <c r="AG57" i="14" s="1"/>
  <c r="AG58" i="14" s="1"/>
  <c r="AG59" i="14" s="1"/>
  <c r="AG60" i="14" s="1"/>
  <c r="AG61" i="14" s="1"/>
  <c r="AG62" i="14" s="1"/>
  <c r="AG63" i="14" s="1"/>
  <c r="AG64" i="14" s="1"/>
  <c r="AG65" i="14" s="1"/>
  <c r="AG66" i="14" s="1"/>
  <c r="AG67" i="14" s="1"/>
  <c r="AG68" i="14" s="1"/>
  <c r="AG69" i="14" s="1"/>
  <c r="AG70" i="14" s="1"/>
  <c r="AG71" i="14" s="1"/>
  <c r="AG72" i="14" s="1"/>
  <c r="AG73" i="14" s="1"/>
  <c r="AG74" i="14" s="1"/>
  <c r="AG75" i="14" s="1"/>
  <c r="AG76" i="14" s="1"/>
  <c r="AG77" i="14" s="1"/>
  <c r="AG78" i="14" s="1"/>
  <c r="AG79" i="14" s="1"/>
  <c r="AG80" i="14" s="1"/>
  <c r="AG81" i="14" s="1"/>
  <c r="AG82" i="14" s="1"/>
  <c r="AG83" i="14" s="1"/>
  <c r="AG84" i="14" s="1"/>
  <c r="AG85" i="14" s="1"/>
  <c r="AG86" i="14" s="1"/>
  <c r="AG87" i="14" s="1"/>
  <c r="AG88" i="14" s="1"/>
  <c r="AG89" i="14" s="1"/>
  <c r="AG90" i="14" s="1"/>
  <c r="AG91" i="14" s="1"/>
  <c r="AG92" i="14" s="1"/>
  <c r="AG93" i="14" s="1"/>
  <c r="AG94" i="14" s="1"/>
  <c r="AG95" i="14" s="1"/>
  <c r="AG96" i="14" s="1"/>
  <c r="AG97" i="14" s="1"/>
  <c r="AG98" i="14" s="1"/>
  <c r="AG99" i="14" s="1"/>
  <c r="AG100" i="14" s="1"/>
  <c r="AG101" i="14" s="1"/>
  <c r="AG102" i="14" s="1"/>
  <c r="AG103" i="14" s="1"/>
  <c r="AG104" i="14" s="1"/>
  <c r="AG105" i="14" s="1"/>
  <c r="AG106" i="14" s="1"/>
  <c r="AG107" i="14" s="1"/>
  <c r="AG108" i="14" s="1"/>
  <c r="AG109" i="14" s="1"/>
  <c r="AG110" i="14" s="1"/>
  <c r="AG111" i="14" s="1"/>
  <c r="AG112" i="14" s="1"/>
  <c r="AG113" i="14" s="1"/>
  <c r="AG114" i="14" s="1"/>
  <c r="AG115" i="14" s="1"/>
  <c r="AG116" i="14" s="1"/>
  <c r="AG117" i="14" s="1"/>
  <c r="AG118" i="14" s="1"/>
  <c r="AG119" i="14" s="1"/>
  <c r="AG120" i="14" s="1"/>
  <c r="AG121" i="14" s="1"/>
  <c r="AG122" i="14" s="1"/>
  <c r="AG123" i="14" s="1"/>
  <c r="AG124" i="14" s="1"/>
  <c r="AQ6" i="14"/>
  <c r="AQ7" i="14" s="1"/>
  <c r="AQ8" i="14" s="1"/>
  <c r="AQ9" i="14" s="1"/>
  <c r="AQ10" i="14" s="1"/>
  <c r="AQ11" i="14" s="1"/>
  <c r="AQ12" i="14" s="1"/>
  <c r="AQ13" i="14" s="1"/>
  <c r="AQ14" i="14" s="1"/>
  <c r="AQ15" i="14" s="1"/>
  <c r="AQ16" i="14" s="1"/>
  <c r="AQ17" i="14" s="1"/>
  <c r="AQ18" i="14" s="1"/>
  <c r="AQ19" i="14" s="1"/>
  <c r="AQ20" i="14" s="1"/>
  <c r="AQ21" i="14" s="1"/>
  <c r="AQ22" i="14" s="1"/>
  <c r="AQ23" i="14" s="1"/>
  <c r="AQ24" i="14" s="1"/>
  <c r="AQ25" i="14" s="1"/>
  <c r="AQ26" i="14" s="1"/>
  <c r="AQ27" i="14" s="1"/>
  <c r="AQ28" i="14" s="1"/>
  <c r="AQ29" i="14" s="1"/>
  <c r="AQ30" i="14" s="1"/>
  <c r="AQ31" i="14" s="1"/>
  <c r="AQ32" i="14" s="1"/>
  <c r="AQ33" i="14" s="1"/>
  <c r="AQ34" i="14" s="1"/>
  <c r="AQ35" i="14" s="1"/>
  <c r="AQ36" i="14" s="1"/>
  <c r="AQ37" i="14" s="1"/>
  <c r="AQ38" i="14" s="1"/>
  <c r="AQ39" i="14" s="1"/>
  <c r="AQ40" i="14" s="1"/>
  <c r="AQ41" i="14" s="1"/>
  <c r="AQ42" i="14" s="1"/>
  <c r="AQ43" i="14" s="1"/>
  <c r="AQ44" i="14" s="1"/>
  <c r="AQ45" i="14" s="1"/>
  <c r="AQ46" i="14" s="1"/>
  <c r="AQ47" i="14" s="1"/>
  <c r="AQ48" i="14" s="1"/>
  <c r="AQ49" i="14" s="1"/>
  <c r="AQ50" i="14" s="1"/>
  <c r="AQ51" i="14" s="1"/>
  <c r="AQ52" i="14" s="1"/>
  <c r="AQ53" i="14" s="1"/>
  <c r="AQ54" i="14" s="1"/>
  <c r="AQ55" i="14" s="1"/>
  <c r="AQ56" i="14" s="1"/>
  <c r="AQ57" i="14" s="1"/>
  <c r="AQ58" i="14" s="1"/>
  <c r="AQ59" i="14" s="1"/>
  <c r="AQ60" i="14" s="1"/>
  <c r="AQ61" i="14" s="1"/>
  <c r="AQ62" i="14" s="1"/>
  <c r="AQ63" i="14" s="1"/>
  <c r="AQ64" i="14" s="1"/>
  <c r="AQ65" i="14" s="1"/>
  <c r="AQ66" i="14" s="1"/>
  <c r="AQ67" i="14" s="1"/>
  <c r="AQ68" i="14" s="1"/>
  <c r="AQ69" i="14" s="1"/>
  <c r="AQ70" i="14" s="1"/>
  <c r="AQ71" i="14" s="1"/>
  <c r="AQ72" i="14" s="1"/>
  <c r="AQ73" i="14" s="1"/>
  <c r="AQ74" i="14" s="1"/>
  <c r="AQ75" i="14" s="1"/>
  <c r="AQ76" i="14" s="1"/>
  <c r="AQ77" i="14" s="1"/>
  <c r="AQ78" i="14" s="1"/>
  <c r="AQ79" i="14" s="1"/>
  <c r="AQ80" i="14" s="1"/>
  <c r="AQ81" i="14" s="1"/>
  <c r="AQ82" i="14" s="1"/>
  <c r="AQ83" i="14" s="1"/>
  <c r="AQ84" i="14" s="1"/>
  <c r="AQ85" i="14" s="1"/>
  <c r="AQ86" i="14" s="1"/>
  <c r="AQ87" i="14" s="1"/>
  <c r="AQ88" i="14" s="1"/>
  <c r="AQ89" i="14" s="1"/>
  <c r="AQ90" i="14" s="1"/>
  <c r="AQ91" i="14" s="1"/>
  <c r="AQ92" i="14" s="1"/>
  <c r="AQ93" i="14" s="1"/>
  <c r="AQ94" i="14" s="1"/>
  <c r="AQ95" i="14" s="1"/>
  <c r="AQ96" i="14" s="1"/>
  <c r="AQ97" i="14" s="1"/>
  <c r="AQ98" i="14" s="1"/>
  <c r="AQ99" i="14" s="1"/>
  <c r="AQ100" i="14" s="1"/>
  <c r="AQ101" i="14" s="1"/>
  <c r="AQ102" i="14" s="1"/>
  <c r="AQ103" i="14" s="1"/>
  <c r="AQ104" i="14" s="1"/>
  <c r="AQ105" i="14" s="1"/>
  <c r="AQ106" i="14" s="1"/>
  <c r="AQ107" i="14" s="1"/>
  <c r="AQ108" i="14" s="1"/>
  <c r="AQ109" i="14" s="1"/>
  <c r="AQ110" i="14" s="1"/>
  <c r="AQ111" i="14" s="1"/>
  <c r="AQ112" i="14" s="1"/>
  <c r="AQ113" i="14" s="1"/>
  <c r="AQ114" i="14" s="1"/>
  <c r="AQ115" i="14" s="1"/>
  <c r="AQ116" i="14" s="1"/>
  <c r="AQ117" i="14" s="1"/>
  <c r="AQ118" i="14" s="1"/>
  <c r="AQ119" i="14" s="1"/>
  <c r="AQ120" i="14" s="1"/>
  <c r="AQ121" i="14" s="1"/>
  <c r="AQ122" i="14" s="1"/>
  <c r="AQ123" i="14" s="1"/>
  <c r="AQ124" i="14" s="1"/>
  <c r="BA6" i="14"/>
  <c r="BA7" i="14" s="1"/>
  <c r="BA8" i="14" s="1"/>
  <c r="BA9" i="14" s="1"/>
  <c r="BA10" i="14" s="1"/>
  <c r="BA11" i="14" s="1"/>
  <c r="BA12" i="14" s="1"/>
  <c r="BA13" i="14" s="1"/>
  <c r="BA14" i="14" s="1"/>
  <c r="BA15" i="14" s="1"/>
  <c r="BA16" i="14" s="1"/>
  <c r="BA17" i="14" s="1"/>
  <c r="BA18" i="14" s="1"/>
  <c r="BA19" i="14" s="1"/>
  <c r="BA20" i="14" s="1"/>
  <c r="BA21" i="14" s="1"/>
  <c r="BA22" i="14" s="1"/>
  <c r="BA23" i="14" s="1"/>
  <c r="BA24" i="14" s="1"/>
  <c r="BA25" i="14" s="1"/>
  <c r="BA26" i="14" s="1"/>
  <c r="BA27" i="14" s="1"/>
  <c r="BA28" i="14" s="1"/>
  <c r="BA29" i="14" s="1"/>
  <c r="BA30" i="14" s="1"/>
  <c r="BA31" i="14" s="1"/>
  <c r="BA32" i="14" s="1"/>
  <c r="BA33" i="14" s="1"/>
  <c r="BA34" i="14" s="1"/>
  <c r="BA35" i="14" s="1"/>
  <c r="BA36" i="14" s="1"/>
  <c r="BA37" i="14" s="1"/>
  <c r="BA38" i="14" s="1"/>
  <c r="BA39" i="14" s="1"/>
  <c r="BA40" i="14" s="1"/>
  <c r="BA41" i="14" s="1"/>
  <c r="BA42" i="14" s="1"/>
  <c r="BA43" i="14" s="1"/>
  <c r="BA44" i="14" s="1"/>
  <c r="BA45" i="14" s="1"/>
  <c r="BA46" i="14" s="1"/>
  <c r="BA47" i="14" s="1"/>
  <c r="BA48" i="14" s="1"/>
  <c r="BA49" i="14" s="1"/>
  <c r="BA50" i="14" s="1"/>
  <c r="BA51" i="14" s="1"/>
  <c r="BA52" i="14" s="1"/>
  <c r="BA53" i="14" s="1"/>
  <c r="BA54" i="14" s="1"/>
  <c r="BA55" i="14" s="1"/>
  <c r="BA56" i="14" s="1"/>
  <c r="BA57" i="14" s="1"/>
  <c r="BA58" i="14" s="1"/>
  <c r="BA59" i="14" s="1"/>
  <c r="BA60" i="14" s="1"/>
  <c r="BA61" i="14" s="1"/>
  <c r="BA62" i="14" s="1"/>
  <c r="BA63" i="14" s="1"/>
  <c r="BA64" i="14" s="1"/>
  <c r="BA65" i="14" s="1"/>
  <c r="BA66" i="14" s="1"/>
  <c r="BA67" i="14" s="1"/>
  <c r="BA68" i="14" s="1"/>
  <c r="BA69" i="14" s="1"/>
  <c r="BA70" i="14" s="1"/>
  <c r="BA71" i="14" s="1"/>
  <c r="BA72" i="14" s="1"/>
  <c r="BA73" i="14" s="1"/>
  <c r="BA74" i="14" s="1"/>
  <c r="BA75" i="14" s="1"/>
  <c r="BA76" i="14" s="1"/>
  <c r="BA77" i="14" s="1"/>
  <c r="BA78" i="14" s="1"/>
  <c r="BA79" i="14" s="1"/>
  <c r="BA80" i="14" s="1"/>
  <c r="BA81" i="14" s="1"/>
  <c r="BA82" i="14" s="1"/>
  <c r="BA83" i="14" s="1"/>
  <c r="BA84" i="14" s="1"/>
  <c r="BA85" i="14" s="1"/>
  <c r="BA86" i="14" s="1"/>
  <c r="BA87" i="14" s="1"/>
  <c r="BA88" i="14" s="1"/>
  <c r="BA89" i="14" s="1"/>
  <c r="BA90" i="14" s="1"/>
  <c r="BA91" i="14" s="1"/>
  <c r="BA92" i="14" s="1"/>
  <c r="BA93" i="14" s="1"/>
  <c r="BA94" i="14" s="1"/>
  <c r="BA95" i="14" s="1"/>
  <c r="BA96" i="14" s="1"/>
  <c r="BA97" i="14" s="1"/>
  <c r="BA98" i="14" s="1"/>
  <c r="BA99" i="14" s="1"/>
  <c r="BA100" i="14" s="1"/>
  <c r="BA101" i="14" s="1"/>
  <c r="BA102" i="14" s="1"/>
  <c r="BA103" i="14" s="1"/>
  <c r="BA104" i="14" s="1"/>
  <c r="BA105" i="14" s="1"/>
  <c r="BA106" i="14" s="1"/>
  <c r="BA107" i="14" s="1"/>
  <c r="BA108" i="14" s="1"/>
  <c r="BA109" i="14" s="1"/>
  <c r="BA110" i="14" s="1"/>
  <c r="BA111" i="14" s="1"/>
  <c r="BA112" i="14" s="1"/>
  <c r="BA113" i="14" s="1"/>
  <c r="BA114" i="14" s="1"/>
  <c r="BA115" i="14" s="1"/>
  <c r="BA116" i="14" s="1"/>
  <c r="BA117" i="14" s="1"/>
  <c r="BA118" i="14" s="1"/>
  <c r="BA119" i="14" s="1"/>
  <c r="BA120" i="14" s="1"/>
  <c r="BA121" i="14" s="1"/>
  <c r="BA122" i="14" s="1"/>
  <c r="BA123" i="14" s="1"/>
  <c r="BA124" i="14" s="1"/>
  <c r="BK6" i="14"/>
  <c r="BK7" i="14" s="1"/>
  <c r="BK8" i="14" s="1"/>
  <c r="BK9" i="14" s="1"/>
  <c r="BK10" i="14" s="1"/>
  <c r="BK11" i="14" s="1"/>
  <c r="BK12" i="14" s="1"/>
  <c r="BK13" i="14" s="1"/>
  <c r="BK14" i="14" s="1"/>
  <c r="BK15" i="14" s="1"/>
  <c r="BK16" i="14" s="1"/>
  <c r="BK17" i="14" s="1"/>
  <c r="BK18" i="14" s="1"/>
  <c r="BK19" i="14" s="1"/>
  <c r="BK20" i="14" s="1"/>
  <c r="BK21" i="14" s="1"/>
  <c r="BK22" i="14" s="1"/>
  <c r="BK23" i="14" s="1"/>
  <c r="BK24" i="14" s="1"/>
  <c r="BK25" i="14" s="1"/>
  <c r="BK26" i="14" s="1"/>
  <c r="BK27" i="14" s="1"/>
  <c r="BK28" i="14" s="1"/>
  <c r="BK29" i="14" s="1"/>
  <c r="BK30" i="14" s="1"/>
  <c r="BK31" i="14" s="1"/>
  <c r="BK32" i="14" s="1"/>
  <c r="BK33" i="14" s="1"/>
  <c r="BK34" i="14" s="1"/>
  <c r="BK35" i="14" s="1"/>
  <c r="BK36" i="14" s="1"/>
  <c r="BK37" i="14" s="1"/>
  <c r="BK38" i="14" s="1"/>
  <c r="BK39" i="14" s="1"/>
  <c r="BK40" i="14" s="1"/>
  <c r="BK41" i="14" s="1"/>
  <c r="BK42" i="14" s="1"/>
  <c r="BK43" i="14" s="1"/>
  <c r="BK44" i="14" s="1"/>
  <c r="BK45" i="14" s="1"/>
  <c r="BK46" i="14" s="1"/>
  <c r="BK47" i="14" s="1"/>
  <c r="BK48" i="14" s="1"/>
  <c r="BK49" i="14" s="1"/>
  <c r="BK50" i="14" s="1"/>
  <c r="BK51" i="14" s="1"/>
  <c r="BK52" i="14" s="1"/>
  <c r="BK53" i="14" s="1"/>
  <c r="BK54" i="14" s="1"/>
  <c r="BK55" i="14" s="1"/>
  <c r="BK56" i="14" s="1"/>
  <c r="BK57" i="14" s="1"/>
  <c r="BK58" i="14" s="1"/>
  <c r="BK59" i="14" s="1"/>
  <c r="BK60" i="14" s="1"/>
  <c r="BK61" i="14" s="1"/>
  <c r="BK62" i="14" s="1"/>
  <c r="BK63" i="14" s="1"/>
  <c r="BK64" i="14" s="1"/>
  <c r="BK65" i="14" s="1"/>
  <c r="BK66" i="14" s="1"/>
  <c r="BK67" i="14" s="1"/>
  <c r="BK68" i="14" s="1"/>
  <c r="BK69" i="14" s="1"/>
  <c r="BK70" i="14" s="1"/>
  <c r="BK71" i="14" s="1"/>
  <c r="BK72" i="14" s="1"/>
  <c r="BK73" i="14" s="1"/>
  <c r="BK74" i="14" s="1"/>
  <c r="BK75" i="14" s="1"/>
  <c r="BK76" i="14" s="1"/>
  <c r="BK77" i="14" s="1"/>
  <c r="BK78" i="14" s="1"/>
  <c r="BK79" i="14" s="1"/>
  <c r="BK80" i="14" s="1"/>
  <c r="BK81" i="14" s="1"/>
  <c r="BK82" i="14" s="1"/>
  <c r="BK83" i="14" s="1"/>
  <c r="BK84" i="14" s="1"/>
  <c r="BK85" i="14" s="1"/>
  <c r="BK86" i="14" s="1"/>
  <c r="BK87" i="14" s="1"/>
  <c r="BK88" i="14" s="1"/>
  <c r="BK89" i="14" s="1"/>
  <c r="BK90" i="14" s="1"/>
  <c r="BK91" i="14" s="1"/>
  <c r="BK92" i="14" s="1"/>
  <c r="BK93" i="14" s="1"/>
  <c r="BK94" i="14" s="1"/>
  <c r="BK95" i="14" s="1"/>
  <c r="BK96" i="14" s="1"/>
  <c r="BK97" i="14" s="1"/>
  <c r="BK98" i="14" s="1"/>
  <c r="BK99" i="14" s="1"/>
  <c r="BK100" i="14" s="1"/>
  <c r="BK101" i="14" s="1"/>
  <c r="BK102" i="14" s="1"/>
  <c r="BK103" i="14" s="1"/>
  <c r="BK104" i="14" s="1"/>
  <c r="BK105" i="14" s="1"/>
  <c r="BK106" i="14" s="1"/>
  <c r="BK107" i="14" s="1"/>
  <c r="BK108" i="14" s="1"/>
  <c r="BK109" i="14" s="1"/>
  <c r="BK110" i="14" s="1"/>
  <c r="BK111" i="14" s="1"/>
  <c r="BK112" i="14" s="1"/>
  <c r="BK113" i="14" s="1"/>
  <c r="BK114" i="14" s="1"/>
  <c r="BK115" i="14" s="1"/>
  <c r="BK116" i="14" s="1"/>
  <c r="BK117" i="14" s="1"/>
  <c r="BK118" i="14" s="1"/>
  <c r="BK119" i="14" s="1"/>
  <c r="BK120" i="14" s="1"/>
  <c r="BK121" i="14" s="1"/>
  <c r="BK122" i="14" s="1"/>
  <c r="BK123" i="14" s="1"/>
  <c r="BK124" i="14" s="1"/>
  <c r="BU6" i="14"/>
  <c r="BU7" i="14" s="1"/>
  <c r="BU8" i="14" s="1"/>
  <c r="BU9" i="14" s="1"/>
  <c r="BU10" i="14" s="1"/>
  <c r="BU11" i="14" s="1"/>
  <c r="BU12" i="14" s="1"/>
  <c r="BU13" i="14" s="1"/>
  <c r="BU14" i="14" s="1"/>
  <c r="BU15" i="14" s="1"/>
  <c r="BU16" i="14" s="1"/>
  <c r="BU17" i="14" s="1"/>
  <c r="BU18" i="14" s="1"/>
  <c r="BU19" i="14" s="1"/>
  <c r="BU20" i="14" s="1"/>
  <c r="BU21" i="14" s="1"/>
  <c r="BU22" i="14" s="1"/>
  <c r="BU23" i="14" s="1"/>
  <c r="BU24" i="14" s="1"/>
  <c r="BU25" i="14" s="1"/>
  <c r="BU26" i="14" s="1"/>
  <c r="BU27" i="14" s="1"/>
  <c r="BU28" i="14" s="1"/>
  <c r="BU29" i="14" s="1"/>
  <c r="BU30" i="14" s="1"/>
  <c r="BU31" i="14" s="1"/>
  <c r="BU32" i="14" s="1"/>
  <c r="BU33" i="14" s="1"/>
  <c r="BU34" i="14" s="1"/>
  <c r="BU35" i="14" s="1"/>
  <c r="BU36" i="14" s="1"/>
  <c r="BU37" i="14" s="1"/>
  <c r="BU38" i="14" s="1"/>
  <c r="BU39" i="14" s="1"/>
  <c r="BU40" i="14" s="1"/>
  <c r="BU41" i="14" s="1"/>
  <c r="BU42" i="14" s="1"/>
  <c r="BU43" i="14" s="1"/>
  <c r="BU44" i="14" s="1"/>
  <c r="BU45" i="14" s="1"/>
  <c r="BU46" i="14" s="1"/>
  <c r="BU47" i="14" s="1"/>
  <c r="BU48" i="14" s="1"/>
  <c r="BU49" i="14" s="1"/>
  <c r="BU50" i="14" s="1"/>
  <c r="BU51" i="14" s="1"/>
  <c r="BU52" i="14" s="1"/>
  <c r="BU53" i="14" s="1"/>
  <c r="BU54" i="14" s="1"/>
  <c r="BU55" i="14" s="1"/>
  <c r="BU56" i="14" s="1"/>
  <c r="BU57" i="14" s="1"/>
  <c r="BU58" i="14" s="1"/>
  <c r="BU59" i="14" s="1"/>
  <c r="BU60" i="14" s="1"/>
  <c r="BU61" i="14" s="1"/>
  <c r="BU62" i="14" s="1"/>
  <c r="BU63" i="14" s="1"/>
  <c r="BU64" i="14" s="1"/>
  <c r="BU65" i="14" s="1"/>
  <c r="BU66" i="14" s="1"/>
  <c r="BU67" i="14" s="1"/>
  <c r="BU68" i="14" s="1"/>
  <c r="BU69" i="14" s="1"/>
  <c r="BU70" i="14" s="1"/>
  <c r="BU71" i="14" s="1"/>
  <c r="BU72" i="14" s="1"/>
  <c r="BU73" i="14" s="1"/>
  <c r="BU74" i="14" s="1"/>
  <c r="BU75" i="14" s="1"/>
  <c r="BU76" i="14" s="1"/>
  <c r="BU77" i="14" s="1"/>
  <c r="BU78" i="14" s="1"/>
  <c r="BU79" i="14" s="1"/>
  <c r="BU80" i="14" s="1"/>
  <c r="BU81" i="14" s="1"/>
  <c r="BU82" i="14" s="1"/>
  <c r="BU83" i="14" s="1"/>
  <c r="BU84" i="14" s="1"/>
  <c r="BU85" i="14" s="1"/>
  <c r="BU86" i="14" s="1"/>
  <c r="BU87" i="14" s="1"/>
  <c r="BU88" i="14" s="1"/>
  <c r="BU89" i="14" s="1"/>
  <c r="BU90" i="14" s="1"/>
  <c r="BU91" i="14" s="1"/>
  <c r="BU92" i="14" s="1"/>
  <c r="BU93" i="14" s="1"/>
  <c r="BU94" i="14" s="1"/>
  <c r="BU95" i="14" s="1"/>
  <c r="BU96" i="14" s="1"/>
  <c r="BU97" i="14" s="1"/>
  <c r="BU98" i="14" s="1"/>
  <c r="BU99" i="14" s="1"/>
  <c r="BU100" i="14" s="1"/>
  <c r="BU101" i="14" s="1"/>
  <c r="BU102" i="14" s="1"/>
  <c r="BU103" i="14" s="1"/>
  <c r="BU104" i="14" s="1"/>
  <c r="BU105" i="14" s="1"/>
  <c r="BU106" i="14" s="1"/>
  <c r="BU107" i="14" s="1"/>
  <c r="BU108" i="14" s="1"/>
  <c r="BU109" i="14" s="1"/>
  <c r="BU110" i="14" s="1"/>
  <c r="BU111" i="14" s="1"/>
  <c r="BU112" i="14" s="1"/>
  <c r="BU113" i="14" s="1"/>
  <c r="BU114" i="14" s="1"/>
  <c r="BU115" i="14" s="1"/>
  <c r="BU116" i="14" s="1"/>
  <c r="BU117" i="14" s="1"/>
  <c r="BU118" i="14" s="1"/>
  <c r="BU119" i="14" s="1"/>
  <c r="BU120" i="14" s="1"/>
  <c r="BU121" i="14" s="1"/>
  <c r="BU122" i="14" s="1"/>
  <c r="BU123" i="14" s="1"/>
  <c r="BU124" i="14" s="1"/>
  <c r="CE6" i="14"/>
  <c r="CE7" i="14" s="1"/>
  <c r="CE8" i="14" s="1"/>
  <c r="CE9" i="14" s="1"/>
  <c r="CE10" i="14" s="1"/>
  <c r="CE11" i="14" s="1"/>
  <c r="CE12" i="14" s="1"/>
  <c r="CE13" i="14" s="1"/>
  <c r="CE14" i="14" s="1"/>
  <c r="CE15" i="14" s="1"/>
  <c r="CE16" i="14" s="1"/>
  <c r="CE17" i="14" s="1"/>
  <c r="CE18" i="14" s="1"/>
  <c r="CE19" i="14" s="1"/>
  <c r="CE20" i="14" s="1"/>
  <c r="CE21" i="14" s="1"/>
  <c r="CE22" i="14" s="1"/>
  <c r="CE23" i="14" s="1"/>
  <c r="CE24" i="14" s="1"/>
  <c r="CE25" i="14" s="1"/>
  <c r="CE26" i="14" s="1"/>
  <c r="CE27" i="14" s="1"/>
  <c r="CE28" i="14" s="1"/>
  <c r="CE29" i="14" s="1"/>
  <c r="CE30" i="14" s="1"/>
  <c r="CE31" i="14" s="1"/>
  <c r="CE32" i="14" s="1"/>
  <c r="CE33" i="14" s="1"/>
  <c r="CE34" i="14" s="1"/>
  <c r="CE35" i="14" s="1"/>
  <c r="CE36" i="14" s="1"/>
  <c r="CE37" i="14" s="1"/>
  <c r="CE38" i="14" s="1"/>
  <c r="CE39" i="14" s="1"/>
  <c r="CE40" i="14" s="1"/>
  <c r="CE41" i="14" s="1"/>
  <c r="CE42" i="14" s="1"/>
  <c r="CE43" i="14" s="1"/>
  <c r="CE44" i="14" s="1"/>
  <c r="CE45" i="14" s="1"/>
  <c r="CE46" i="14" s="1"/>
  <c r="CE47" i="14" s="1"/>
  <c r="CE48" i="14" s="1"/>
  <c r="CE49" i="14" s="1"/>
  <c r="CE50" i="14" s="1"/>
  <c r="CE51" i="14" s="1"/>
  <c r="CE52" i="14" s="1"/>
  <c r="CE53" i="14" s="1"/>
  <c r="CE54" i="14" s="1"/>
  <c r="CE55" i="14" s="1"/>
  <c r="CE56" i="14" s="1"/>
  <c r="CE57" i="14" s="1"/>
  <c r="CE58" i="14" s="1"/>
  <c r="CE59" i="14" s="1"/>
  <c r="CE60" i="14" s="1"/>
  <c r="CE61" i="14" s="1"/>
  <c r="CE62" i="14" s="1"/>
  <c r="CE63" i="14" s="1"/>
  <c r="CE64" i="14" s="1"/>
  <c r="CE65" i="14" s="1"/>
  <c r="CE66" i="14" s="1"/>
  <c r="CE67" i="14" s="1"/>
  <c r="CE68" i="14" s="1"/>
  <c r="CE69" i="14" s="1"/>
  <c r="CE70" i="14" s="1"/>
  <c r="CE71" i="14" s="1"/>
  <c r="CE72" i="14" s="1"/>
  <c r="CE73" i="14" s="1"/>
  <c r="CE74" i="14" s="1"/>
  <c r="CE75" i="14" s="1"/>
  <c r="CE76" i="14" s="1"/>
  <c r="CE77" i="14" s="1"/>
  <c r="CE78" i="14" s="1"/>
  <c r="CE79" i="14" s="1"/>
  <c r="CE80" i="14" s="1"/>
  <c r="CE81" i="14" s="1"/>
  <c r="CE82" i="14" s="1"/>
  <c r="CE83" i="14" s="1"/>
  <c r="CE84" i="14" s="1"/>
  <c r="CE85" i="14" s="1"/>
  <c r="CE86" i="14" s="1"/>
  <c r="CE87" i="14" s="1"/>
  <c r="CE88" i="14" s="1"/>
  <c r="CE89" i="14" s="1"/>
  <c r="CE90" i="14" s="1"/>
  <c r="CE91" i="14" s="1"/>
  <c r="CE92" i="14" s="1"/>
  <c r="CE93" i="14" s="1"/>
  <c r="CE94" i="14" s="1"/>
  <c r="CE95" i="14" s="1"/>
  <c r="CE96" i="14" s="1"/>
  <c r="CE97" i="14" s="1"/>
  <c r="CE98" i="14" s="1"/>
  <c r="CE99" i="14" s="1"/>
  <c r="CE100" i="14" s="1"/>
  <c r="CE101" i="14" s="1"/>
  <c r="CE102" i="14" s="1"/>
  <c r="CE103" i="14" s="1"/>
  <c r="CE104" i="14" s="1"/>
  <c r="CE105" i="14" s="1"/>
  <c r="CE106" i="14" s="1"/>
  <c r="CE107" i="14" s="1"/>
  <c r="CE108" i="14" s="1"/>
  <c r="CE109" i="14" s="1"/>
  <c r="CE110" i="14" s="1"/>
  <c r="CE111" i="14" s="1"/>
  <c r="CE112" i="14" s="1"/>
  <c r="CE113" i="14" s="1"/>
  <c r="CE114" i="14" s="1"/>
  <c r="CE115" i="14" s="1"/>
  <c r="CE116" i="14" s="1"/>
  <c r="CE117" i="14" s="1"/>
  <c r="CE118" i="14" s="1"/>
  <c r="CE119" i="14" s="1"/>
  <c r="CE120" i="14" s="1"/>
  <c r="CE121" i="14" s="1"/>
  <c r="CE122" i="14" s="1"/>
  <c r="CE123" i="14" s="1"/>
  <c r="CE124" i="14" s="1"/>
  <c r="CO6" i="14"/>
  <c r="CO7" i="14" s="1"/>
  <c r="CO8" i="14" s="1"/>
  <c r="CO9" i="14" s="1"/>
  <c r="CO10" i="14" s="1"/>
  <c r="CO11" i="14" s="1"/>
  <c r="CO12" i="14" s="1"/>
  <c r="CO13" i="14" s="1"/>
  <c r="CO14" i="14" s="1"/>
  <c r="CO15" i="14" s="1"/>
  <c r="CO16" i="14" s="1"/>
  <c r="CO17" i="14" s="1"/>
  <c r="CO18" i="14" s="1"/>
  <c r="CO19" i="14" s="1"/>
  <c r="CO20" i="14" s="1"/>
  <c r="CO21" i="14" s="1"/>
  <c r="CO22" i="14" s="1"/>
  <c r="CO23" i="14" s="1"/>
  <c r="CO24" i="14" s="1"/>
  <c r="CO25" i="14" s="1"/>
  <c r="CO26" i="14" s="1"/>
  <c r="CO27" i="14" s="1"/>
  <c r="CO28" i="14" s="1"/>
  <c r="CO29" i="14" s="1"/>
  <c r="CO30" i="14" s="1"/>
  <c r="CO31" i="14" s="1"/>
  <c r="CO32" i="14" s="1"/>
  <c r="CO33" i="14" s="1"/>
  <c r="CO34" i="14" s="1"/>
  <c r="CO35" i="14" s="1"/>
  <c r="CO36" i="14" s="1"/>
  <c r="CO37" i="14" s="1"/>
  <c r="CO38" i="14" s="1"/>
  <c r="CO39" i="14" s="1"/>
  <c r="CO40" i="14" s="1"/>
  <c r="CO41" i="14" s="1"/>
  <c r="CO42" i="14" s="1"/>
  <c r="CO43" i="14" s="1"/>
  <c r="CO44" i="14" s="1"/>
  <c r="CO45" i="14" s="1"/>
  <c r="CO46" i="14" s="1"/>
  <c r="CO47" i="14" s="1"/>
  <c r="CO48" i="14" s="1"/>
  <c r="CO49" i="14" s="1"/>
  <c r="CO50" i="14" s="1"/>
  <c r="CO51" i="14" s="1"/>
  <c r="CO52" i="14" s="1"/>
  <c r="CO53" i="14" s="1"/>
  <c r="CO54" i="14" s="1"/>
  <c r="CO55" i="14" s="1"/>
  <c r="CO56" i="14" s="1"/>
  <c r="CO57" i="14" s="1"/>
  <c r="CO58" i="14" s="1"/>
  <c r="CO59" i="14" s="1"/>
  <c r="CO60" i="14" s="1"/>
  <c r="CO61" i="14" s="1"/>
  <c r="CO62" i="14" s="1"/>
  <c r="CO63" i="14" s="1"/>
  <c r="CO64" i="14" s="1"/>
  <c r="CO65" i="14" s="1"/>
  <c r="CO66" i="14" s="1"/>
  <c r="CO67" i="14" s="1"/>
  <c r="CO68" i="14" s="1"/>
  <c r="CO69" i="14" s="1"/>
  <c r="CO70" i="14" s="1"/>
  <c r="CO71" i="14" s="1"/>
  <c r="CO72" i="14" s="1"/>
  <c r="CO73" i="14" s="1"/>
  <c r="CO74" i="14" s="1"/>
  <c r="CO75" i="14" s="1"/>
  <c r="CO76" i="14" s="1"/>
  <c r="CO77" i="14" s="1"/>
  <c r="CO78" i="14" s="1"/>
  <c r="CO79" i="14" s="1"/>
  <c r="CO80" i="14" s="1"/>
  <c r="CO81" i="14" s="1"/>
  <c r="CO82" i="14" s="1"/>
  <c r="CO83" i="14" s="1"/>
  <c r="CO84" i="14" s="1"/>
  <c r="CO85" i="14" s="1"/>
  <c r="CO86" i="14" s="1"/>
  <c r="CO87" i="14" s="1"/>
  <c r="CO88" i="14" s="1"/>
  <c r="CO89" i="14" s="1"/>
  <c r="CO90" i="14" s="1"/>
  <c r="CO91" i="14" s="1"/>
  <c r="CO92" i="14" s="1"/>
  <c r="CO93" i="14" s="1"/>
  <c r="CO94" i="14" s="1"/>
  <c r="CO95" i="14" s="1"/>
  <c r="CO96" i="14" s="1"/>
  <c r="CO97" i="14" s="1"/>
  <c r="CO98" i="14" s="1"/>
  <c r="CO99" i="14" s="1"/>
  <c r="CO100" i="14" s="1"/>
  <c r="CO101" i="14" s="1"/>
  <c r="CO102" i="14" s="1"/>
  <c r="CO103" i="14" s="1"/>
  <c r="CO104" i="14" s="1"/>
  <c r="CO105" i="14" s="1"/>
  <c r="CO106" i="14" s="1"/>
  <c r="CO107" i="14" s="1"/>
  <c r="CO108" i="14" s="1"/>
  <c r="CO109" i="14" s="1"/>
  <c r="CO110" i="14" s="1"/>
  <c r="CO111" i="14" s="1"/>
  <c r="CO112" i="14" s="1"/>
  <c r="CO113" i="14" s="1"/>
  <c r="CO114" i="14" s="1"/>
  <c r="CO115" i="14" s="1"/>
  <c r="CO116" i="14" s="1"/>
  <c r="CO117" i="14" s="1"/>
  <c r="CO118" i="14" s="1"/>
  <c r="CO119" i="14" s="1"/>
  <c r="CO120" i="14" s="1"/>
  <c r="CO121" i="14" s="1"/>
  <c r="CO122" i="14" s="1"/>
  <c r="CO123" i="14" s="1"/>
  <c r="CO124" i="14" s="1"/>
  <c r="CY6" i="14"/>
  <c r="CY7" i="14" s="1"/>
  <c r="CY8" i="14" s="1"/>
  <c r="CY9" i="14" s="1"/>
  <c r="CY10" i="14" s="1"/>
  <c r="CY11" i="14" s="1"/>
  <c r="CY12" i="14" s="1"/>
  <c r="CY13" i="14" s="1"/>
  <c r="CY14" i="14" s="1"/>
  <c r="CY15" i="14" s="1"/>
  <c r="CY16" i="14" s="1"/>
  <c r="CY17" i="14" s="1"/>
  <c r="CY18" i="14" s="1"/>
  <c r="CY19" i="14" s="1"/>
  <c r="CY20" i="14" s="1"/>
  <c r="CY21" i="14" s="1"/>
  <c r="CY22" i="14" s="1"/>
  <c r="CY23" i="14" s="1"/>
  <c r="CY24" i="14" s="1"/>
  <c r="CY25" i="14" s="1"/>
  <c r="CY26" i="14" s="1"/>
  <c r="CY27" i="14" s="1"/>
  <c r="CY28" i="14" s="1"/>
  <c r="CY29" i="14" s="1"/>
  <c r="CY30" i="14" s="1"/>
  <c r="CY31" i="14" s="1"/>
  <c r="CY32" i="14" s="1"/>
  <c r="CY33" i="14" s="1"/>
  <c r="CY34" i="14" s="1"/>
  <c r="CY35" i="14" s="1"/>
  <c r="CY36" i="14" s="1"/>
  <c r="CY37" i="14" s="1"/>
  <c r="CY38" i="14" s="1"/>
  <c r="CY39" i="14" s="1"/>
  <c r="CY40" i="14" s="1"/>
  <c r="CY41" i="14" s="1"/>
  <c r="CY42" i="14" s="1"/>
  <c r="CY43" i="14" s="1"/>
  <c r="CY44" i="14" s="1"/>
  <c r="CY45" i="14" s="1"/>
  <c r="CY46" i="14" s="1"/>
  <c r="CY47" i="14" s="1"/>
  <c r="CY48" i="14" s="1"/>
  <c r="CY49" i="14" s="1"/>
  <c r="CY50" i="14" s="1"/>
  <c r="CY51" i="14" s="1"/>
  <c r="CY52" i="14" s="1"/>
  <c r="CY53" i="14" s="1"/>
  <c r="CY54" i="14" s="1"/>
  <c r="CY55" i="14" s="1"/>
  <c r="CY56" i="14" s="1"/>
  <c r="CY57" i="14" s="1"/>
  <c r="CY58" i="14" s="1"/>
  <c r="CY59" i="14" s="1"/>
  <c r="CY60" i="14" s="1"/>
  <c r="CY61" i="14" s="1"/>
  <c r="CY62" i="14" s="1"/>
  <c r="CY63" i="14" s="1"/>
  <c r="CY64" i="14" s="1"/>
  <c r="CY65" i="14" s="1"/>
  <c r="CY66" i="14" s="1"/>
  <c r="CY67" i="14" s="1"/>
  <c r="CY68" i="14" s="1"/>
  <c r="CY69" i="14" s="1"/>
  <c r="CY70" i="14" s="1"/>
  <c r="CY71" i="14" s="1"/>
  <c r="CY72" i="14" s="1"/>
  <c r="CY73" i="14" s="1"/>
  <c r="CY74" i="14" s="1"/>
  <c r="CY75" i="14" s="1"/>
  <c r="CY76" i="14" s="1"/>
  <c r="CY77" i="14" s="1"/>
  <c r="CY78" i="14" s="1"/>
  <c r="CY79" i="14" s="1"/>
  <c r="CY80" i="14" s="1"/>
  <c r="CY81" i="14" s="1"/>
  <c r="CY82" i="14" s="1"/>
  <c r="CY83" i="14" s="1"/>
  <c r="CY84" i="14" s="1"/>
  <c r="CY85" i="14" s="1"/>
  <c r="CY86" i="14" s="1"/>
  <c r="CY87" i="14" s="1"/>
  <c r="CY88" i="14" s="1"/>
  <c r="CY89" i="14" s="1"/>
  <c r="CY90" i="14" s="1"/>
  <c r="CY91" i="14" s="1"/>
  <c r="CY92" i="14" s="1"/>
  <c r="CY93" i="14" s="1"/>
  <c r="CY94" i="14" s="1"/>
  <c r="CY95" i="14" s="1"/>
  <c r="CY96" i="14" s="1"/>
  <c r="CY97" i="14" s="1"/>
  <c r="CY98" i="14" s="1"/>
  <c r="CY99" i="14" s="1"/>
  <c r="CY100" i="14" s="1"/>
  <c r="CY101" i="14" s="1"/>
  <c r="CY102" i="14" s="1"/>
  <c r="CY103" i="14" s="1"/>
  <c r="CY104" i="14" s="1"/>
  <c r="CY105" i="14" s="1"/>
  <c r="CY106" i="14" s="1"/>
  <c r="CY107" i="14" s="1"/>
  <c r="CY108" i="14" s="1"/>
  <c r="CY109" i="14" s="1"/>
  <c r="CY110" i="14" s="1"/>
  <c r="CY111" i="14" s="1"/>
  <c r="CY112" i="14" s="1"/>
  <c r="CY113" i="14" s="1"/>
  <c r="CY114" i="14" s="1"/>
  <c r="CY115" i="14" s="1"/>
  <c r="CY116" i="14" s="1"/>
  <c r="CY117" i="14" s="1"/>
  <c r="CY118" i="14" s="1"/>
  <c r="CY119" i="14" s="1"/>
  <c r="CY120" i="14" s="1"/>
  <c r="CY121" i="14" s="1"/>
  <c r="CY122" i="14" s="1"/>
  <c r="CY123" i="14" s="1"/>
  <c r="CY124" i="14" s="1"/>
  <c r="DI6" i="14"/>
  <c r="DI7" i="14" s="1"/>
  <c r="DI8" i="14" s="1"/>
  <c r="DI9" i="14" s="1"/>
  <c r="DI10" i="14" s="1"/>
  <c r="DI11" i="14" s="1"/>
  <c r="DI12" i="14" s="1"/>
  <c r="DI13" i="14" s="1"/>
  <c r="DI14" i="14" s="1"/>
  <c r="DI15" i="14" s="1"/>
  <c r="DI16" i="14" s="1"/>
  <c r="DI17" i="14" s="1"/>
  <c r="DI18" i="14" s="1"/>
  <c r="DI19" i="14" s="1"/>
  <c r="DI20" i="14" s="1"/>
  <c r="DI21" i="14" s="1"/>
  <c r="DI22" i="14" s="1"/>
  <c r="DI23" i="14" s="1"/>
  <c r="DI24" i="14" s="1"/>
  <c r="DI25" i="14" s="1"/>
  <c r="DI26" i="14" s="1"/>
  <c r="DI27" i="14" s="1"/>
  <c r="DI28" i="14" s="1"/>
  <c r="DI29" i="14" s="1"/>
  <c r="DI30" i="14" s="1"/>
  <c r="DI31" i="14" s="1"/>
  <c r="DI32" i="14" s="1"/>
  <c r="DI33" i="14" s="1"/>
  <c r="DI34" i="14" s="1"/>
  <c r="DI35" i="14" s="1"/>
  <c r="DI36" i="14" s="1"/>
  <c r="DI37" i="14" s="1"/>
  <c r="DI38" i="14" s="1"/>
  <c r="DI39" i="14" s="1"/>
  <c r="DI40" i="14" s="1"/>
  <c r="DI41" i="14" s="1"/>
  <c r="DI42" i="14" s="1"/>
  <c r="DI43" i="14" s="1"/>
  <c r="DI44" i="14" s="1"/>
  <c r="DI45" i="14" s="1"/>
  <c r="DI46" i="14" s="1"/>
  <c r="DI47" i="14" s="1"/>
  <c r="DI48" i="14" s="1"/>
  <c r="DI49" i="14" s="1"/>
  <c r="DI50" i="14" s="1"/>
  <c r="DI51" i="14" s="1"/>
  <c r="DI52" i="14" s="1"/>
  <c r="DI53" i="14" s="1"/>
  <c r="DI54" i="14" s="1"/>
  <c r="DI55" i="14" s="1"/>
  <c r="DI56" i="14" s="1"/>
  <c r="DI57" i="14" s="1"/>
  <c r="DI58" i="14" s="1"/>
  <c r="DI59" i="14" s="1"/>
  <c r="DI60" i="14" s="1"/>
  <c r="DI61" i="14" s="1"/>
  <c r="DI62" i="14" s="1"/>
  <c r="DI63" i="14" s="1"/>
  <c r="DI64" i="14" s="1"/>
  <c r="DI65" i="14" s="1"/>
  <c r="DI66" i="14" s="1"/>
  <c r="DI67" i="14" s="1"/>
  <c r="DI68" i="14" s="1"/>
  <c r="DI69" i="14" s="1"/>
  <c r="DI70" i="14" s="1"/>
  <c r="DI71" i="14" s="1"/>
  <c r="DI72" i="14" s="1"/>
  <c r="DI73" i="14" s="1"/>
  <c r="DI74" i="14" s="1"/>
  <c r="DI75" i="14" s="1"/>
  <c r="DI76" i="14" s="1"/>
  <c r="DI77" i="14" s="1"/>
  <c r="DI78" i="14" s="1"/>
  <c r="DI79" i="14" s="1"/>
  <c r="DI80" i="14" s="1"/>
  <c r="DI81" i="14" s="1"/>
  <c r="DI82" i="14" s="1"/>
  <c r="DI83" i="14" s="1"/>
  <c r="DI84" i="14" s="1"/>
  <c r="DI85" i="14" s="1"/>
  <c r="DI86" i="14" s="1"/>
  <c r="DI87" i="14" s="1"/>
  <c r="DI88" i="14" s="1"/>
  <c r="DI89" i="14" s="1"/>
  <c r="DI90" i="14" s="1"/>
  <c r="DI91" i="14" s="1"/>
  <c r="DI92" i="14" s="1"/>
  <c r="DI93" i="14" s="1"/>
  <c r="DI94" i="14" s="1"/>
  <c r="DI95" i="14" s="1"/>
  <c r="DI96" i="14" s="1"/>
  <c r="DI97" i="14" s="1"/>
  <c r="DI98" i="14" s="1"/>
  <c r="DI99" i="14" s="1"/>
  <c r="DI100" i="14" s="1"/>
  <c r="DI101" i="14" s="1"/>
  <c r="DI102" i="14" s="1"/>
  <c r="DI103" i="14" s="1"/>
  <c r="DI104" i="14" s="1"/>
  <c r="DI105" i="14" s="1"/>
  <c r="DI106" i="14" s="1"/>
  <c r="DI107" i="14" s="1"/>
  <c r="DI108" i="14" s="1"/>
  <c r="DI109" i="14" s="1"/>
  <c r="DI110" i="14" s="1"/>
  <c r="DI111" i="14" s="1"/>
  <c r="DI112" i="14" s="1"/>
  <c r="DI113" i="14" s="1"/>
  <c r="DI114" i="14" s="1"/>
  <c r="DI115" i="14" s="1"/>
  <c r="DI116" i="14" s="1"/>
  <c r="DI117" i="14" s="1"/>
  <c r="DI118" i="14" s="1"/>
  <c r="DI119" i="14" s="1"/>
  <c r="DI120" i="14" s="1"/>
  <c r="DI121" i="14" s="1"/>
  <c r="DI122" i="14" s="1"/>
  <c r="DI123" i="14" s="1"/>
  <c r="DI124" i="14" s="1"/>
  <c r="G10" i="14"/>
  <c r="C13" i="6"/>
  <c r="O6" i="14"/>
  <c r="O7" i="14" s="1"/>
  <c r="O8" i="14" s="1"/>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Y6" i="14"/>
  <c r="Y7" i="14" s="1"/>
  <c r="Y8" i="14" s="1"/>
  <c r="Y9" i="14" s="1"/>
  <c r="Y10" i="14" s="1"/>
  <c r="Y11" i="14" s="1"/>
  <c r="Y12" i="14" s="1"/>
  <c r="Y13" i="14" s="1"/>
  <c r="Y14" i="14" s="1"/>
  <c r="Y15" i="14" s="1"/>
  <c r="Y16" i="14" s="1"/>
  <c r="Y17" i="14" s="1"/>
  <c r="Y18" i="14" s="1"/>
  <c r="Y19" i="14" s="1"/>
  <c r="Y20" i="14" s="1"/>
  <c r="Y21" i="14" s="1"/>
  <c r="Y22" i="14" s="1"/>
  <c r="Y23" i="14" s="1"/>
  <c r="Y24" i="14" s="1"/>
  <c r="Y25" i="14" s="1"/>
  <c r="Y26" i="14" s="1"/>
  <c r="Y27" i="14" s="1"/>
  <c r="Y28" i="14" s="1"/>
  <c r="Y29" i="14" s="1"/>
  <c r="Y30" i="14" s="1"/>
  <c r="Y31" i="14" s="1"/>
  <c r="Y32" i="14" s="1"/>
  <c r="Y33" i="14" s="1"/>
  <c r="Y34" i="14" s="1"/>
  <c r="Y35" i="14" s="1"/>
  <c r="Y36" i="14" s="1"/>
  <c r="Y37" i="14" s="1"/>
  <c r="Y38" i="14" s="1"/>
  <c r="Y39" i="14" s="1"/>
  <c r="Y40" i="14" s="1"/>
  <c r="Y41" i="14" s="1"/>
  <c r="Y42" i="14" s="1"/>
  <c r="Y43" i="14" s="1"/>
  <c r="Y44" i="14" s="1"/>
  <c r="Y45" i="14" s="1"/>
  <c r="Y46" i="14" s="1"/>
  <c r="Y47" i="14" s="1"/>
  <c r="Y48" i="14" s="1"/>
  <c r="Y49" i="14" s="1"/>
  <c r="Y50" i="14" s="1"/>
  <c r="Y51" i="14" s="1"/>
  <c r="Y52" i="14" s="1"/>
  <c r="Y53" i="14" s="1"/>
  <c r="Y54" i="14" s="1"/>
  <c r="Y55" i="14" s="1"/>
  <c r="Y56" i="14" s="1"/>
  <c r="Y57" i="14" s="1"/>
  <c r="Y58" i="14" s="1"/>
  <c r="Y59" i="14" s="1"/>
  <c r="Y60" i="14" s="1"/>
  <c r="Y61" i="14" s="1"/>
  <c r="Y62" i="14" s="1"/>
  <c r="Y63" i="14" s="1"/>
  <c r="Y64" i="14" s="1"/>
  <c r="Y65" i="14" s="1"/>
  <c r="Y66" i="14" s="1"/>
  <c r="Y67" i="14" s="1"/>
  <c r="Y68" i="14" s="1"/>
  <c r="Y69" i="14" s="1"/>
  <c r="Y70" i="14" s="1"/>
  <c r="Y71" i="14" s="1"/>
  <c r="Y72" i="14" s="1"/>
  <c r="Y73" i="14" s="1"/>
  <c r="Y74" i="14" s="1"/>
  <c r="Y75" i="14" s="1"/>
  <c r="Y76" i="14" s="1"/>
  <c r="Y77" i="14" s="1"/>
  <c r="Y78" i="14" s="1"/>
  <c r="Y79" i="14" s="1"/>
  <c r="Y80" i="14" s="1"/>
  <c r="Y81" i="14" s="1"/>
  <c r="Y82" i="14" s="1"/>
  <c r="Y83" i="14" s="1"/>
  <c r="Y84" i="14" s="1"/>
  <c r="Y85" i="14" s="1"/>
  <c r="Y86" i="14" s="1"/>
  <c r="Y87" i="14" s="1"/>
  <c r="Y88" i="14" s="1"/>
  <c r="Y89" i="14" s="1"/>
  <c r="Y90" i="14" s="1"/>
  <c r="Y91" i="14" s="1"/>
  <c r="Y92" i="14" s="1"/>
  <c r="Y93" i="14" s="1"/>
  <c r="Y94" i="14" s="1"/>
  <c r="Y95" i="14" s="1"/>
  <c r="Y96" i="14" s="1"/>
  <c r="Y97" i="14" s="1"/>
  <c r="Y98" i="14" s="1"/>
  <c r="Y99" i="14" s="1"/>
  <c r="Y100" i="14" s="1"/>
  <c r="Y101" i="14" s="1"/>
  <c r="Y102" i="14" s="1"/>
  <c r="Y103" i="14" s="1"/>
  <c r="Y104" i="14" s="1"/>
  <c r="Y105" i="14" s="1"/>
  <c r="Y106" i="14" s="1"/>
  <c r="Y107" i="14" s="1"/>
  <c r="Y108" i="14" s="1"/>
  <c r="Y109" i="14" s="1"/>
  <c r="Y110" i="14" s="1"/>
  <c r="Y111" i="14" s="1"/>
  <c r="Y112" i="14" s="1"/>
  <c r="Y113" i="14" s="1"/>
  <c r="Y114" i="14" s="1"/>
  <c r="Y115" i="14" s="1"/>
  <c r="Y116" i="14" s="1"/>
  <c r="Y117" i="14" s="1"/>
  <c r="Y118" i="14" s="1"/>
  <c r="Y119" i="14" s="1"/>
  <c r="Y120" i="14" s="1"/>
  <c r="Y121" i="14" s="1"/>
  <c r="Y122" i="14" s="1"/>
  <c r="Y123" i="14" s="1"/>
  <c r="Y124" i="14" s="1"/>
  <c r="AI6" i="14"/>
  <c r="AI7" i="14" s="1"/>
  <c r="AI8" i="14" s="1"/>
  <c r="AI9" i="14" s="1"/>
  <c r="AI10" i="14" s="1"/>
  <c r="AI11" i="14" s="1"/>
  <c r="AI12" i="14" s="1"/>
  <c r="AI13" i="14" s="1"/>
  <c r="AI14" i="14" s="1"/>
  <c r="AI15" i="14" s="1"/>
  <c r="AI16" i="14" s="1"/>
  <c r="AI17" i="14" s="1"/>
  <c r="AI18" i="14" s="1"/>
  <c r="AI19" i="14" s="1"/>
  <c r="AI20" i="14" s="1"/>
  <c r="AI21" i="14" s="1"/>
  <c r="AI22" i="14" s="1"/>
  <c r="AI23" i="14" s="1"/>
  <c r="AI24" i="14" s="1"/>
  <c r="AI25" i="14" s="1"/>
  <c r="AI26" i="14" s="1"/>
  <c r="AI27" i="14" s="1"/>
  <c r="AI28" i="14" s="1"/>
  <c r="AI29" i="14" s="1"/>
  <c r="AI30" i="14" s="1"/>
  <c r="AI31" i="14" s="1"/>
  <c r="AI32" i="14" s="1"/>
  <c r="AI33" i="14" s="1"/>
  <c r="AI34" i="14" s="1"/>
  <c r="AI35" i="14" s="1"/>
  <c r="AI36" i="14" s="1"/>
  <c r="AI37" i="14" s="1"/>
  <c r="AI38" i="14" s="1"/>
  <c r="AI39" i="14" s="1"/>
  <c r="AI40" i="14" s="1"/>
  <c r="AI41" i="14" s="1"/>
  <c r="AI42" i="14" s="1"/>
  <c r="AI43" i="14" s="1"/>
  <c r="AI44" i="14" s="1"/>
  <c r="AI45" i="14" s="1"/>
  <c r="AI46" i="14" s="1"/>
  <c r="AI47" i="14" s="1"/>
  <c r="AI48" i="14" s="1"/>
  <c r="AI49" i="14" s="1"/>
  <c r="AI50" i="14" s="1"/>
  <c r="AI51" i="14" s="1"/>
  <c r="AI52" i="14" s="1"/>
  <c r="AI53" i="14" s="1"/>
  <c r="AI54" i="14" s="1"/>
  <c r="AI55" i="14" s="1"/>
  <c r="AI56" i="14" s="1"/>
  <c r="AI57" i="14" s="1"/>
  <c r="AI58" i="14" s="1"/>
  <c r="AI59" i="14" s="1"/>
  <c r="AI60" i="14" s="1"/>
  <c r="AI61" i="14" s="1"/>
  <c r="AI62" i="14" s="1"/>
  <c r="AI63" i="14" s="1"/>
  <c r="AI64" i="14" s="1"/>
  <c r="AI65" i="14" s="1"/>
  <c r="AI66" i="14" s="1"/>
  <c r="AI67" i="14" s="1"/>
  <c r="AI68" i="14" s="1"/>
  <c r="AI69" i="14" s="1"/>
  <c r="AI70" i="14" s="1"/>
  <c r="AI71" i="14" s="1"/>
  <c r="AI72" i="14" s="1"/>
  <c r="AI73" i="14" s="1"/>
  <c r="AI74" i="14" s="1"/>
  <c r="AI75" i="14" s="1"/>
  <c r="AI76" i="14" s="1"/>
  <c r="AI77" i="14" s="1"/>
  <c r="AI78" i="14" s="1"/>
  <c r="AI79" i="14" s="1"/>
  <c r="AI80" i="14" s="1"/>
  <c r="AI81" i="14" s="1"/>
  <c r="AI82" i="14" s="1"/>
  <c r="AI83" i="14" s="1"/>
  <c r="AI84" i="14" s="1"/>
  <c r="AI85" i="14" s="1"/>
  <c r="AI86" i="14" s="1"/>
  <c r="AI87" i="14" s="1"/>
  <c r="AI88" i="14" s="1"/>
  <c r="AI89" i="14" s="1"/>
  <c r="AI90" i="14" s="1"/>
  <c r="AI91" i="14" s="1"/>
  <c r="AI92" i="14" s="1"/>
  <c r="AI93" i="14" s="1"/>
  <c r="AI94" i="14" s="1"/>
  <c r="AI95" i="14" s="1"/>
  <c r="AI96" i="14" s="1"/>
  <c r="AI97" i="14" s="1"/>
  <c r="AI98" i="14" s="1"/>
  <c r="AI99" i="14" s="1"/>
  <c r="AI100" i="14" s="1"/>
  <c r="AI101" i="14" s="1"/>
  <c r="AI102" i="14" s="1"/>
  <c r="AI103" i="14" s="1"/>
  <c r="AI104" i="14" s="1"/>
  <c r="AI105" i="14" s="1"/>
  <c r="AI106" i="14" s="1"/>
  <c r="AI107" i="14" s="1"/>
  <c r="AI108" i="14" s="1"/>
  <c r="AI109" i="14" s="1"/>
  <c r="AI110" i="14" s="1"/>
  <c r="AI111" i="14" s="1"/>
  <c r="AI112" i="14" s="1"/>
  <c r="AI113" i="14" s="1"/>
  <c r="AI114" i="14" s="1"/>
  <c r="AI115" i="14" s="1"/>
  <c r="AI116" i="14" s="1"/>
  <c r="AI117" i="14" s="1"/>
  <c r="AI118" i="14" s="1"/>
  <c r="AI119" i="14" s="1"/>
  <c r="AI120" i="14" s="1"/>
  <c r="AI121" i="14" s="1"/>
  <c r="AI122" i="14" s="1"/>
  <c r="AI123" i="14" s="1"/>
  <c r="AI124" i="14" s="1"/>
  <c r="AS6" i="14"/>
  <c r="AS7" i="14" s="1"/>
  <c r="AS8" i="14" s="1"/>
  <c r="AS9" i="14" s="1"/>
  <c r="AS10" i="14" s="1"/>
  <c r="AS11" i="14" s="1"/>
  <c r="AS12" i="14" s="1"/>
  <c r="AS13" i="14" s="1"/>
  <c r="AS14" i="14" s="1"/>
  <c r="AS15" i="14" s="1"/>
  <c r="AS16" i="14" s="1"/>
  <c r="AS17" i="14" s="1"/>
  <c r="AS18" i="14" s="1"/>
  <c r="AS19" i="14" s="1"/>
  <c r="AS20" i="14" s="1"/>
  <c r="AS21" i="14" s="1"/>
  <c r="AS22" i="14" s="1"/>
  <c r="AS23" i="14" s="1"/>
  <c r="AS24" i="14" s="1"/>
  <c r="AS25" i="14" s="1"/>
  <c r="AS26" i="14" s="1"/>
  <c r="AS27" i="14" s="1"/>
  <c r="AS28" i="14" s="1"/>
  <c r="AS29" i="14" s="1"/>
  <c r="AS30" i="14" s="1"/>
  <c r="AS31" i="14" s="1"/>
  <c r="AS32" i="14" s="1"/>
  <c r="AS33" i="14" s="1"/>
  <c r="AS34" i="14" s="1"/>
  <c r="AS35" i="14" s="1"/>
  <c r="AS36" i="14" s="1"/>
  <c r="AS37" i="14" s="1"/>
  <c r="AS38" i="14" s="1"/>
  <c r="AS39" i="14" s="1"/>
  <c r="AS40" i="14" s="1"/>
  <c r="AS41" i="14" s="1"/>
  <c r="AS42" i="14" s="1"/>
  <c r="AS43" i="14" s="1"/>
  <c r="AS44" i="14" s="1"/>
  <c r="AS45" i="14" s="1"/>
  <c r="AS46" i="14" s="1"/>
  <c r="AS47" i="14" s="1"/>
  <c r="AS48" i="14" s="1"/>
  <c r="AS49" i="14" s="1"/>
  <c r="AS50" i="14" s="1"/>
  <c r="AS51" i="14" s="1"/>
  <c r="AS52" i="14" s="1"/>
  <c r="AS53" i="14" s="1"/>
  <c r="AS54" i="14" s="1"/>
  <c r="AS55" i="14" s="1"/>
  <c r="AS56" i="14" s="1"/>
  <c r="AS57" i="14" s="1"/>
  <c r="AS58" i="14" s="1"/>
  <c r="AS59" i="14" s="1"/>
  <c r="AS60" i="14" s="1"/>
  <c r="AS61" i="14" s="1"/>
  <c r="AS62" i="14" s="1"/>
  <c r="AS63" i="14" s="1"/>
  <c r="AS64" i="14" s="1"/>
  <c r="AS65" i="14" s="1"/>
  <c r="AS66" i="14" s="1"/>
  <c r="AS67" i="14" s="1"/>
  <c r="AS68" i="14" s="1"/>
  <c r="AS69" i="14" s="1"/>
  <c r="AS70" i="14" s="1"/>
  <c r="AS71" i="14" s="1"/>
  <c r="AS72" i="14" s="1"/>
  <c r="AS73" i="14" s="1"/>
  <c r="AS74" i="14" s="1"/>
  <c r="AS75" i="14" s="1"/>
  <c r="AS76" i="14" s="1"/>
  <c r="AS77" i="14" s="1"/>
  <c r="AS78" i="14" s="1"/>
  <c r="AS79" i="14" s="1"/>
  <c r="AS80" i="14" s="1"/>
  <c r="AS81" i="14" s="1"/>
  <c r="AS82" i="14" s="1"/>
  <c r="AS83" i="14" s="1"/>
  <c r="AS84" i="14" s="1"/>
  <c r="AS85" i="14" s="1"/>
  <c r="AS86" i="14" s="1"/>
  <c r="AS87" i="14" s="1"/>
  <c r="AS88" i="14" s="1"/>
  <c r="AS89" i="14" s="1"/>
  <c r="AS90" i="14" s="1"/>
  <c r="AS91" i="14" s="1"/>
  <c r="AS92" i="14" s="1"/>
  <c r="AS93" i="14" s="1"/>
  <c r="AS94" i="14" s="1"/>
  <c r="AS95" i="14" s="1"/>
  <c r="AS96" i="14" s="1"/>
  <c r="AS97" i="14" s="1"/>
  <c r="AS98" i="14" s="1"/>
  <c r="AS99" i="14" s="1"/>
  <c r="AS100" i="14" s="1"/>
  <c r="AS101" i="14" s="1"/>
  <c r="AS102" i="14" s="1"/>
  <c r="AS103" i="14" s="1"/>
  <c r="AS104" i="14" s="1"/>
  <c r="AS105" i="14" s="1"/>
  <c r="AS106" i="14" s="1"/>
  <c r="AS107" i="14" s="1"/>
  <c r="AS108" i="14" s="1"/>
  <c r="AS109" i="14" s="1"/>
  <c r="AS110" i="14" s="1"/>
  <c r="AS111" i="14" s="1"/>
  <c r="AS112" i="14" s="1"/>
  <c r="AS113" i="14" s="1"/>
  <c r="AS114" i="14" s="1"/>
  <c r="AS115" i="14" s="1"/>
  <c r="AS116" i="14" s="1"/>
  <c r="AS117" i="14" s="1"/>
  <c r="AS118" i="14" s="1"/>
  <c r="AS119" i="14" s="1"/>
  <c r="AS120" i="14" s="1"/>
  <c r="AS121" i="14" s="1"/>
  <c r="AS122" i="14" s="1"/>
  <c r="AS123" i="14" s="1"/>
  <c r="AS124" i="14" s="1"/>
  <c r="BC6" i="14"/>
  <c r="BC7" i="14" s="1"/>
  <c r="BC8" i="14" s="1"/>
  <c r="BC9" i="14" s="1"/>
  <c r="BC10" i="14" s="1"/>
  <c r="BC11" i="14" s="1"/>
  <c r="BC12" i="14" s="1"/>
  <c r="BC13" i="14" s="1"/>
  <c r="BC14" i="14" s="1"/>
  <c r="BC15" i="14" s="1"/>
  <c r="BC16" i="14" s="1"/>
  <c r="BC17" i="14" s="1"/>
  <c r="BC18" i="14" s="1"/>
  <c r="BC19" i="14" s="1"/>
  <c r="BC20" i="14" s="1"/>
  <c r="BC21" i="14" s="1"/>
  <c r="BC22" i="14" s="1"/>
  <c r="BC23" i="14" s="1"/>
  <c r="BC24" i="14" s="1"/>
  <c r="BC25" i="14" s="1"/>
  <c r="BC26" i="14" s="1"/>
  <c r="BC27" i="14" s="1"/>
  <c r="BC28" i="14" s="1"/>
  <c r="BC29" i="14" s="1"/>
  <c r="BC30" i="14" s="1"/>
  <c r="BC31" i="14" s="1"/>
  <c r="BC32" i="14" s="1"/>
  <c r="BC33" i="14" s="1"/>
  <c r="BC34" i="14" s="1"/>
  <c r="BC35" i="14" s="1"/>
  <c r="BC36" i="14" s="1"/>
  <c r="BC37" i="14" s="1"/>
  <c r="BC38" i="14" s="1"/>
  <c r="BC39" i="14" s="1"/>
  <c r="BC40" i="14" s="1"/>
  <c r="BC41" i="14" s="1"/>
  <c r="BC42" i="14" s="1"/>
  <c r="BC43" i="14" s="1"/>
  <c r="BC44" i="14" s="1"/>
  <c r="BC45" i="14" s="1"/>
  <c r="BC46" i="14" s="1"/>
  <c r="BC47" i="14" s="1"/>
  <c r="BC48" i="14" s="1"/>
  <c r="BC49" i="14" s="1"/>
  <c r="BC50" i="14" s="1"/>
  <c r="BC51" i="14" s="1"/>
  <c r="BC52" i="14" s="1"/>
  <c r="BC53" i="14" s="1"/>
  <c r="BC54" i="14" s="1"/>
  <c r="BC55" i="14" s="1"/>
  <c r="BC56" i="14" s="1"/>
  <c r="BC57" i="14" s="1"/>
  <c r="BC58" i="14" s="1"/>
  <c r="BC59" i="14" s="1"/>
  <c r="BC60" i="14" s="1"/>
  <c r="BC61" i="14" s="1"/>
  <c r="BC62" i="14" s="1"/>
  <c r="BC63" i="14" s="1"/>
  <c r="BC64" i="14" s="1"/>
  <c r="BC65" i="14" s="1"/>
  <c r="BC66" i="14" s="1"/>
  <c r="BC67" i="14" s="1"/>
  <c r="BC68" i="14" s="1"/>
  <c r="BC69" i="14" s="1"/>
  <c r="BC70" i="14" s="1"/>
  <c r="BC71" i="14" s="1"/>
  <c r="BC72" i="14" s="1"/>
  <c r="BC73" i="14" s="1"/>
  <c r="BC74" i="14" s="1"/>
  <c r="BC75" i="14" s="1"/>
  <c r="BC76" i="14" s="1"/>
  <c r="BC77" i="14" s="1"/>
  <c r="BC78" i="14" s="1"/>
  <c r="BC79" i="14" s="1"/>
  <c r="BC80" i="14" s="1"/>
  <c r="BC81" i="14" s="1"/>
  <c r="BC82" i="14" s="1"/>
  <c r="BC83" i="14" s="1"/>
  <c r="BC84" i="14" s="1"/>
  <c r="BC85" i="14" s="1"/>
  <c r="BC86" i="14" s="1"/>
  <c r="BC87" i="14" s="1"/>
  <c r="BC88" i="14" s="1"/>
  <c r="BC89" i="14" s="1"/>
  <c r="BC90" i="14" s="1"/>
  <c r="BC91" i="14" s="1"/>
  <c r="BC92" i="14" s="1"/>
  <c r="BC93" i="14" s="1"/>
  <c r="BC94" i="14" s="1"/>
  <c r="BC95" i="14" s="1"/>
  <c r="BC96" i="14" s="1"/>
  <c r="BC97" i="14" s="1"/>
  <c r="BC98" i="14" s="1"/>
  <c r="BC99" i="14" s="1"/>
  <c r="BC100" i="14" s="1"/>
  <c r="BC101" i="14" s="1"/>
  <c r="BC102" i="14" s="1"/>
  <c r="BC103" i="14" s="1"/>
  <c r="BC104" i="14" s="1"/>
  <c r="BC105" i="14" s="1"/>
  <c r="BC106" i="14" s="1"/>
  <c r="BC107" i="14" s="1"/>
  <c r="BC108" i="14" s="1"/>
  <c r="BC109" i="14" s="1"/>
  <c r="BC110" i="14" s="1"/>
  <c r="BC111" i="14" s="1"/>
  <c r="BC112" i="14" s="1"/>
  <c r="BC113" i="14" s="1"/>
  <c r="BC114" i="14" s="1"/>
  <c r="BC115" i="14" s="1"/>
  <c r="BC116" i="14" s="1"/>
  <c r="BC117" i="14" s="1"/>
  <c r="BC118" i="14" s="1"/>
  <c r="BC119" i="14" s="1"/>
  <c r="BC120" i="14" s="1"/>
  <c r="BC121" i="14" s="1"/>
  <c r="BC122" i="14" s="1"/>
  <c r="BC123" i="14" s="1"/>
  <c r="BC124" i="14" s="1"/>
  <c r="BM6" i="14"/>
  <c r="BM7" i="14" s="1"/>
  <c r="BM8" i="14" s="1"/>
  <c r="BM9" i="14" s="1"/>
  <c r="BM10" i="14" s="1"/>
  <c r="BM11" i="14" s="1"/>
  <c r="BM12" i="14" s="1"/>
  <c r="BM13" i="14" s="1"/>
  <c r="BM14" i="14" s="1"/>
  <c r="BM15" i="14" s="1"/>
  <c r="BM16" i="14" s="1"/>
  <c r="BM17" i="14" s="1"/>
  <c r="BM18" i="14" s="1"/>
  <c r="BM19" i="14" s="1"/>
  <c r="BM20" i="14" s="1"/>
  <c r="BM21" i="14" s="1"/>
  <c r="BM22" i="14" s="1"/>
  <c r="BM23" i="14" s="1"/>
  <c r="BM24" i="14" s="1"/>
  <c r="BM25" i="14" s="1"/>
  <c r="BM26" i="14" s="1"/>
  <c r="BM27" i="14" s="1"/>
  <c r="BM28" i="14" s="1"/>
  <c r="BM29" i="14" s="1"/>
  <c r="BM30" i="14" s="1"/>
  <c r="BM31" i="14" s="1"/>
  <c r="BM32" i="14" s="1"/>
  <c r="BM33" i="14" s="1"/>
  <c r="BM34" i="14" s="1"/>
  <c r="BM35" i="14" s="1"/>
  <c r="BM36" i="14" s="1"/>
  <c r="BM37" i="14" s="1"/>
  <c r="BM38" i="14" s="1"/>
  <c r="BM39" i="14" s="1"/>
  <c r="BM40" i="14" s="1"/>
  <c r="BM41" i="14" s="1"/>
  <c r="BM42" i="14" s="1"/>
  <c r="BM43" i="14" s="1"/>
  <c r="BM44" i="14" s="1"/>
  <c r="BM45" i="14" s="1"/>
  <c r="BM46" i="14" s="1"/>
  <c r="BM47" i="14" s="1"/>
  <c r="BM48" i="14" s="1"/>
  <c r="BM49" i="14" s="1"/>
  <c r="BM50" i="14" s="1"/>
  <c r="BM51" i="14" s="1"/>
  <c r="BM52" i="14" s="1"/>
  <c r="BM53" i="14" s="1"/>
  <c r="BM54" i="14" s="1"/>
  <c r="BM55" i="14" s="1"/>
  <c r="BM56" i="14" s="1"/>
  <c r="BM57" i="14" s="1"/>
  <c r="BM58" i="14" s="1"/>
  <c r="BM59" i="14" s="1"/>
  <c r="BM60" i="14" s="1"/>
  <c r="BM61" i="14" s="1"/>
  <c r="BM62" i="14" s="1"/>
  <c r="BM63" i="14" s="1"/>
  <c r="BM64" i="14" s="1"/>
  <c r="BM65" i="14" s="1"/>
  <c r="BM66" i="14" s="1"/>
  <c r="BM67" i="14" s="1"/>
  <c r="BM68" i="14" s="1"/>
  <c r="BM69" i="14" s="1"/>
  <c r="BM70" i="14" s="1"/>
  <c r="BM71" i="14" s="1"/>
  <c r="BM72" i="14" s="1"/>
  <c r="BM73" i="14" s="1"/>
  <c r="BM74" i="14" s="1"/>
  <c r="BM75" i="14" s="1"/>
  <c r="BM76" i="14" s="1"/>
  <c r="BM77" i="14" s="1"/>
  <c r="BM78" i="14" s="1"/>
  <c r="BM79" i="14" s="1"/>
  <c r="BM80" i="14" s="1"/>
  <c r="BM81" i="14" s="1"/>
  <c r="BM82" i="14" s="1"/>
  <c r="BM83" i="14" s="1"/>
  <c r="BM84" i="14" s="1"/>
  <c r="BM85" i="14" s="1"/>
  <c r="BM86" i="14" s="1"/>
  <c r="BM87" i="14" s="1"/>
  <c r="BM88" i="14" s="1"/>
  <c r="BM89" i="14" s="1"/>
  <c r="BM90" i="14" s="1"/>
  <c r="BM91" i="14" s="1"/>
  <c r="BM92" i="14" s="1"/>
  <c r="BM93" i="14" s="1"/>
  <c r="BM94" i="14" s="1"/>
  <c r="BM95" i="14" s="1"/>
  <c r="BM96" i="14" s="1"/>
  <c r="BM97" i="14" s="1"/>
  <c r="BM98" i="14" s="1"/>
  <c r="BM99" i="14" s="1"/>
  <c r="BM100" i="14" s="1"/>
  <c r="BM101" i="14" s="1"/>
  <c r="BM102" i="14" s="1"/>
  <c r="BM103" i="14" s="1"/>
  <c r="BM104" i="14" s="1"/>
  <c r="BM105" i="14" s="1"/>
  <c r="BM106" i="14" s="1"/>
  <c r="BM107" i="14" s="1"/>
  <c r="BM108" i="14" s="1"/>
  <c r="BM109" i="14" s="1"/>
  <c r="BM110" i="14" s="1"/>
  <c r="BM111" i="14" s="1"/>
  <c r="BM112" i="14" s="1"/>
  <c r="BM113" i="14" s="1"/>
  <c r="BM114" i="14" s="1"/>
  <c r="BM115" i="14" s="1"/>
  <c r="BM116" i="14" s="1"/>
  <c r="BM117" i="14" s="1"/>
  <c r="BM118" i="14" s="1"/>
  <c r="BM119" i="14" s="1"/>
  <c r="BM120" i="14" s="1"/>
  <c r="BM121" i="14" s="1"/>
  <c r="BM122" i="14" s="1"/>
  <c r="BM123" i="14" s="1"/>
  <c r="BM124" i="14" s="1"/>
  <c r="BW6" i="14"/>
  <c r="BW7" i="14" s="1"/>
  <c r="BW8" i="14" s="1"/>
  <c r="BW9" i="14" s="1"/>
  <c r="BW10" i="14" s="1"/>
  <c r="BW11" i="14" s="1"/>
  <c r="BW12" i="14" s="1"/>
  <c r="BW13" i="14" s="1"/>
  <c r="BW14" i="14" s="1"/>
  <c r="BW15" i="14" s="1"/>
  <c r="BW16" i="14" s="1"/>
  <c r="BW17" i="14" s="1"/>
  <c r="BW18" i="14" s="1"/>
  <c r="BW19" i="14" s="1"/>
  <c r="BW20" i="14" s="1"/>
  <c r="BW21" i="14" s="1"/>
  <c r="BW22" i="14" s="1"/>
  <c r="BW23" i="14" s="1"/>
  <c r="BW24" i="14" s="1"/>
  <c r="BW25" i="14" s="1"/>
  <c r="BW26" i="14" s="1"/>
  <c r="BW27" i="14" s="1"/>
  <c r="BW28" i="14" s="1"/>
  <c r="BW29" i="14" s="1"/>
  <c r="BW30" i="14" s="1"/>
  <c r="BW31" i="14" s="1"/>
  <c r="BW32" i="14" s="1"/>
  <c r="BW33" i="14" s="1"/>
  <c r="BW34" i="14" s="1"/>
  <c r="BW35" i="14" s="1"/>
  <c r="BW36" i="14" s="1"/>
  <c r="BW37" i="14" s="1"/>
  <c r="BW38" i="14" s="1"/>
  <c r="BW39" i="14" s="1"/>
  <c r="BW40" i="14" s="1"/>
  <c r="BW41" i="14" s="1"/>
  <c r="BW42" i="14" s="1"/>
  <c r="BW43" i="14" s="1"/>
  <c r="BW44" i="14" s="1"/>
  <c r="BW45" i="14" s="1"/>
  <c r="BW46" i="14" s="1"/>
  <c r="BW47" i="14" s="1"/>
  <c r="BW48" i="14" s="1"/>
  <c r="BW49" i="14" s="1"/>
  <c r="BW50" i="14" s="1"/>
  <c r="BW51" i="14" s="1"/>
  <c r="BW52" i="14" s="1"/>
  <c r="BW53" i="14" s="1"/>
  <c r="BW54" i="14" s="1"/>
  <c r="BW55" i="14" s="1"/>
  <c r="BW56" i="14" s="1"/>
  <c r="BW57" i="14" s="1"/>
  <c r="BW58" i="14" s="1"/>
  <c r="BW59" i="14" s="1"/>
  <c r="BW60" i="14" s="1"/>
  <c r="BW61" i="14" s="1"/>
  <c r="BW62" i="14" s="1"/>
  <c r="BW63" i="14" s="1"/>
  <c r="BW64" i="14" s="1"/>
  <c r="BW65" i="14" s="1"/>
  <c r="BW66" i="14" s="1"/>
  <c r="BW67" i="14" s="1"/>
  <c r="BW68" i="14" s="1"/>
  <c r="BW69" i="14" s="1"/>
  <c r="BW70" i="14" s="1"/>
  <c r="BW71" i="14" s="1"/>
  <c r="BW72" i="14" s="1"/>
  <c r="BW73" i="14" s="1"/>
  <c r="BW74" i="14" s="1"/>
  <c r="BW75" i="14" s="1"/>
  <c r="BW76" i="14" s="1"/>
  <c r="BW77" i="14" s="1"/>
  <c r="BW78" i="14" s="1"/>
  <c r="BW79" i="14" s="1"/>
  <c r="BW80" i="14" s="1"/>
  <c r="BW81" i="14" s="1"/>
  <c r="BW82" i="14" s="1"/>
  <c r="BW83" i="14" s="1"/>
  <c r="BW84" i="14" s="1"/>
  <c r="BW85" i="14" s="1"/>
  <c r="BW86" i="14" s="1"/>
  <c r="BW87" i="14" s="1"/>
  <c r="BW88" i="14" s="1"/>
  <c r="BW89" i="14" s="1"/>
  <c r="BW90" i="14" s="1"/>
  <c r="BW91" i="14" s="1"/>
  <c r="BW92" i="14" s="1"/>
  <c r="BW93" i="14" s="1"/>
  <c r="BW94" i="14" s="1"/>
  <c r="BW95" i="14" s="1"/>
  <c r="BW96" i="14" s="1"/>
  <c r="BW97" i="14" s="1"/>
  <c r="BW98" i="14" s="1"/>
  <c r="BW99" i="14" s="1"/>
  <c r="BW100" i="14" s="1"/>
  <c r="BW101" i="14" s="1"/>
  <c r="BW102" i="14" s="1"/>
  <c r="BW103" i="14" s="1"/>
  <c r="BW104" i="14" s="1"/>
  <c r="BW105" i="14" s="1"/>
  <c r="BW106" i="14" s="1"/>
  <c r="BW107" i="14" s="1"/>
  <c r="BW108" i="14" s="1"/>
  <c r="BW109" i="14" s="1"/>
  <c r="BW110" i="14" s="1"/>
  <c r="BW111" i="14" s="1"/>
  <c r="BW112" i="14" s="1"/>
  <c r="BW113" i="14" s="1"/>
  <c r="BW114" i="14" s="1"/>
  <c r="BW115" i="14" s="1"/>
  <c r="BW116" i="14" s="1"/>
  <c r="BW117" i="14" s="1"/>
  <c r="BW118" i="14" s="1"/>
  <c r="BW119" i="14" s="1"/>
  <c r="BW120" i="14" s="1"/>
  <c r="BW121" i="14" s="1"/>
  <c r="BW122" i="14" s="1"/>
  <c r="BW123" i="14" s="1"/>
  <c r="BW124" i="14" s="1"/>
  <c r="CG6" i="14"/>
  <c r="CG7" i="14" s="1"/>
  <c r="CG8" i="14" s="1"/>
  <c r="CG9" i="14" s="1"/>
  <c r="CG10" i="14" s="1"/>
  <c r="CG11" i="14" s="1"/>
  <c r="CG12" i="14" s="1"/>
  <c r="CG13" i="14" s="1"/>
  <c r="CG14" i="14" s="1"/>
  <c r="CG15" i="14" s="1"/>
  <c r="CG16" i="14" s="1"/>
  <c r="CG17" i="14" s="1"/>
  <c r="CG18" i="14" s="1"/>
  <c r="CG19" i="14" s="1"/>
  <c r="CG20" i="14" s="1"/>
  <c r="CG21" i="14" s="1"/>
  <c r="CG22" i="14" s="1"/>
  <c r="CG23" i="14" s="1"/>
  <c r="CG24" i="14" s="1"/>
  <c r="CG25" i="14" s="1"/>
  <c r="CG26" i="14" s="1"/>
  <c r="CG27" i="14" s="1"/>
  <c r="CG28" i="14" s="1"/>
  <c r="CG29" i="14" s="1"/>
  <c r="CG30" i="14" s="1"/>
  <c r="CG31" i="14" s="1"/>
  <c r="CG32" i="14" s="1"/>
  <c r="CG33" i="14" s="1"/>
  <c r="CG34" i="14" s="1"/>
  <c r="CG35" i="14" s="1"/>
  <c r="CG36" i="14" s="1"/>
  <c r="CG37" i="14" s="1"/>
  <c r="CG38" i="14" s="1"/>
  <c r="CG39" i="14" s="1"/>
  <c r="CG40" i="14" s="1"/>
  <c r="CG41" i="14" s="1"/>
  <c r="CG42" i="14" s="1"/>
  <c r="CG43" i="14" s="1"/>
  <c r="CG44" i="14" s="1"/>
  <c r="CG45" i="14" s="1"/>
  <c r="CG46" i="14" s="1"/>
  <c r="CG47" i="14" s="1"/>
  <c r="CG48" i="14" s="1"/>
  <c r="CG49" i="14" s="1"/>
  <c r="CG50" i="14" s="1"/>
  <c r="CG51" i="14" s="1"/>
  <c r="CG52" i="14" s="1"/>
  <c r="CG53" i="14" s="1"/>
  <c r="CG54" i="14" s="1"/>
  <c r="CG55" i="14" s="1"/>
  <c r="CG56" i="14" s="1"/>
  <c r="CG57" i="14" s="1"/>
  <c r="CG58" i="14" s="1"/>
  <c r="CG59" i="14" s="1"/>
  <c r="CG60" i="14" s="1"/>
  <c r="CG61" i="14" s="1"/>
  <c r="CG62" i="14" s="1"/>
  <c r="CG63" i="14" s="1"/>
  <c r="CG64" i="14" s="1"/>
  <c r="CG65" i="14" s="1"/>
  <c r="CG66" i="14" s="1"/>
  <c r="CG67" i="14" s="1"/>
  <c r="CG68" i="14" s="1"/>
  <c r="CG69" i="14" s="1"/>
  <c r="CG70" i="14" s="1"/>
  <c r="CG71" i="14" s="1"/>
  <c r="CG72" i="14" s="1"/>
  <c r="CG73" i="14" s="1"/>
  <c r="CG74" i="14" s="1"/>
  <c r="CG75" i="14" s="1"/>
  <c r="CG76" i="14" s="1"/>
  <c r="CG77" i="14" s="1"/>
  <c r="CG78" i="14" s="1"/>
  <c r="CG79" i="14" s="1"/>
  <c r="CG80" i="14" s="1"/>
  <c r="CG81" i="14" s="1"/>
  <c r="CG82" i="14" s="1"/>
  <c r="CG83" i="14" s="1"/>
  <c r="CG84" i="14" s="1"/>
  <c r="CG85" i="14" s="1"/>
  <c r="CG86" i="14" s="1"/>
  <c r="CG87" i="14" s="1"/>
  <c r="CG88" i="14" s="1"/>
  <c r="CG89" i="14" s="1"/>
  <c r="CG90" i="14" s="1"/>
  <c r="CG91" i="14" s="1"/>
  <c r="CG92" i="14" s="1"/>
  <c r="CG93" i="14" s="1"/>
  <c r="CG94" i="14" s="1"/>
  <c r="CG95" i="14" s="1"/>
  <c r="CG96" i="14" s="1"/>
  <c r="CG97" i="14" s="1"/>
  <c r="CG98" i="14" s="1"/>
  <c r="CG99" i="14" s="1"/>
  <c r="CG100" i="14" s="1"/>
  <c r="CG101" i="14" s="1"/>
  <c r="CG102" i="14" s="1"/>
  <c r="CG103" i="14" s="1"/>
  <c r="CG104" i="14" s="1"/>
  <c r="CG105" i="14" s="1"/>
  <c r="CG106" i="14" s="1"/>
  <c r="CG107" i="14" s="1"/>
  <c r="CG108" i="14" s="1"/>
  <c r="CG109" i="14" s="1"/>
  <c r="CG110" i="14" s="1"/>
  <c r="CG111" i="14" s="1"/>
  <c r="CG112" i="14" s="1"/>
  <c r="CG113" i="14" s="1"/>
  <c r="CG114" i="14" s="1"/>
  <c r="CG115" i="14" s="1"/>
  <c r="CG116" i="14" s="1"/>
  <c r="CG117" i="14" s="1"/>
  <c r="CG118" i="14" s="1"/>
  <c r="CG119" i="14" s="1"/>
  <c r="CG120" i="14" s="1"/>
  <c r="CG121" i="14" s="1"/>
  <c r="CG122" i="14" s="1"/>
  <c r="CG123" i="14" s="1"/>
  <c r="CG124" i="14" s="1"/>
  <c r="CQ6" i="14"/>
  <c r="CQ7" i="14" s="1"/>
  <c r="CQ8" i="14" s="1"/>
  <c r="CQ9" i="14" s="1"/>
  <c r="CQ10" i="14" s="1"/>
  <c r="CQ11" i="14" s="1"/>
  <c r="CQ12" i="14" s="1"/>
  <c r="CQ13" i="14" s="1"/>
  <c r="CQ14" i="14" s="1"/>
  <c r="CQ15" i="14" s="1"/>
  <c r="CQ16" i="14" s="1"/>
  <c r="CQ17" i="14" s="1"/>
  <c r="CQ18" i="14" s="1"/>
  <c r="CQ19" i="14" s="1"/>
  <c r="CQ20" i="14" s="1"/>
  <c r="CQ21" i="14" s="1"/>
  <c r="CQ22" i="14" s="1"/>
  <c r="CQ23" i="14" s="1"/>
  <c r="CQ24" i="14" s="1"/>
  <c r="CQ25" i="14" s="1"/>
  <c r="CQ26" i="14" s="1"/>
  <c r="CQ27" i="14" s="1"/>
  <c r="CQ28" i="14" s="1"/>
  <c r="CQ29" i="14" s="1"/>
  <c r="CQ30" i="14" s="1"/>
  <c r="CQ31" i="14" s="1"/>
  <c r="CQ32" i="14" s="1"/>
  <c r="CQ33" i="14" s="1"/>
  <c r="CQ34" i="14" s="1"/>
  <c r="CQ35" i="14" s="1"/>
  <c r="CQ36" i="14" s="1"/>
  <c r="CQ37" i="14" s="1"/>
  <c r="CQ38" i="14" s="1"/>
  <c r="CQ39" i="14" s="1"/>
  <c r="CQ40" i="14" s="1"/>
  <c r="CQ41" i="14" s="1"/>
  <c r="CQ42" i="14" s="1"/>
  <c r="CQ43" i="14" s="1"/>
  <c r="CQ44" i="14" s="1"/>
  <c r="CQ45" i="14" s="1"/>
  <c r="CQ46" i="14" s="1"/>
  <c r="CQ47" i="14" s="1"/>
  <c r="CQ48" i="14" s="1"/>
  <c r="CQ49" i="14" s="1"/>
  <c r="CQ50" i="14" s="1"/>
  <c r="CQ51" i="14" s="1"/>
  <c r="CQ52" i="14" s="1"/>
  <c r="CQ53" i="14" s="1"/>
  <c r="CQ54" i="14" s="1"/>
  <c r="CQ55" i="14" s="1"/>
  <c r="CQ56" i="14" s="1"/>
  <c r="CQ57" i="14" s="1"/>
  <c r="CQ58" i="14" s="1"/>
  <c r="CQ59" i="14" s="1"/>
  <c r="CQ60" i="14" s="1"/>
  <c r="CQ61" i="14" s="1"/>
  <c r="CQ62" i="14" s="1"/>
  <c r="CQ63" i="14" s="1"/>
  <c r="CQ64" i="14" s="1"/>
  <c r="CQ65" i="14" s="1"/>
  <c r="CQ66" i="14" s="1"/>
  <c r="CQ67" i="14" s="1"/>
  <c r="CQ68" i="14" s="1"/>
  <c r="CQ69" i="14" s="1"/>
  <c r="CQ70" i="14" s="1"/>
  <c r="CQ71" i="14" s="1"/>
  <c r="CQ72" i="14" s="1"/>
  <c r="CQ73" i="14" s="1"/>
  <c r="CQ74" i="14" s="1"/>
  <c r="CQ75" i="14" s="1"/>
  <c r="CQ76" i="14" s="1"/>
  <c r="CQ77" i="14" s="1"/>
  <c r="CQ78" i="14" s="1"/>
  <c r="CQ79" i="14" s="1"/>
  <c r="CQ80" i="14" s="1"/>
  <c r="CQ81" i="14" s="1"/>
  <c r="CQ82" i="14" s="1"/>
  <c r="CQ83" i="14" s="1"/>
  <c r="CQ84" i="14" s="1"/>
  <c r="CQ85" i="14" s="1"/>
  <c r="CQ86" i="14" s="1"/>
  <c r="CQ87" i="14" s="1"/>
  <c r="CQ88" i="14" s="1"/>
  <c r="CQ89" i="14" s="1"/>
  <c r="CQ90" i="14" s="1"/>
  <c r="CQ91" i="14" s="1"/>
  <c r="CQ92" i="14" s="1"/>
  <c r="CQ93" i="14" s="1"/>
  <c r="CQ94" i="14" s="1"/>
  <c r="CQ95" i="14" s="1"/>
  <c r="CQ96" i="14" s="1"/>
  <c r="CQ97" i="14" s="1"/>
  <c r="CQ98" i="14" s="1"/>
  <c r="CQ99" i="14" s="1"/>
  <c r="CQ100" i="14" s="1"/>
  <c r="CQ101" i="14" s="1"/>
  <c r="CQ102" i="14" s="1"/>
  <c r="CQ103" i="14" s="1"/>
  <c r="CQ104" i="14" s="1"/>
  <c r="CQ105" i="14" s="1"/>
  <c r="CQ106" i="14" s="1"/>
  <c r="CQ107" i="14" s="1"/>
  <c r="CQ108" i="14" s="1"/>
  <c r="CQ109" i="14" s="1"/>
  <c r="CQ110" i="14" s="1"/>
  <c r="CQ111" i="14" s="1"/>
  <c r="CQ112" i="14" s="1"/>
  <c r="CQ113" i="14" s="1"/>
  <c r="CQ114" i="14" s="1"/>
  <c r="CQ115" i="14" s="1"/>
  <c r="CQ116" i="14" s="1"/>
  <c r="CQ117" i="14" s="1"/>
  <c r="CQ118" i="14" s="1"/>
  <c r="CQ119" i="14" s="1"/>
  <c r="CQ120" i="14" s="1"/>
  <c r="CQ121" i="14" s="1"/>
  <c r="CQ122" i="14" s="1"/>
  <c r="CQ123" i="14" s="1"/>
  <c r="CQ124" i="14" s="1"/>
  <c r="DA6" i="14"/>
  <c r="DA7" i="14" s="1"/>
  <c r="DA8" i="14" s="1"/>
  <c r="DA9" i="14" s="1"/>
  <c r="DA10" i="14" s="1"/>
  <c r="DA11" i="14" s="1"/>
  <c r="DA12" i="14" s="1"/>
  <c r="DA13" i="14" s="1"/>
  <c r="DA14" i="14" s="1"/>
  <c r="DA15" i="14" s="1"/>
  <c r="DA16" i="14" s="1"/>
  <c r="DA17" i="14" s="1"/>
  <c r="DA18" i="14" s="1"/>
  <c r="DA19" i="14" s="1"/>
  <c r="DA20" i="14" s="1"/>
  <c r="DA21" i="14" s="1"/>
  <c r="DA22" i="14" s="1"/>
  <c r="DA23" i="14" s="1"/>
  <c r="DA24" i="14" s="1"/>
  <c r="DA25" i="14" s="1"/>
  <c r="DA26" i="14" s="1"/>
  <c r="DA27" i="14" s="1"/>
  <c r="DA28" i="14" s="1"/>
  <c r="DA29" i="14" s="1"/>
  <c r="DA30" i="14" s="1"/>
  <c r="DA31" i="14" s="1"/>
  <c r="DA32" i="14" s="1"/>
  <c r="DA33" i="14" s="1"/>
  <c r="DA34" i="14" s="1"/>
  <c r="DA35" i="14" s="1"/>
  <c r="DA36" i="14" s="1"/>
  <c r="DA37" i="14" s="1"/>
  <c r="DA38" i="14" s="1"/>
  <c r="DA39" i="14" s="1"/>
  <c r="DA40" i="14" s="1"/>
  <c r="DA41" i="14" s="1"/>
  <c r="DA42" i="14" s="1"/>
  <c r="DA43" i="14" s="1"/>
  <c r="DA44" i="14" s="1"/>
  <c r="DA45" i="14" s="1"/>
  <c r="DA46" i="14" s="1"/>
  <c r="DA47" i="14" s="1"/>
  <c r="DA48" i="14" s="1"/>
  <c r="DA49" i="14" s="1"/>
  <c r="DA50" i="14" s="1"/>
  <c r="DA51" i="14" s="1"/>
  <c r="DA52" i="14" s="1"/>
  <c r="DA53" i="14" s="1"/>
  <c r="DA54" i="14" s="1"/>
  <c r="DA55" i="14" s="1"/>
  <c r="DA56" i="14" s="1"/>
  <c r="DA57" i="14" s="1"/>
  <c r="DA58" i="14" s="1"/>
  <c r="DA59" i="14" s="1"/>
  <c r="DA60" i="14" s="1"/>
  <c r="DA61" i="14" s="1"/>
  <c r="DA62" i="14" s="1"/>
  <c r="DA63" i="14" s="1"/>
  <c r="DA64" i="14" s="1"/>
  <c r="DA65" i="14" s="1"/>
  <c r="DA66" i="14" s="1"/>
  <c r="DA67" i="14" s="1"/>
  <c r="DA68" i="14" s="1"/>
  <c r="DA69" i="14" s="1"/>
  <c r="DA70" i="14" s="1"/>
  <c r="DA71" i="14" s="1"/>
  <c r="DA72" i="14" s="1"/>
  <c r="DA73" i="14" s="1"/>
  <c r="DA74" i="14" s="1"/>
  <c r="DA75" i="14" s="1"/>
  <c r="DA76" i="14" s="1"/>
  <c r="DA77" i="14" s="1"/>
  <c r="DA78" i="14" s="1"/>
  <c r="DA79" i="14" s="1"/>
  <c r="DA80" i="14" s="1"/>
  <c r="DA81" i="14" s="1"/>
  <c r="DA82" i="14" s="1"/>
  <c r="DA83" i="14" s="1"/>
  <c r="DA84" i="14" s="1"/>
  <c r="DA85" i="14" s="1"/>
  <c r="DA86" i="14" s="1"/>
  <c r="DA87" i="14" s="1"/>
  <c r="DA88" i="14" s="1"/>
  <c r="DA89" i="14" s="1"/>
  <c r="DA90" i="14" s="1"/>
  <c r="DA91" i="14" s="1"/>
  <c r="DA92" i="14" s="1"/>
  <c r="DA93" i="14" s="1"/>
  <c r="DA94" i="14" s="1"/>
  <c r="DA95" i="14" s="1"/>
  <c r="DA96" i="14" s="1"/>
  <c r="DA97" i="14" s="1"/>
  <c r="DA98" i="14" s="1"/>
  <c r="DA99" i="14" s="1"/>
  <c r="DA100" i="14" s="1"/>
  <c r="DA101" i="14" s="1"/>
  <c r="DA102" i="14" s="1"/>
  <c r="DA103" i="14" s="1"/>
  <c r="DA104" i="14" s="1"/>
  <c r="DA105" i="14" s="1"/>
  <c r="DA106" i="14" s="1"/>
  <c r="DA107" i="14" s="1"/>
  <c r="DA108" i="14" s="1"/>
  <c r="DA109" i="14" s="1"/>
  <c r="DA110" i="14" s="1"/>
  <c r="DA111" i="14" s="1"/>
  <c r="DA112" i="14" s="1"/>
  <c r="DA113" i="14" s="1"/>
  <c r="DA114" i="14" s="1"/>
  <c r="DA115" i="14" s="1"/>
  <c r="DA116" i="14" s="1"/>
  <c r="DA117" i="14" s="1"/>
  <c r="DA118" i="14" s="1"/>
  <c r="DA119" i="14" s="1"/>
  <c r="DA120" i="14" s="1"/>
  <c r="DA121" i="14" s="1"/>
  <c r="DA122" i="14" s="1"/>
  <c r="DA123" i="14" s="1"/>
  <c r="DA124" i="14" s="1"/>
  <c r="G82" i="14"/>
  <c r="G88" i="14"/>
  <c r="BX6" i="14"/>
  <c r="BX7" i="14" s="1"/>
  <c r="BX8" i="14" s="1"/>
  <c r="BX9" i="14" s="1"/>
  <c r="BX10" i="14" s="1"/>
  <c r="BX11" i="14" s="1"/>
  <c r="BX12" i="14" s="1"/>
  <c r="BX13" i="14" s="1"/>
  <c r="BX14" i="14" s="1"/>
  <c r="BX15" i="14" s="1"/>
  <c r="BX16" i="14" s="1"/>
  <c r="BX17" i="14" s="1"/>
  <c r="BX18" i="14" s="1"/>
  <c r="BX19" i="14" s="1"/>
  <c r="BX20" i="14" s="1"/>
  <c r="BX21" i="14" s="1"/>
  <c r="BX22" i="14" s="1"/>
  <c r="BX23" i="14" s="1"/>
  <c r="BX24" i="14" s="1"/>
  <c r="BX25" i="14" s="1"/>
  <c r="BX26" i="14" s="1"/>
  <c r="BX27" i="14" s="1"/>
  <c r="BX28" i="14" s="1"/>
  <c r="BX29" i="14" s="1"/>
  <c r="BX30" i="14" s="1"/>
  <c r="BX31" i="14" s="1"/>
  <c r="BX32" i="14" s="1"/>
  <c r="BX33" i="14" s="1"/>
  <c r="BX34" i="14" s="1"/>
  <c r="BX35" i="14" s="1"/>
  <c r="BX36" i="14" s="1"/>
  <c r="BX37" i="14" s="1"/>
  <c r="BX38" i="14" s="1"/>
  <c r="BX39" i="14" s="1"/>
  <c r="BX40" i="14" s="1"/>
  <c r="BX41" i="14" s="1"/>
  <c r="BX42" i="14" s="1"/>
  <c r="BX43" i="14" s="1"/>
  <c r="BX44" i="14" s="1"/>
  <c r="BX45" i="14" s="1"/>
  <c r="BX46" i="14" s="1"/>
  <c r="BX47" i="14" s="1"/>
  <c r="BX48" i="14" s="1"/>
  <c r="BX49" i="14" s="1"/>
  <c r="BX50" i="14" s="1"/>
  <c r="BX51" i="14" s="1"/>
  <c r="BX52" i="14" s="1"/>
  <c r="BX53" i="14" s="1"/>
  <c r="BX54" i="14" s="1"/>
  <c r="BX55" i="14" s="1"/>
  <c r="BX56" i="14" s="1"/>
  <c r="BX57" i="14" s="1"/>
  <c r="BX58" i="14" s="1"/>
  <c r="BX59" i="14" s="1"/>
  <c r="BX60" i="14" s="1"/>
  <c r="BX61" i="14" s="1"/>
  <c r="BX62" i="14" s="1"/>
  <c r="BX63" i="14" s="1"/>
  <c r="BX64" i="14" s="1"/>
  <c r="BX65" i="14" s="1"/>
  <c r="BX66" i="14" s="1"/>
  <c r="BX67" i="14" s="1"/>
  <c r="BX68" i="14" s="1"/>
  <c r="BX69" i="14" s="1"/>
  <c r="BX70" i="14" s="1"/>
  <c r="BX71" i="14" s="1"/>
  <c r="BX72" i="14" s="1"/>
  <c r="BX73" i="14" s="1"/>
  <c r="BX74" i="14" s="1"/>
  <c r="BX75" i="14" s="1"/>
  <c r="BX76" i="14" s="1"/>
  <c r="BX77" i="14" s="1"/>
  <c r="BX78" i="14" s="1"/>
  <c r="BX79" i="14" s="1"/>
  <c r="BX80" i="14" s="1"/>
  <c r="BX81" i="14" s="1"/>
  <c r="BX82" i="14" s="1"/>
  <c r="BX83" i="14" s="1"/>
  <c r="BX84" i="14" s="1"/>
  <c r="BX85" i="14" s="1"/>
  <c r="BX86" i="14" s="1"/>
  <c r="BX87" i="14" s="1"/>
  <c r="BX88" i="14" s="1"/>
  <c r="BX89" i="14" s="1"/>
  <c r="BX90" i="14" s="1"/>
  <c r="BX91" i="14" s="1"/>
  <c r="BX92" i="14" s="1"/>
  <c r="BX93" i="14" s="1"/>
  <c r="BX94" i="14" s="1"/>
  <c r="BX95" i="14" s="1"/>
  <c r="BX96" i="14" s="1"/>
  <c r="BX97" i="14" s="1"/>
  <c r="BX98" i="14" s="1"/>
  <c r="BX99" i="14" s="1"/>
  <c r="BX100" i="14" s="1"/>
  <c r="BX101" i="14" s="1"/>
  <c r="BX102" i="14" s="1"/>
  <c r="BX103" i="14" s="1"/>
  <c r="BX104" i="14" s="1"/>
  <c r="BX105" i="14" s="1"/>
  <c r="BX106" i="14" s="1"/>
  <c r="BX107" i="14" s="1"/>
  <c r="BX108" i="14" s="1"/>
  <c r="BX109" i="14" s="1"/>
  <c r="BX110" i="14" s="1"/>
  <c r="BX111" i="14" s="1"/>
  <c r="BX112" i="14" s="1"/>
  <c r="BX113" i="14" s="1"/>
  <c r="BX114" i="14" s="1"/>
  <c r="BX115" i="14" s="1"/>
  <c r="BX116" i="14" s="1"/>
  <c r="BX117" i="14" s="1"/>
  <c r="BX118" i="14" s="1"/>
  <c r="BX119" i="14" s="1"/>
  <c r="BX120" i="14" s="1"/>
  <c r="BX121" i="14" s="1"/>
  <c r="BX122" i="14" s="1"/>
  <c r="BX123" i="14" s="1"/>
  <c r="BX124" i="14" s="1"/>
  <c r="G77" i="14"/>
  <c r="G71" i="14"/>
  <c r="CS6" i="14"/>
  <c r="CS7" i="14" s="1"/>
  <c r="CS8" i="14" s="1"/>
  <c r="CS9" i="14" s="1"/>
  <c r="CS10" i="14" s="1"/>
  <c r="CS11" i="14" s="1"/>
  <c r="CS12" i="14" s="1"/>
  <c r="CS13" i="14" s="1"/>
  <c r="CS14" i="14" s="1"/>
  <c r="CS15" i="14" s="1"/>
  <c r="CS16" i="14" s="1"/>
  <c r="CS17" i="14" s="1"/>
  <c r="CS18" i="14" s="1"/>
  <c r="CS19" i="14" s="1"/>
  <c r="CS20" i="14" s="1"/>
  <c r="CS21" i="14" s="1"/>
  <c r="CS22" i="14" s="1"/>
  <c r="CS23" i="14" s="1"/>
  <c r="CS24" i="14" s="1"/>
  <c r="CS25" i="14" s="1"/>
  <c r="CS26" i="14" s="1"/>
  <c r="CS27" i="14" s="1"/>
  <c r="CS28" i="14" s="1"/>
  <c r="CS29" i="14" s="1"/>
  <c r="CS30" i="14" s="1"/>
  <c r="CS31" i="14" s="1"/>
  <c r="CS32" i="14" s="1"/>
  <c r="CS33" i="14" s="1"/>
  <c r="CS34" i="14" s="1"/>
  <c r="CS35" i="14" s="1"/>
  <c r="CS36" i="14" s="1"/>
  <c r="CS37" i="14" s="1"/>
  <c r="CS38" i="14" s="1"/>
  <c r="CS39" i="14" s="1"/>
  <c r="CS40" i="14" s="1"/>
  <c r="CS41" i="14" s="1"/>
  <c r="CS42" i="14" s="1"/>
  <c r="CS43" i="14" s="1"/>
  <c r="CS44" i="14" s="1"/>
  <c r="CS45" i="14" s="1"/>
  <c r="CS46" i="14" s="1"/>
  <c r="CS47" i="14" s="1"/>
  <c r="CS48" i="14" s="1"/>
  <c r="CS49" i="14" s="1"/>
  <c r="CS50" i="14" s="1"/>
  <c r="CS51" i="14" s="1"/>
  <c r="CS52" i="14" s="1"/>
  <c r="CS53" i="14" s="1"/>
  <c r="CS54" i="14" s="1"/>
  <c r="CS55" i="14" s="1"/>
  <c r="CS56" i="14" s="1"/>
  <c r="CS57" i="14" s="1"/>
  <c r="CS58" i="14" s="1"/>
  <c r="CS59" i="14" s="1"/>
  <c r="CS60" i="14" s="1"/>
  <c r="CS61" i="14" s="1"/>
  <c r="CS62" i="14" s="1"/>
  <c r="CS63" i="14" s="1"/>
  <c r="CS64" i="14" s="1"/>
  <c r="CS65" i="14" s="1"/>
  <c r="CS66" i="14" s="1"/>
  <c r="CS67" i="14" s="1"/>
  <c r="CS68" i="14" s="1"/>
  <c r="CS69" i="14" s="1"/>
  <c r="CS70" i="14" s="1"/>
  <c r="CS71" i="14" s="1"/>
  <c r="CS72" i="14" s="1"/>
  <c r="CS73" i="14" s="1"/>
  <c r="CS74" i="14" s="1"/>
  <c r="CS75" i="14" s="1"/>
  <c r="CS76" i="14" s="1"/>
  <c r="CS77" i="14" s="1"/>
  <c r="CS78" i="14" s="1"/>
  <c r="CS79" i="14" s="1"/>
  <c r="CS80" i="14" s="1"/>
  <c r="CS81" i="14" s="1"/>
  <c r="CS82" i="14" s="1"/>
  <c r="CS83" i="14" s="1"/>
  <c r="CS84" i="14" s="1"/>
  <c r="CS85" i="14" s="1"/>
  <c r="CS86" i="14" s="1"/>
  <c r="CS87" i="14" s="1"/>
  <c r="CS88" i="14" s="1"/>
  <c r="CS89" i="14" s="1"/>
  <c r="CS90" i="14" s="1"/>
  <c r="CS91" i="14" s="1"/>
  <c r="CS92" i="14" s="1"/>
  <c r="CS93" i="14" s="1"/>
  <c r="CS94" i="14" s="1"/>
  <c r="CS95" i="14" s="1"/>
  <c r="CS96" i="14" s="1"/>
  <c r="CS97" i="14" s="1"/>
  <c r="CS98" i="14" s="1"/>
  <c r="CS99" i="14" s="1"/>
  <c r="CS100" i="14" s="1"/>
  <c r="CS101" i="14" s="1"/>
  <c r="CS102" i="14" s="1"/>
  <c r="CS103" i="14" s="1"/>
  <c r="CS104" i="14" s="1"/>
  <c r="CS105" i="14" s="1"/>
  <c r="CS106" i="14" s="1"/>
  <c r="CS107" i="14" s="1"/>
  <c r="CS108" i="14" s="1"/>
  <c r="CS109" i="14" s="1"/>
  <c r="CS110" i="14" s="1"/>
  <c r="CS111" i="14" s="1"/>
  <c r="CS112" i="14" s="1"/>
  <c r="CS113" i="14" s="1"/>
  <c r="CS114" i="14" s="1"/>
  <c r="CS115" i="14" s="1"/>
  <c r="CS116" i="14" s="1"/>
  <c r="CS117" i="14" s="1"/>
  <c r="CS118" i="14" s="1"/>
  <c r="CS119" i="14" s="1"/>
  <c r="CS120" i="14" s="1"/>
  <c r="CS121" i="14" s="1"/>
  <c r="CS122" i="14" s="1"/>
  <c r="CS123" i="14" s="1"/>
  <c r="CS124" i="14" s="1"/>
  <c r="G53" i="14"/>
  <c r="CH6" i="14"/>
  <c r="CH7" i="14" s="1"/>
  <c r="CH8" i="14" s="1"/>
  <c r="CH9" i="14" s="1"/>
  <c r="CH10" i="14" s="1"/>
  <c r="CH11" i="14" s="1"/>
  <c r="CH12" i="14" s="1"/>
  <c r="CH13" i="14" s="1"/>
  <c r="CH14" i="14" s="1"/>
  <c r="CH15" i="14" s="1"/>
  <c r="CH16" i="14" s="1"/>
  <c r="CH17" i="14" s="1"/>
  <c r="CH18" i="14" s="1"/>
  <c r="CH19" i="14" s="1"/>
  <c r="CH20" i="14" s="1"/>
  <c r="CH21" i="14" s="1"/>
  <c r="CH22" i="14" s="1"/>
  <c r="CH23" i="14" s="1"/>
  <c r="CH24" i="14" s="1"/>
  <c r="CH25" i="14" s="1"/>
  <c r="CH26" i="14" s="1"/>
  <c r="CH27" i="14" s="1"/>
  <c r="CH28" i="14" s="1"/>
  <c r="CH29" i="14" s="1"/>
  <c r="CH30" i="14" s="1"/>
  <c r="CH31" i="14" s="1"/>
  <c r="CH32" i="14" s="1"/>
  <c r="CH33" i="14" s="1"/>
  <c r="CH34" i="14" s="1"/>
  <c r="CH35" i="14" s="1"/>
  <c r="CH36" i="14" s="1"/>
  <c r="CH37" i="14" s="1"/>
  <c r="CH38" i="14" s="1"/>
  <c r="CH39" i="14" s="1"/>
  <c r="CH40" i="14" s="1"/>
  <c r="CH41" i="14" s="1"/>
  <c r="CH42" i="14" s="1"/>
  <c r="CH43" i="14" s="1"/>
  <c r="CH44" i="14" s="1"/>
  <c r="CH45" i="14" s="1"/>
  <c r="CH46" i="14" s="1"/>
  <c r="CH47" i="14" s="1"/>
  <c r="CH48" i="14" s="1"/>
  <c r="CH49" i="14" s="1"/>
  <c r="CH50" i="14" s="1"/>
  <c r="CH51" i="14" s="1"/>
  <c r="CH52" i="14" s="1"/>
  <c r="CH53" i="14" s="1"/>
  <c r="CH54" i="14" s="1"/>
  <c r="CH55" i="14" s="1"/>
  <c r="CH56" i="14" s="1"/>
  <c r="CH57" i="14" s="1"/>
  <c r="CH58" i="14" s="1"/>
  <c r="CH59" i="14" s="1"/>
  <c r="CH60" i="14" s="1"/>
  <c r="CH61" i="14" s="1"/>
  <c r="CH62" i="14" s="1"/>
  <c r="CH63" i="14" s="1"/>
  <c r="CH64" i="14" s="1"/>
  <c r="CH65" i="14" s="1"/>
  <c r="CH66" i="14" s="1"/>
  <c r="CH67" i="14" s="1"/>
  <c r="CH68" i="14" s="1"/>
  <c r="CH69" i="14" s="1"/>
  <c r="CH70" i="14" s="1"/>
  <c r="CH71" i="14" s="1"/>
  <c r="CH72" i="14" s="1"/>
  <c r="CH73" i="14" s="1"/>
  <c r="CH74" i="14" s="1"/>
  <c r="CH75" i="14" s="1"/>
  <c r="CH76" i="14" s="1"/>
  <c r="CH77" i="14" s="1"/>
  <c r="CH78" i="14" s="1"/>
  <c r="CH79" i="14" s="1"/>
  <c r="CH80" i="14" s="1"/>
  <c r="CH81" i="14" s="1"/>
  <c r="CH82" i="14" s="1"/>
  <c r="CH83" i="14" s="1"/>
  <c r="CH84" i="14" s="1"/>
  <c r="CH85" i="14" s="1"/>
  <c r="CH86" i="14" s="1"/>
  <c r="CH87" i="14" s="1"/>
  <c r="CH88" i="14" s="1"/>
  <c r="CH89" i="14" s="1"/>
  <c r="CH90" i="14" s="1"/>
  <c r="CH91" i="14" s="1"/>
  <c r="CH92" i="14" s="1"/>
  <c r="CH93" i="14" s="1"/>
  <c r="CH94" i="14" s="1"/>
  <c r="CH95" i="14" s="1"/>
  <c r="CH96" i="14" s="1"/>
  <c r="CH97" i="14" s="1"/>
  <c r="CH98" i="14" s="1"/>
  <c r="CH99" i="14" s="1"/>
  <c r="CH100" i="14" s="1"/>
  <c r="CH101" i="14" s="1"/>
  <c r="CH102" i="14" s="1"/>
  <c r="CH103" i="14" s="1"/>
  <c r="CH104" i="14" s="1"/>
  <c r="CH105" i="14" s="1"/>
  <c r="CH106" i="14" s="1"/>
  <c r="CH107" i="14" s="1"/>
  <c r="CH108" i="14" s="1"/>
  <c r="CH109" i="14" s="1"/>
  <c r="CH110" i="14" s="1"/>
  <c r="CH111" i="14" s="1"/>
  <c r="CH112" i="14" s="1"/>
  <c r="CH113" i="14" s="1"/>
  <c r="CH114" i="14" s="1"/>
  <c r="CH115" i="14" s="1"/>
  <c r="CH116" i="14" s="1"/>
  <c r="CH117" i="14" s="1"/>
  <c r="CH118" i="14" s="1"/>
  <c r="CH119" i="14" s="1"/>
  <c r="CH120" i="14" s="1"/>
  <c r="CH121" i="14" s="1"/>
  <c r="CH122" i="14" s="1"/>
  <c r="CH123" i="14" s="1"/>
  <c r="CH124" i="14" s="1"/>
  <c r="Q6" i="14"/>
  <c r="Q7" i="14" s="1"/>
  <c r="Q8" i="14" s="1"/>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G36" i="14"/>
  <c r="G123" i="14"/>
  <c r="AJ6" i="14"/>
  <c r="AJ7" i="14" s="1"/>
  <c r="AJ8" i="14" s="1"/>
  <c r="AJ9" i="14" s="1"/>
  <c r="AJ10" i="14" s="1"/>
  <c r="AJ11" i="14" s="1"/>
  <c r="AJ12" i="14" s="1"/>
  <c r="AJ13" i="14" s="1"/>
  <c r="AJ14" i="14" s="1"/>
  <c r="AJ15" i="14" s="1"/>
  <c r="AJ16" i="14" s="1"/>
  <c r="AJ17" i="14" s="1"/>
  <c r="AJ18" i="14" s="1"/>
  <c r="AJ19" i="14" s="1"/>
  <c r="AJ20" i="14" s="1"/>
  <c r="AJ21" i="14" s="1"/>
  <c r="AJ22" i="14" s="1"/>
  <c r="AJ23" i="14" s="1"/>
  <c r="AJ24" i="14" s="1"/>
  <c r="AJ25" i="14" s="1"/>
  <c r="AJ26" i="14" s="1"/>
  <c r="AJ27" i="14" s="1"/>
  <c r="AJ28" i="14" s="1"/>
  <c r="AJ29" i="14" s="1"/>
  <c r="AJ30" i="14" s="1"/>
  <c r="AJ31" i="14" s="1"/>
  <c r="AJ32" i="14" s="1"/>
  <c r="AJ33" i="14" s="1"/>
  <c r="AJ34" i="14" s="1"/>
  <c r="AJ35" i="14" s="1"/>
  <c r="AJ36" i="14" s="1"/>
  <c r="AJ37" i="14" s="1"/>
  <c r="AJ38" i="14" s="1"/>
  <c r="AJ39" i="14" s="1"/>
  <c r="AJ40" i="14" s="1"/>
  <c r="AJ41" i="14" s="1"/>
  <c r="AJ42" i="14" s="1"/>
  <c r="AJ43" i="14" s="1"/>
  <c r="AJ44" i="14" s="1"/>
  <c r="AJ45" i="14" s="1"/>
  <c r="AJ46" i="14" s="1"/>
  <c r="AJ47" i="14" s="1"/>
  <c r="AJ48" i="14" s="1"/>
  <c r="AJ49" i="14" s="1"/>
  <c r="AJ50" i="14" s="1"/>
  <c r="AJ51" i="14" s="1"/>
  <c r="AJ52" i="14" s="1"/>
  <c r="AJ53" i="14" s="1"/>
  <c r="AJ54" i="14" s="1"/>
  <c r="AJ55" i="14" s="1"/>
  <c r="AJ56" i="14" s="1"/>
  <c r="AJ57" i="14" s="1"/>
  <c r="AJ58" i="14" s="1"/>
  <c r="AJ59" i="14" s="1"/>
  <c r="AJ60" i="14" s="1"/>
  <c r="AJ61" i="14" s="1"/>
  <c r="AJ62" i="14" s="1"/>
  <c r="AJ63" i="14" s="1"/>
  <c r="AJ64" i="14" s="1"/>
  <c r="AJ65" i="14" s="1"/>
  <c r="AJ66" i="14" s="1"/>
  <c r="AJ67" i="14" s="1"/>
  <c r="AJ68" i="14" s="1"/>
  <c r="AJ69" i="14" s="1"/>
  <c r="AJ70" i="14" s="1"/>
  <c r="AJ71" i="14" s="1"/>
  <c r="AJ72" i="14" s="1"/>
  <c r="AJ73" i="14" s="1"/>
  <c r="AJ74" i="14" s="1"/>
  <c r="AJ75" i="14" s="1"/>
  <c r="AJ76" i="14" s="1"/>
  <c r="AJ77" i="14" s="1"/>
  <c r="AJ78" i="14" s="1"/>
  <c r="AJ79" i="14" s="1"/>
  <c r="AJ80" i="14" s="1"/>
  <c r="AJ81" i="14" s="1"/>
  <c r="AJ82" i="14" s="1"/>
  <c r="AJ83" i="14" s="1"/>
  <c r="AJ84" i="14" s="1"/>
  <c r="AJ85" i="14" s="1"/>
  <c r="AJ86" i="14" s="1"/>
  <c r="AJ87" i="14" s="1"/>
  <c r="AJ88" i="14" s="1"/>
  <c r="AJ89" i="14" s="1"/>
  <c r="AJ90" i="14" s="1"/>
  <c r="AJ91" i="14" s="1"/>
  <c r="AJ92" i="14" s="1"/>
  <c r="AJ93" i="14" s="1"/>
  <c r="AJ94" i="14" s="1"/>
  <c r="AJ95" i="14" s="1"/>
  <c r="AJ96" i="14" s="1"/>
  <c r="AJ97" i="14" s="1"/>
  <c r="AJ98" i="14" s="1"/>
  <c r="AJ99" i="14" s="1"/>
  <c r="AJ100" i="14" s="1"/>
  <c r="AJ101" i="14" s="1"/>
  <c r="AJ102" i="14" s="1"/>
  <c r="AJ103" i="14" s="1"/>
  <c r="AJ104" i="14" s="1"/>
  <c r="AJ105" i="14" s="1"/>
  <c r="AJ106" i="14" s="1"/>
  <c r="AJ107" i="14" s="1"/>
  <c r="AJ108" i="14" s="1"/>
  <c r="AJ109" i="14" s="1"/>
  <c r="AJ110" i="14" s="1"/>
  <c r="AJ111" i="14" s="1"/>
  <c r="AJ112" i="14" s="1"/>
  <c r="AJ113" i="14" s="1"/>
  <c r="AJ114" i="14" s="1"/>
  <c r="AJ115" i="14" s="1"/>
  <c r="AJ116" i="14" s="1"/>
  <c r="AJ117" i="14" s="1"/>
  <c r="AJ118" i="14" s="1"/>
  <c r="AJ119" i="14" s="1"/>
  <c r="AJ120" i="14" s="1"/>
  <c r="AJ121" i="14" s="1"/>
  <c r="AJ122" i="14" s="1"/>
  <c r="AJ123" i="14" s="1"/>
  <c r="AJ124" i="14" s="1"/>
  <c r="BN6" i="14"/>
  <c r="BN7" i="14" s="1"/>
  <c r="BN8" i="14" s="1"/>
  <c r="BN9" i="14" s="1"/>
  <c r="BN10" i="14" s="1"/>
  <c r="BN11" i="14" s="1"/>
  <c r="BN12" i="14" s="1"/>
  <c r="BN13" i="14" s="1"/>
  <c r="BN14" i="14" s="1"/>
  <c r="BN15" i="14" s="1"/>
  <c r="BN16" i="14" s="1"/>
  <c r="BN17" i="14" s="1"/>
  <c r="BN18" i="14" s="1"/>
  <c r="BN19" i="14" s="1"/>
  <c r="BN20" i="14" s="1"/>
  <c r="BN21" i="14" s="1"/>
  <c r="BN22" i="14" s="1"/>
  <c r="BN23" i="14" s="1"/>
  <c r="BN24" i="14" s="1"/>
  <c r="BN25" i="14" s="1"/>
  <c r="BN26" i="14" s="1"/>
  <c r="BN27" i="14" s="1"/>
  <c r="BN28" i="14" s="1"/>
  <c r="BN29" i="14" s="1"/>
  <c r="BN30" i="14" s="1"/>
  <c r="BN31" i="14" s="1"/>
  <c r="BN32" i="14" s="1"/>
  <c r="BN33" i="14" s="1"/>
  <c r="BN34" i="14" s="1"/>
  <c r="BN35" i="14" s="1"/>
  <c r="BN36" i="14" s="1"/>
  <c r="BN37" i="14" s="1"/>
  <c r="BN38" i="14" s="1"/>
  <c r="BN39" i="14" s="1"/>
  <c r="BN40" i="14" s="1"/>
  <c r="BN41" i="14" s="1"/>
  <c r="BN42" i="14" s="1"/>
  <c r="BN43" i="14" s="1"/>
  <c r="BN44" i="14" s="1"/>
  <c r="BN45" i="14" s="1"/>
  <c r="BN46" i="14" s="1"/>
  <c r="BN47" i="14" s="1"/>
  <c r="BN48" i="14" s="1"/>
  <c r="BN49" i="14" s="1"/>
  <c r="BN50" i="14" s="1"/>
  <c r="BN51" i="14" s="1"/>
  <c r="BN52" i="14" s="1"/>
  <c r="BN53" i="14" s="1"/>
  <c r="BN54" i="14" s="1"/>
  <c r="BN55" i="14" s="1"/>
  <c r="BN56" i="14" s="1"/>
  <c r="BN57" i="14" s="1"/>
  <c r="BN58" i="14" s="1"/>
  <c r="BN59" i="14" s="1"/>
  <c r="BN60" i="14" s="1"/>
  <c r="BN61" i="14" s="1"/>
  <c r="BN62" i="14" s="1"/>
  <c r="BN63" i="14" s="1"/>
  <c r="BN64" i="14" s="1"/>
  <c r="BN65" i="14" s="1"/>
  <c r="BN66" i="14" s="1"/>
  <c r="BN67" i="14" s="1"/>
  <c r="BN68" i="14" s="1"/>
  <c r="BN69" i="14" s="1"/>
  <c r="BN70" i="14" s="1"/>
  <c r="BN71" i="14" s="1"/>
  <c r="BN72" i="14" s="1"/>
  <c r="BN73" i="14" s="1"/>
  <c r="BN74" i="14" s="1"/>
  <c r="BN75" i="14" s="1"/>
  <c r="BN76" i="14" s="1"/>
  <c r="BN77" i="14" s="1"/>
  <c r="BN78" i="14" s="1"/>
  <c r="BN79" i="14" s="1"/>
  <c r="BN80" i="14" s="1"/>
  <c r="BN81" i="14" s="1"/>
  <c r="BN82" i="14" s="1"/>
  <c r="BN83" i="14" s="1"/>
  <c r="BN84" i="14" s="1"/>
  <c r="BN85" i="14" s="1"/>
  <c r="BN86" i="14" s="1"/>
  <c r="BN87" i="14" s="1"/>
  <c r="BN88" i="14" s="1"/>
  <c r="BN89" i="14" s="1"/>
  <c r="BN90" i="14" s="1"/>
  <c r="BN91" i="14" s="1"/>
  <c r="BN92" i="14" s="1"/>
  <c r="BN93" i="14" s="1"/>
  <c r="BN94" i="14" s="1"/>
  <c r="BN95" i="14" s="1"/>
  <c r="BN96" i="14" s="1"/>
  <c r="BN97" i="14" s="1"/>
  <c r="BN98" i="14" s="1"/>
  <c r="BN99" i="14" s="1"/>
  <c r="BN100" i="14" s="1"/>
  <c r="BN101" i="14" s="1"/>
  <c r="BN102" i="14" s="1"/>
  <c r="BN103" i="14" s="1"/>
  <c r="BN104" i="14" s="1"/>
  <c r="BN105" i="14" s="1"/>
  <c r="BN106" i="14" s="1"/>
  <c r="BN107" i="14" s="1"/>
  <c r="BN108" i="14" s="1"/>
  <c r="BN109" i="14" s="1"/>
  <c r="BN110" i="14" s="1"/>
  <c r="BN111" i="14" s="1"/>
  <c r="BN112" i="14" s="1"/>
  <c r="BN113" i="14" s="1"/>
  <c r="BN114" i="14" s="1"/>
  <c r="BN115" i="14" s="1"/>
  <c r="BN116" i="14" s="1"/>
  <c r="BN117" i="14" s="1"/>
  <c r="BN118" i="14" s="1"/>
  <c r="BN119" i="14" s="1"/>
  <c r="BN120" i="14" s="1"/>
  <c r="BN121" i="14" s="1"/>
  <c r="BN122" i="14" s="1"/>
  <c r="BN123" i="14" s="1"/>
  <c r="BN124" i="14" s="1"/>
  <c r="DB6" i="14"/>
  <c r="DB7" i="14" s="1"/>
  <c r="DB8" i="14" s="1"/>
  <c r="DB9" i="14" s="1"/>
  <c r="DB10" i="14" s="1"/>
  <c r="DB11" i="14" s="1"/>
  <c r="DB12" i="14" s="1"/>
  <c r="DB13" i="14" s="1"/>
  <c r="DB14" i="14" s="1"/>
  <c r="DB15" i="14" s="1"/>
  <c r="DB16" i="14" s="1"/>
  <c r="DB17" i="14" s="1"/>
  <c r="DB18" i="14" s="1"/>
  <c r="DB19" i="14" s="1"/>
  <c r="DB20" i="14" s="1"/>
  <c r="DB21" i="14" s="1"/>
  <c r="DB22" i="14" s="1"/>
  <c r="DB23" i="14" s="1"/>
  <c r="DB24" i="14" s="1"/>
  <c r="DB25" i="14" s="1"/>
  <c r="DB26" i="14" s="1"/>
  <c r="DB27" i="14" s="1"/>
  <c r="DB28" i="14" s="1"/>
  <c r="DB29" i="14" s="1"/>
  <c r="DB30" i="14" s="1"/>
  <c r="DB31" i="14" s="1"/>
  <c r="DB32" i="14" s="1"/>
  <c r="DB33" i="14" s="1"/>
  <c r="DB34" i="14" s="1"/>
  <c r="DB35" i="14" s="1"/>
  <c r="DB36" i="14" s="1"/>
  <c r="DB37" i="14" s="1"/>
  <c r="DB38" i="14" s="1"/>
  <c r="DB39" i="14" s="1"/>
  <c r="DB40" i="14" s="1"/>
  <c r="DB41" i="14" s="1"/>
  <c r="DB42" i="14" s="1"/>
  <c r="DB43" i="14" s="1"/>
  <c r="DB44" i="14" s="1"/>
  <c r="DB45" i="14" s="1"/>
  <c r="DB46" i="14" s="1"/>
  <c r="DB47" i="14" s="1"/>
  <c r="DB48" i="14" s="1"/>
  <c r="DB49" i="14" s="1"/>
  <c r="DB50" i="14" s="1"/>
  <c r="DB51" i="14" s="1"/>
  <c r="DB52" i="14" s="1"/>
  <c r="DB53" i="14" s="1"/>
  <c r="DB54" i="14" s="1"/>
  <c r="DB55" i="14" s="1"/>
  <c r="DB56" i="14" s="1"/>
  <c r="DB57" i="14" s="1"/>
  <c r="DB58" i="14" s="1"/>
  <c r="DB59" i="14" s="1"/>
  <c r="DB60" i="14" s="1"/>
  <c r="DB61" i="14" s="1"/>
  <c r="DB62" i="14" s="1"/>
  <c r="DB63" i="14" s="1"/>
  <c r="DB64" i="14" s="1"/>
  <c r="DB65" i="14" s="1"/>
  <c r="DB66" i="14" s="1"/>
  <c r="DB67" i="14" s="1"/>
  <c r="DB68" i="14" s="1"/>
  <c r="DB69" i="14" s="1"/>
  <c r="DB70" i="14" s="1"/>
  <c r="DB71" i="14" s="1"/>
  <c r="DB72" i="14" s="1"/>
  <c r="DB73" i="14" s="1"/>
  <c r="DB74" i="14" s="1"/>
  <c r="DB75" i="14" s="1"/>
  <c r="DB76" i="14" s="1"/>
  <c r="DB77" i="14" s="1"/>
  <c r="DB78" i="14" s="1"/>
  <c r="DB79" i="14" s="1"/>
  <c r="DB80" i="14" s="1"/>
  <c r="DB81" i="14" s="1"/>
  <c r="DB82" i="14" s="1"/>
  <c r="DB83" i="14" s="1"/>
  <c r="DB84" i="14" s="1"/>
  <c r="DB85" i="14" s="1"/>
  <c r="DB86" i="14" s="1"/>
  <c r="DB87" i="14" s="1"/>
  <c r="DB88" i="14" s="1"/>
  <c r="DB89" i="14" s="1"/>
  <c r="DB90" i="14" s="1"/>
  <c r="DB91" i="14" s="1"/>
  <c r="DB92" i="14" s="1"/>
  <c r="DB93" i="14" s="1"/>
  <c r="DB94" i="14" s="1"/>
  <c r="DB95" i="14" s="1"/>
  <c r="DB96" i="14" s="1"/>
  <c r="DB97" i="14" s="1"/>
  <c r="DB98" i="14" s="1"/>
  <c r="DB99" i="14" s="1"/>
  <c r="DB100" i="14" s="1"/>
  <c r="DB101" i="14" s="1"/>
  <c r="DB102" i="14" s="1"/>
  <c r="DB103" i="14" s="1"/>
  <c r="DB104" i="14" s="1"/>
  <c r="DB105" i="14" s="1"/>
  <c r="DB106" i="14" s="1"/>
  <c r="DB107" i="14" s="1"/>
  <c r="DB108" i="14" s="1"/>
  <c r="DB109" i="14" s="1"/>
  <c r="DB110" i="14" s="1"/>
  <c r="DB111" i="14" s="1"/>
  <c r="DB112" i="14" s="1"/>
  <c r="DB113" i="14" s="1"/>
  <c r="DB114" i="14" s="1"/>
  <c r="DB115" i="14" s="1"/>
  <c r="DB116" i="14" s="1"/>
  <c r="DB117" i="14" s="1"/>
  <c r="DB118" i="14" s="1"/>
  <c r="DB119" i="14" s="1"/>
  <c r="DB120" i="14" s="1"/>
  <c r="DB121" i="14" s="1"/>
  <c r="DB122" i="14" s="1"/>
  <c r="DB123" i="14" s="1"/>
  <c r="DB124" i="14" s="1"/>
  <c r="AK6" i="14"/>
  <c r="AK7" i="14" s="1"/>
  <c r="AK8" i="14" s="1"/>
  <c r="AK9" i="14" s="1"/>
  <c r="AK10" i="14" s="1"/>
  <c r="AK11" i="14" s="1"/>
  <c r="AK12" i="14" s="1"/>
  <c r="AK13" i="14" s="1"/>
  <c r="AK14" i="14" s="1"/>
  <c r="AK15" i="14" s="1"/>
  <c r="AK16" i="14" s="1"/>
  <c r="AK17" i="14" s="1"/>
  <c r="AK18" i="14" s="1"/>
  <c r="AK19" i="14" s="1"/>
  <c r="AK20" i="14" s="1"/>
  <c r="AK21" i="14" s="1"/>
  <c r="AK22" i="14" s="1"/>
  <c r="AK23" i="14" s="1"/>
  <c r="AK24" i="14" s="1"/>
  <c r="AK25" i="14" s="1"/>
  <c r="AK26" i="14" s="1"/>
  <c r="AK27" i="14" s="1"/>
  <c r="AK28" i="14" s="1"/>
  <c r="AK29" i="14" s="1"/>
  <c r="AK30" i="14" s="1"/>
  <c r="AK31" i="14" s="1"/>
  <c r="AK32" i="14" s="1"/>
  <c r="AK33" i="14" s="1"/>
  <c r="AK34" i="14" s="1"/>
  <c r="AK35" i="14" s="1"/>
  <c r="AK36" i="14" s="1"/>
  <c r="AK37" i="14" s="1"/>
  <c r="AK38" i="14" s="1"/>
  <c r="AK39" i="14" s="1"/>
  <c r="AK40" i="14" s="1"/>
  <c r="AK41" i="14" s="1"/>
  <c r="AK42" i="14" s="1"/>
  <c r="AK43" i="14" s="1"/>
  <c r="AK44" i="14" s="1"/>
  <c r="AK45" i="14" s="1"/>
  <c r="AK46" i="14" s="1"/>
  <c r="AK47" i="14" s="1"/>
  <c r="AK48" i="14" s="1"/>
  <c r="AK49" i="14" s="1"/>
  <c r="AK50" i="14" s="1"/>
  <c r="AK51" i="14" s="1"/>
  <c r="AK52" i="14" s="1"/>
  <c r="AK53" i="14" s="1"/>
  <c r="AK54" i="14" s="1"/>
  <c r="AK55" i="14" s="1"/>
  <c r="AK56" i="14" s="1"/>
  <c r="AK57" i="14" s="1"/>
  <c r="AK58" i="14" s="1"/>
  <c r="AK59" i="14" s="1"/>
  <c r="AK60" i="14" s="1"/>
  <c r="AK61" i="14" s="1"/>
  <c r="AK62" i="14" s="1"/>
  <c r="AK63" i="14" s="1"/>
  <c r="AK64" i="14" s="1"/>
  <c r="AK65" i="14" s="1"/>
  <c r="AK66" i="14" s="1"/>
  <c r="AK67" i="14" s="1"/>
  <c r="AK68" i="14" s="1"/>
  <c r="AK69" i="14" s="1"/>
  <c r="AK70" i="14" s="1"/>
  <c r="AK71" i="14" s="1"/>
  <c r="AK72" i="14" s="1"/>
  <c r="AK73" i="14" s="1"/>
  <c r="AK74" i="14" s="1"/>
  <c r="AK75" i="14" s="1"/>
  <c r="AK76" i="14" s="1"/>
  <c r="AK77" i="14" s="1"/>
  <c r="AK78" i="14" s="1"/>
  <c r="AK79" i="14" s="1"/>
  <c r="AK80" i="14" s="1"/>
  <c r="AK81" i="14" s="1"/>
  <c r="AK82" i="14" s="1"/>
  <c r="AK83" i="14" s="1"/>
  <c r="AK84" i="14" s="1"/>
  <c r="AK85" i="14" s="1"/>
  <c r="AK86" i="14" s="1"/>
  <c r="AK87" i="14" s="1"/>
  <c r="AK88" i="14" s="1"/>
  <c r="AK89" i="14" s="1"/>
  <c r="AK90" i="14" s="1"/>
  <c r="AK91" i="14" s="1"/>
  <c r="AK92" i="14" s="1"/>
  <c r="AK93" i="14" s="1"/>
  <c r="AK94" i="14" s="1"/>
  <c r="AK95" i="14" s="1"/>
  <c r="AK96" i="14" s="1"/>
  <c r="AK97" i="14" s="1"/>
  <c r="AK98" i="14" s="1"/>
  <c r="AK99" i="14" s="1"/>
  <c r="AK100" i="14" s="1"/>
  <c r="AK101" i="14" s="1"/>
  <c r="AK102" i="14" s="1"/>
  <c r="AK103" i="14" s="1"/>
  <c r="AK104" i="14" s="1"/>
  <c r="AK105" i="14" s="1"/>
  <c r="AK106" i="14" s="1"/>
  <c r="AK107" i="14" s="1"/>
  <c r="AK108" i="14" s="1"/>
  <c r="AK109" i="14" s="1"/>
  <c r="AK110" i="14" s="1"/>
  <c r="AK111" i="14" s="1"/>
  <c r="AK112" i="14" s="1"/>
  <c r="AK113" i="14" s="1"/>
  <c r="AK114" i="14" s="1"/>
  <c r="AK115" i="14" s="1"/>
  <c r="AK116" i="14" s="1"/>
  <c r="AK117" i="14" s="1"/>
  <c r="AK118" i="14" s="1"/>
  <c r="AK119" i="14" s="1"/>
  <c r="AK120" i="14" s="1"/>
  <c r="AK121" i="14" s="1"/>
  <c r="AK122" i="14" s="1"/>
  <c r="AK123" i="14" s="1"/>
  <c r="AK124" i="14" s="1"/>
  <c r="BY6" i="14"/>
  <c r="BY7" i="14" s="1"/>
  <c r="BY8" i="14" s="1"/>
  <c r="BY9" i="14" s="1"/>
  <c r="BY10" i="14" s="1"/>
  <c r="BY11" i="14" s="1"/>
  <c r="BY12" i="14" s="1"/>
  <c r="BY13" i="14" s="1"/>
  <c r="BY14" i="14" s="1"/>
  <c r="BY15" i="14" s="1"/>
  <c r="BY16" i="14" s="1"/>
  <c r="BY17" i="14" s="1"/>
  <c r="BY18" i="14" s="1"/>
  <c r="BY19" i="14" s="1"/>
  <c r="BY20" i="14" s="1"/>
  <c r="BY21" i="14" s="1"/>
  <c r="BY22" i="14" s="1"/>
  <c r="BY23" i="14" s="1"/>
  <c r="BY24" i="14" s="1"/>
  <c r="BY25" i="14" s="1"/>
  <c r="BY26" i="14" s="1"/>
  <c r="BY27" i="14" s="1"/>
  <c r="BY28" i="14" s="1"/>
  <c r="BY29" i="14" s="1"/>
  <c r="BY30" i="14" s="1"/>
  <c r="BY31" i="14" s="1"/>
  <c r="BY32" i="14" s="1"/>
  <c r="BY33" i="14" s="1"/>
  <c r="BY34" i="14" s="1"/>
  <c r="BY35" i="14" s="1"/>
  <c r="BY36" i="14" s="1"/>
  <c r="BY37" i="14" s="1"/>
  <c r="BY38" i="14" s="1"/>
  <c r="BY39" i="14" s="1"/>
  <c r="BY40" i="14" s="1"/>
  <c r="BY41" i="14" s="1"/>
  <c r="BY42" i="14" s="1"/>
  <c r="BY43" i="14" s="1"/>
  <c r="BY44" i="14" s="1"/>
  <c r="BY45" i="14" s="1"/>
  <c r="BY46" i="14" s="1"/>
  <c r="BY47" i="14" s="1"/>
  <c r="BY48" i="14" s="1"/>
  <c r="BY49" i="14" s="1"/>
  <c r="BY50" i="14" s="1"/>
  <c r="BY51" i="14" s="1"/>
  <c r="BY52" i="14" s="1"/>
  <c r="BY53" i="14" s="1"/>
  <c r="BY54" i="14" s="1"/>
  <c r="BY55" i="14" s="1"/>
  <c r="BY56" i="14" s="1"/>
  <c r="BY57" i="14" s="1"/>
  <c r="BY58" i="14" s="1"/>
  <c r="BY59" i="14" s="1"/>
  <c r="BY60" i="14" s="1"/>
  <c r="BY61" i="14" s="1"/>
  <c r="BY62" i="14" s="1"/>
  <c r="BY63" i="14" s="1"/>
  <c r="BY64" i="14" s="1"/>
  <c r="BY65" i="14" s="1"/>
  <c r="BY66" i="14" s="1"/>
  <c r="BY67" i="14" s="1"/>
  <c r="BY68" i="14" s="1"/>
  <c r="BY69" i="14" s="1"/>
  <c r="BY70" i="14" s="1"/>
  <c r="BY71" i="14" s="1"/>
  <c r="BY72" i="14" s="1"/>
  <c r="BY73" i="14" s="1"/>
  <c r="BY74" i="14" s="1"/>
  <c r="BY75" i="14" s="1"/>
  <c r="BY76" i="14" s="1"/>
  <c r="BY77" i="14" s="1"/>
  <c r="BY78" i="14" s="1"/>
  <c r="BY79" i="14" s="1"/>
  <c r="BY80" i="14" s="1"/>
  <c r="BY81" i="14" s="1"/>
  <c r="BY82" i="14" s="1"/>
  <c r="BY83" i="14" s="1"/>
  <c r="BY84" i="14" s="1"/>
  <c r="BY85" i="14" s="1"/>
  <c r="BY86" i="14" s="1"/>
  <c r="BY87" i="14" s="1"/>
  <c r="BY88" i="14" s="1"/>
  <c r="BY89" i="14" s="1"/>
  <c r="BY90" i="14" s="1"/>
  <c r="BY91" i="14" s="1"/>
  <c r="BY92" i="14" s="1"/>
  <c r="BY93" i="14" s="1"/>
  <c r="BY94" i="14" s="1"/>
  <c r="BY95" i="14" s="1"/>
  <c r="BY96" i="14" s="1"/>
  <c r="BY97" i="14" s="1"/>
  <c r="BY98" i="14" s="1"/>
  <c r="BY99" i="14" s="1"/>
  <c r="BY100" i="14" s="1"/>
  <c r="BY101" i="14" s="1"/>
  <c r="BY102" i="14" s="1"/>
  <c r="BY103" i="14" s="1"/>
  <c r="BY104" i="14" s="1"/>
  <c r="BY105" i="14" s="1"/>
  <c r="BY106" i="14" s="1"/>
  <c r="BY107" i="14" s="1"/>
  <c r="BY108" i="14" s="1"/>
  <c r="BY109" i="14" s="1"/>
  <c r="BY110" i="14" s="1"/>
  <c r="BY111" i="14" s="1"/>
  <c r="BY112" i="14" s="1"/>
  <c r="BY113" i="14" s="1"/>
  <c r="BY114" i="14" s="1"/>
  <c r="BY115" i="14" s="1"/>
  <c r="BY116" i="14" s="1"/>
  <c r="BY117" i="14" s="1"/>
  <c r="BY118" i="14" s="1"/>
  <c r="BY119" i="14" s="1"/>
  <c r="BY120" i="14" s="1"/>
  <c r="BY121" i="14" s="1"/>
  <c r="BY122" i="14" s="1"/>
  <c r="BY123" i="14" s="1"/>
  <c r="BY124" i="14" s="1"/>
  <c r="R6" i="14"/>
  <c r="R7" i="14" s="1"/>
  <c r="R8" i="14" s="1"/>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BF6" i="14"/>
  <c r="BF7" i="14" s="1"/>
  <c r="BF8" i="14" s="1"/>
  <c r="BF9" i="14" s="1"/>
  <c r="BF10" i="14" s="1"/>
  <c r="BF11" i="14" s="1"/>
  <c r="BF12" i="14" s="1"/>
  <c r="BF13" i="14" s="1"/>
  <c r="BF14" i="14" s="1"/>
  <c r="BF15" i="14" s="1"/>
  <c r="BF16" i="14" s="1"/>
  <c r="BF17" i="14" s="1"/>
  <c r="BF18" i="14" s="1"/>
  <c r="BF19" i="14" s="1"/>
  <c r="BF20" i="14" s="1"/>
  <c r="BF21" i="14" s="1"/>
  <c r="BF22" i="14" s="1"/>
  <c r="BF23" i="14" s="1"/>
  <c r="BF24" i="14" s="1"/>
  <c r="BF25" i="14" s="1"/>
  <c r="BF26" i="14" s="1"/>
  <c r="BF27" i="14" s="1"/>
  <c r="BF28" i="14" s="1"/>
  <c r="BF29" i="14" s="1"/>
  <c r="BF30" i="14" s="1"/>
  <c r="BF31" i="14" s="1"/>
  <c r="BF32" i="14" s="1"/>
  <c r="BF33" i="14" s="1"/>
  <c r="BF34" i="14" s="1"/>
  <c r="BF35" i="14" s="1"/>
  <c r="BF36" i="14" s="1"/>
  <c r="BF37" i="14" s="1"/>
  <c r="BF38" i="14" s="1"/>
  <c r="BF39" i="14" s="1"/>
  <c r="BF40" i="14" s="1"/>
  <c r="BF41" i="14" s="1"/>
  <c r="BF42" i="14" s="1"/>
  <c r="BF43" i="14" s="1"/>
  <c r="BF44" i="14" s="1"/>
  <c r="BF45" i="14" s="1"/>
  <c r="BF46" i="14" s="1"/>
  <c r="BF47" i="14" s="1"/>
  <c r="BF48" i="14" s="1"/>
  <c r="BF49" i="14" s="1"/>
  <c r="BF50" i="14" s="1"/>
  <c r="BF51" i="14" s="1"/>
  <c r="BF52" i="14" s="1"/>
  <c r="BF53" i="14" s="1"/>
  <c r="BF54" i="14" s="1"/>
  <c r="BF55" i="14" s="1"/>
  <c r="BF56" i="14" s="1"/>
  <c r="BF57" i="14" s="1"/>
  <c r="BF58" i="14" s="1"/>
  <c r="BF59" i="14" s="1"/>
  <c r="BF60" i="14" s="1"/>
  <c r="BF61" i="14" s="1"/>
  <c r="BF62" i="14" s="1"/>
  <c r="BF63" i="14" s="1"/>
  <c r="BF64" i="14" s="1"/>
  <c r="BF65" i="14" s="1"/>
  <c r="BF66" i="14" s="1"/>
  <c r="BF67" i="14" s="1"/>
  <c r="BF68" i="14" s="1"/>
  <c r="BF69" i="14" s="1"/>
  <c r="BF70" i="14" s="1"/>
  <c r="BF71" i="14" s="1"/>
  <c r="BF72" i="14" s="1"/>
  <c r="BF73" i="14" s="1"/>
  <c r="BF74" i="14" s="1"/>
  <c r="BF75" i="14" s="1"/>
  <c r="BF76" i="14" s="1"/>
  <c r="BF77" i="14" s="1"/>
  <c r="BF78" i="14" s="1"/>
  <c r="BF79" i="14" s="1"/>
  <c r="BF80" i="14" s="1"/>
  <c r="BF81" i="14" s="1"/>
  <c r="BF82" i="14" s="1"/>
  <c r="BF83" i="14" s="1"/>
  <c r="BF84" i="14" s="1"/>
  <c r="BF85" i="14" s="1"/>
  <c r="BF86" i="14" s="1"/>
  <c r="BF87" i="14" s="1"/>
  <c r="BF88" i="14" s="1"/>
  <c r="BF89" i="14" s="1"/>
  <c r="BF90" i="14" s="1"/>
  <c r="BF91" i="14" s="1"/>
  <c r="BF92" i="14" s="1"/>
  <c r="BF93" i="14" s="1"/>
  <c r="BF94" i="14" s="1"/>
  <c r="BF95" i="14" s="1"/>
  <c r="BF96" i="14" s="1"/>
  <c r="BF97" i="14" s="1"/>
  <c r="BF98" i="14" s="1"/>
  <c r="BF99" i="14" s="1"/>
  <c r="BF100" i="14" s="1"/>
  <c r="BF101" i="14" s="1"/>
  <c r="BF102" i="14" s="1"/>
  <c r="BF103" i="14" s="1"/>
  <c r="BF104" i="14" s="1"/>
  <c r="BF105" i="14" s="1"/>
  <c r="BF106" i="14" s="1"/>
  <c r="BF107" i="14" s="1"/>
  <c r="BF108" i="14" s="1"/>
  <c r="BF109" i="14" s="1"/>
  <c r="BF110" i="14" s="1"/>
  <c r="BF111" i="14" s="1"/>
  <c r="BF112" i="14" s="1"/>
  <c r="BF113" i="14" s="1"/>
  <c r="BF114" i="14" s="1"/>
  <c r="BF115" i="14" s="1"/>
  <c r="BF116" i="14" s="1"/>
  <c r="BF117" i="14" s="1"/>
  <c r="BF118" i="14" s="1"/>
  <c r="BF119" i="14" s="1"/>
  <c r="BF120" i="14" s="1"/>
  <c r="BF121" i="14" s="1"/>
  <c r="BF122" i="14" s="1"/>
  <c r="BF123" i="14" s="1"/>
  <c r="BF124" i="14" s="1"/>
  <c r="DD6" i="14"/>
  <c r="DD7" i="14" s="1"/>
  <c r="DD8" i="14" s="1"/>
  <c r="DD9" i="14" s="1"/>
  <c r="DD10" i="14" s="1"/>
  <c r="DD11" i="14" s="1"/>
  <c r="DD12" i="14" s="1"/>
  <c r="DD13" i="14" s="1"/>
  <c r="DD14" i="14" s="1"/>
  <c r="DD15" i="14" s="1"/>
  <c r="DD16" i="14" s="1"/>
  <c r="DD17" i="14" s="1"/>
  <c r="DD18" i="14" s="1"/>
  <c r="DD19" i="14" s="1"/>
  <c r="DD20" i="14" s="1"/>
  <c r="DD21" i="14" s="1"/>
  <c r="DD22" i="14" s="1"/>
  <c r="DD23" i="14" s="1"/>
  <c r="DD24" i="14" s="1"/>
  <c r="DD25" i="14" s="1"/>
  <c r="DD26" i="14" s="1"/>
  <c r="DD27" i="14" s="1"/>
  <c r="DD28" i="14" s="1"/>
  <c r="DD29" i="14" s="1"/>
  <c r="DD30" i="14" s="1"/>
  <c r="DD31" i="14" s="1"/>
  <c r="DD32" i="14" s="1"/>
  <c r="DD33" i="14" s="1"/>
  <c r="DD34" i="14" s="1"/>
  <c r="DD35" i="14" s="1"/>
  <c r="DD36" i="14" s="1"/>
  <c r="DD37" i="14" s="1"/>
  <c r="DD38" i="14" s="1"/>
  <c r="DD39" i="14" s="1"/>
  <c r="DD40" i="14" s="1"/>
  <c r="DD41" i="14" s="1"/>
  <c r="DD42" i="14" s="1"/>
  <c r="DD43" i="14" s="1"/>
  <c r="DD44" i="14" s="1"/>
  <c r="DD45" i="14" s="1"/>
  <c r="DD46" i="14" s="1"/>
  <c r="DD47" i="14" s="1"/>
  <c r="DD48" i="14" s="1"/>
  <c r="DD49" i="14" s="1"/>
  <c r="DD50" i="14" s="1"/>
  <c r="DD51" i="14" s="1"/>
  <c r="DD52" i="14" s="1"/>
  <c r="DD53" i="14" s="1"/>
  <c r="DD54" i="14" s="1"/>
  <c r="DD55" i="14" s="1"/>
  <c r="DD56" i="14" s="1"/>
  <c r="DD57" i="14" s="1"/>
  <c r="DD58" i="14" s="1"/>
  <c r="DD59" i="14" s="1"/>
  <c r="DD60" i="14" s="1"/>
  <c r="DD61" i="14" s="1"/>
  <c r="DD62" i="14" s="1"/>
  <c r="DD63" i="14" s="1"/>
  <c r="DD64" i="14" s="1"/>
  <c r="DD65" i="14" s="1"/>
  <c r="DD66" i="14" s="1"/>
  <c r="DD67" i="14" s="1"/>
  <c r="DD68" i="14" s="1"/>
  <c r="DD69" i="14" s="1"/>
  <c r="DD70" i="14" s="1"/>
  <c r="DD71" i="14" s="1"/>
  <c r="DD72" i="14" s="1"/>
  <c r="DD73" i="14" s="1"/>
  <c r="DD74" i="14" s="1"/>
  <c r="DD75" i="14" s="1"/>
  <c r="DD76" i="14" s="1"/>
  <c r="DD77" i="14" s="1"/>
  <c r="DD78" i="14" s="1"/>
  <c r="DD79" i="14" s="1"/>
  <c r="DD80" i="14" s="1"/>
  <c r="DD81" i="14" s="1"/>
  <c r="DD82" i="14" s="1"/>
  <c r="DD83" i="14" s="1"/>
  <c r="DD84" i="14" s="1"/>
  <c r="DD85" i="14" s="1"/>
  <c r="DD86" i="14" s="1"/>
  <c r="DD87" i="14" s="1"/>
  <c r="DD88" i="14" s="1"/>
  <c r="DD89" i="14" s="1"/>
  <c r="DD90" i="14" s="1"/>
  <c r="DD91" i="14" s="1"/>
  <c r="DD92" i="14" s="1"/>
  <c r="DD93" i="14" s="1"/>
  <c r="DD94" i="14" s="1"/>
  <c r="DD95" i="14" s="1"/>
  <c r="DD96" i="14" s="1"/>
  <c r="DD97" i="14" s="1"/>
  <c r="DD98" i="14" s="1"/>
  <c r="DD99" i="14" s="1"/>
  <c r="DD100" i="14" s="1"/>
  <c r="DD101" i="14" s="1"/>
  <c r="DD102" i="14" s="1"/>
  <c r="DD103" i="14" s="1"/>
  <c r="DD104" i="14" s="1"/>
  <c r="DD105" i="14" s="1"/>
  <c r="DD106" i="14" s="1"/>
  <c r="DD107" i="14" s="1"/>
  <c r="DD108" i="14" s="1"/>
  <c r="DD109" i="14" s="1"/>
  <c r="DD110" i="14" s="1"/>
  <c r="DD111" i="14" s="1"/>
  <c r="DD112" i="14" s="1"/>
  <c r="DD113" i="14" s="1"/>
  <c r="DD114" i="14" s="1"/>
  <c r="DD115" i="14" s="1"/>
  <c r="DD116" i="14" s="1"/>
  <c r="DD117" i="14" s="1"/>
  <c r="DD118" i="14" s="1"/>
  <c r="DD119" i="14" s="1"/>
  <c r="DD120" i="14" s="1"/>
  <c r="DD121" i="14" s="1"/>
  <c r="DD122" i="14" s="1"/>
  <c r="DD123" i="14" s="1"/>
  <c r="DD124" i="14" s="1"/>
  <c r="S6" i="14"/>
  <c r="S7" i="14" s="1"/>
  <c r="S8" i="14" s="1"/>
  <c r="S9" i="14" s="1"/>
  <c r="S10" i="14" s="1"/>
  <c r="S11" i="14" s="1"/>
  <c r="S12" i="14" s="1"/>
  <c r="S13" i="14" s="1"/>
  <c r="S14" i="14" s="1"/>
  <c r="S15" i="14" s="1"/>
  <c r="S16" i="14" s="1"/>
  <c r="S17" i="14" s="1"/>
  <c r="S18" i="14" s="1"/>
  <c r="S19" i="14" s="1"/>
  <c r="S20" i="14" s="1"/>
  <c r="S21" i="14" s="1"/>
  <c r="S22" i="14" s="1"/>
  <c r="S23" i="14" s="1"/>
  <c r="S24" i="14" s="1"/>
  <c r="S25" i="14" s="1"/>
  <c r="S26" i="14" s="1"/>
  <c r="S27" i="14" s="1"/>
  <c r="S28" i="14" s="1"/>
  <c r="S29" i="14" s="1"/>
  <c r="S30" i="14" s="1"/>
  <c r="S31" i="14" s="1"/>
  <c r="S32" i="14" s="1"/>
  <c r="S33" i="14" s="1"/>
  <c r="S34" i="14" s="1"/>
  <c r="S35" i="14" s="1"/>
  <c r="S36" i="14" s="1"/>
  <c r="S37" i="14" s="1"/>
  <c r="S38" i="14" s="1"/>
  <c r="S39" i="14" s="1"/>
  <c r="S40" i="14" s="1"/>
  <c r="S41" i="14" s="1"/>
  <c r="S42" i="14" s="1"/>
  <c r="S43" i="14" s="1"/>
  <c r="S44" i="14" s="1"/>
  <c r="S45" i="14" s="1"/>
  <c r="S46" i="14" s="1"/>
  <c r="S47" i="14" s="1"/>
  <c r="S48" i="14" s="1"/>
  <c r="S49" i="14" s="1"/>
  <c r="S50" i="14" s="1"/>
  <c r="S51" i="14" s="1"/>
  <c r="S52" i="14" s="1"/>
  <c r="S53" i="14" s="1"/>
  <c r="S54" i="14" s="1"/>
  <c r="S55" i="14" s="1"/>
  <c r="S56" i="14" s="1"/>
  <c r="S57" i="14" s="1"/>
  <c r="S58" i="14" s="1"/>
  <c r="S59" i="14" s="1"/>
  <c r="S60" i="14" s="1"/>
  <c r="S61" i="14" s="1"/>
  <c r="S62" i="14" s="1"/>
  <c r="S63" i="14" s="1"/>
  <c r="S64" i="14" s="1"/>
  <c r="S65" i="14" s="1"/>
  <c r="S66" i="14" s="1"/>
  <c r="S67" i="14" s="1"/>
  <c r="S68" i="14" s="1"/>
  <c r="S69" i="14" s="1"/>
  <c r="S70" i="14" s="1"/>
  <c r="S71" i="14" s="1"/>
  <c r="S72" i="14" s="1"/>
  <c r="S73" i="14" s="1"/>
  <c r="S74" i="14" s="1"/>
  <c r="S75" i="14" s="1"/>
  <c r="S76" i="14" s="1"/>
  <c r="S77" i="14" s="1"/>
  <c r="S78" i="14" s="1"/>
  <c r="S79" i="14" s="1"/>
  <c r="S80" i="14" s="1"/>
  <c r="S81" i="14" s="1"/>
  <c r="S82" i="14" s="1"/>
  <c r="S83" i="14" s="1"/>
  <c r="S84" i="14" s="1"/>
  <c r="S85" i="14" s="1"/>
  <c r="S86" i="14" s="1"/>
  <c r="S87" i="14" s="1"/>
  <c r="S88" i="14" s="1"/>
  <c r="S89" i="14" s="1"/>
  <c r="S90" i="14" s="1"/>
  <c r="S91" i="14" s="1"/>
  <c r="S92" i="14" s="1"/>
  <c r="S93" i="14" s="1"/>
  <c r="S94" i="14" s="1"/>
  <c r="S95" i="14" s="1"/>
  <c r="S96" i="14" s="1"/>
  <c r="S97" i="14" s="1"/>
  <c r="S98" i="14" s="1"/>
  <c r="S99" i="14" s="1"/>
  <c r="S100" i="14" s="1"/>
  <c r="S101" i="14" s="1"/>
  <c r="S102" i="14" s="1"/>
  <c r="S103" i="14" s="1"/>
  <c r="S104" i="14" s="1"/>
  <c r="S105" i="14" s="1"/>
  <c r="S106" i="14" s="1"/>
  <c r="S107" i="14" s="1"/>
  <c r="S108" i="14" s="1"/>
  <c r="S109" i="14" s="1"/>
  <c r="S110" i="14" s="1"/>
  <c r="S111" i="14" s="1"/>
  <c r="S112" i="14" s="1"/>
  <c r="S113" i="14" s="1"/>
  <c r="S114" i="14" s="1"/>
  <c r="S115" i="14" s="1"/>
  <c r="S116" i="14" s="1"/>
  <c r="S117" i="14" s="1"/>
  <c r="S118" i="14" s="1"/>
  <c r="S119" i="14" s="1"/>
  <c r="S120" i="14" s="1"/>
  <c r="S121" i="14" s="1"/>
  <c r="S122" i="14" s="1"/>
  <c r="S123" i="14" s="1"/>
  <c r="S124" i="14" s="1"/>
  <c r="AC6" i="14"/>
  <c r="AC7" i="14" s="1"/>
  <c r="AC8" i="14" s="1"/>
  <c r="AC9" i="14" s="1"/>
  <c r="AC10" i="14" s="1"/>
  <c r="AC11" i="14" s="1"/>
  <c r="AC12" i="14" s="1"/>
  <c r="AC13" i="14" s="1"/>
  <c r="AC14" i="14" s="1"/>
  <c r="AC15" i="14" s="1"/>
  <c r="AC16" i="14" s="1"/>
  <c r="AC17" i="14" s="1"/>
  <c r="AC18" i="14" s="1"/>
  <c r="AC19" i="14" s="1"/>
  <c r="AC20" i="14" s="1"/>
  <c r="AC21" i="14" s="1"/>
  <c r="AC22" i="14" s="1"/>
  <c r="AC23" i="14" s="1"/>
  <c r="AC24" i="14" s="1"/>
  <c r="AC25" i="14" s="1"/>
  <c r="AC26" i="14" s="1"/>
  <c r="AC27" i="14" s="1"/>
  <c r="AC28" i="14" s="1"/>
  <c r="AC29" i="14" s="1"/>
  <c r="AC30" i="14" s="1"/>
  <c r="AC31" i="14" s="1"/>
  <c r="AC32" i="14" s="1"/>
  <c r="AC33" i="14" s="1"/>
  <c r="AC34" i="14" s="1"/>
  <c r="AC35" i="14" s="1"/>
  <c r="AC36" i="14" s="1"/>
  <c r="AC37" i="14" s="1"/>
  <c r="AC38" i="14" s="1"/>
  <c r="AC39" i="14" s="1"/>
  <c r="AC40" i="14" s="1"/>
  <c r="AC41" i="14" s="1"/>
  <c r="AC42" i="14" s="1"/>
  <c r="AC43" i="14" s="1"/>
  <c r="AC44" i="14" s="1"/>
  <c r="AC45" i="14" s="1"/>
  <c r="AC46" i="14" s="1"/>
  <c r="AC47" i="14" s="1"/>
  <c r="AC48" i="14" s="1"/>
  <c r="AC49" i="14" s="1"/>
  <c r="AC50" i="14" s="1"/>
  <c r="AC51" i="14" s="1"/>
  <c r="AC52" i="14" s="1"/>
  <c r="AC53" i="14" s="1"/>
  <c r="AC54" i="14" s="1"/>
  <c r="AC55" i="14" s="1"/>
  <c r="AC56" i="14" s="1"/>
  <c r="AC57" i="14" s="1"/>
  <c r="AC58" i="14" s="1"/>
  <c r="AC59" i="14" s="1"/>
  <c r="AC60" i="14" s="1"/>
  <c r="AC61" i="14" s="1"/>
  <c r="AC62" i="14" s="1"/>
  <c r="AC63" i="14" s="1"/>
  <c r="AC64" i="14" s="1"/>
  <c r="AC65" i="14" s="1"/>
  <c r="AC66" i="14" s="1"/>
  <c r="AC67" i="14" s="1"/>
  <c r="AC68" i="14" s="1"/>
  <c r="AC69" i="14" s="1"/>
  <c r="AC70" i="14" s="1"/>
  <c r="AC71" i="14" s="1"/>
  <c r="AC72" i="14" s="1"/>
  <c r="AC73" i="14" s="1"/>
  <c r="AC74" i="14" s="1"/>
  <c r="AC75" i="14" s="1"/>
  <c r="AC76" i="14" s="1"/>
  <c r="AC77" i="14" s="1"/>
  <c r="AC78" i="14" s="1"/>
  <c r="AC79" i="14" s="1"/>
  <c r="AC80" i="14" s="1"/>
  <c r="AC81" i="14" s="1"/>
  <c r="AC82" i="14" s="1"/>
  <c r="AC83" i="14" s="1"/>
  <c r="AC84" i="14" s="1"/>
  <c r="AC85" i="14" s="1"/>
  <c r="AC86" i="14" s="1"/>
  <c r="AC87" i="14" s="1"/>
  <c r="AC88" i="14" s="1"/>
  <c r="AC89" i="14" s="1"/>
  <c r="AC90" i="14" s="1"/>
  <c r="AC91" i="14" s="1"/>
  <c r="AC92" i="14" s="1"/>
  <c r="AC93" i="14" s="1"/>
  <c r="AC94" i="14" s="1"/>
  <c r="AC95" i="14" s="1"/>
  <c r="AC96" i="14" s="1"/>
  <c r="AC97" i="14" s="1"/>
  <c r="AC98" i="14" s="1"/>
  <c r="AC99" i="14" s="1"/>
  <c r="AC100" i="14" s="1"/>
  <c r="AC101" i="14" s="1"/>
  <c r="AC102" i="14" s="1"/>
  <c r="AC103" i="14" s="1"/>
  <c r="AC104" i="14" s="1"/>
  <c r="AC105" i="14" s="1"/>
  <c r="AC106" i="14" s="1"/>
  <c r="AC107" i="14" s="1"/>
  <c r="AC108" i="14" s="1"/>
  <c r="AC109" i="14" s="1"/>
  <c r="AC110" i="14" s="1"/>
  <c r="AC111" i="14" s="1"/>
  <c r="AC112" i="14" s="1"/>
  <c r="AC113" i="14" s="1"/>
  <c r="AC114" i="14" s="1"/>
  <c r="AC115" i="14" s="1"/>
  <c r="AC116" i="14" s="1"/>
  <c r="AC117" i="14" s="1"/>
  <c r="AC118" i="14" s="1"/>
  <c r="AC119" i="14" s="1"/>
  <c r="AC120" i="14" s="1"/>
  <c r="AC121" i="14" s="1"/>
  <c r="AC122" i="14" s="1"/>
  <c r="AC123" i="14" s="1"/>
  <c r="AC124" i="14" s="1"/>
  <c r="AM6" i="14"/>
  <c r="AM7" i="14" s="1"/>
  <c r="AM8" i="14" s="1"/>
  <c r="AM9" i="14" s="1"/>
  <c r="AM10" i="14" s="1"/>
  <c r="AM11" i="14" s="1"/>
  <c r="AM12" i="14" s="1"/>
  <c r="AM13" i="14" s="1"/>
  <c r="AM14" i="14" s="1"/>
  <c r="AM15" i="14" s="1"/>
  <c r="AM16" i="14" s="1"/>
  <c r="AM17" i="14" s="1"/>
  <c r="AM18" i="14" s="1"/>
  <c r="AM19" i="14" s="1"/>
  <c r="AM20" i="14" s="1"/>
  <c r="AM21" i="14" s="1"/>
  <c r="AM22" i="14" s="1"/>
  <c r="AM23" i="14" s="1"/>
  <c r="AM24" i="14" s="1"/>
  <c r="AM25" i="14" s="1"/>
  <c r="AM26" i="14" s="1"/>
  <c r="AM27" i="14" s="1"/>
  <c r="AM28" i="14" s="1"/>
  <c r="AM29" i="14" s="1"/>
  <c r="AM30" i="14" s="1"/>
  <c r="AM31" i="14" s="1"/>
  <c r="AM32" i="14" s="1"/>
  <c r="AM33" i="14" s="1"/>
  <c r="AM34" i="14" s="1"/>
  <c r="AM35" i="14" s="1"/>
  <c r="AM36" i="14" s="1"/>
  <c r="AM37" i="14" s="1"/>
  <c r="AM38" i="14" s="1"/>
  <c r="AM39" i="14" s="1"/>
  <c r="AM40" i="14" s="1"/>
  <c r="AM41" i="14" s="1"/>
  <c r="AM42" i="14" s="1"/>
  <c r="AM43" i="14" s="1"/>
  <c r="AM44" i="14" s="1"/>
  <c r="AM45" i="14" s="1"/>
  <c r="AM46" i="14" s="1"/>
  <c r="AM47" i="14" s="1"/>
  <c r="AM48" i="14" s="1"/>
  <c r="AM49" i="14" s="1"/>
  <c r="AM50" i="14" s="1"/>
  <c r="AM51" i="14" s="1"/>
  <c r="AM52" i="14" s="1"/>
  <c r="AM53" i="14" s="1"/>
  <c r="AM54" i="14" s="1"/>
  <c r="AM55" i="14" s="1"/>
  <c r="AM56" i="14" s="1"/>
  <c r="AM57" i="14" s="1"/>
  <c r="AM58" i="14" s="1"/>
  <c r="AM59" i="14" s="1"/>
  <c r="AM60" i="14" s="1"/>
  <c r="AM61" i="14" s="1"/>
  <c r="AM62" i="14" s="1"/>
  <c r="AM63" i="14" s="1"/>
  <c r="AM64" i="14" s="1"/>
  <c r="AM65" i="14" s="1"/>
  <c r="AM66" i="14" s="1"/>
  <c r="AM67" i="14" s="1"/>
  <c r="AM68" i="14" s="1"/>
  <c r="AM69" i="14" s="1"/>
  <c r="AM70" i="14" s="1"/>
  <c r="AM71" i="14" s="1"/>
  <c r="AM72" i="14" s="1"/>
  <c r="AM73" i="14" s="1"/>
  <c r="AM74" i="14" s="1"/>
  <c r="AM75" i="14" s="1"/>
  <c r="AM76" i="14" s="1"/>
  <c r="AM77" i="14" s="1"/>
  <c r="AM78" i="14" s="1"/>
  <c r="AM79" i="14" s="1"/>
  <c r="AM80" i="14" s="1"/>
  <c r="AM81" i="14" s="1"/>
  <c r="AM82" i="14" s="1"/>
  <c r="AM83" i="14" s="1"/>
  <c r="AM84" i="14" s="1"/>
  <c r="AM85" i="14" s="1"/>
  <c r="AM86" i="14" s="1"/>
  <c r="AM87" i="14" s="1"/>
  <c r="AM88" i="14" s="1"/>
  <c r="AM89" i="14" s="1"/>
  <c r="AM90" i="14" s="1"/>
  <c r="AM91" i="14" s="1"/>
  <c r="AM92" i="14" s="1"/>
  <c r="AM93" i="14" s="1"/>
  <c r="AM94" i="14" s="1"/>
  <c r="AM95" i="14" s="1"/>
  <c r="AM96" i="14" s="1"/>
  <c r="AM97" i="14" s="1"/>
  <c r="AM98" i="14" s="1"/>
  <c r="AM99" i="14" s="1"/>
  <c r="AM100" i="14" s="1"/>
  <c r="AM101" i="14" s="1"/>
  <c r="AM102" i="14" s="1"/>
  <c r="AM103" i="14" s="1"/>
  <c r="AM104" i="14" s="1"/>
  <c r="AM105" i="14" s="1"/>
  <c r="AM106" i="14" s="1"/>
  <c r="AM107" i="14" s="1"/>
  <c r="AM108" i="14" s="1"/>
  <c r="AM109" i="14" s="1"/>
  <c r="AM110" i="14" s="1"/>
  <c r="AM111" i="14" s="1"/>
  <c r="AM112" i="14" s="1"/>
  <c r="AM113" i="14" s="1"/>
  <c r="AM114" i="14" s="1"/>
  <c r="AM115" i="14" s="1"/>
  <c r="AM116" i="14" s="1"/>
  <c r="AM117" i="14" s="1"/>
  <c r="AM118" i="14" s="1"/>
  <c r="AM119" i="14" s="1"/>
  <c r="AM120" i="14" s="1"/>
  <c r="AM121" i="14" s="1"/>
  <c r="AM122" i="14" s="1"/>
  <c r="AM123" i="14" s="1"/>
  <c r="AM124" i="14" s="1"/>
  <c r="AW6" i="14"/>
  <c r="AW7" i="14" s="1"/>
  <c r="AW8" i="14" s="1"/>
  <c r="AW9" i="14" s="1"/>
  <c r="AW10" i="14" s="1"/>
  <c r="AW11" i="14" s="1"/>
  <c r="AW12" i="14" s="1"/>
  <c r="AW13" i="14" s="1"/>
  <c r="AW14" i="14" s="1"/>
  <c r="AW15" i="14" s="1"/>
  <c r="AW16" i="14" s="1"/>
  <c r="AW17" i="14" s="1"/>
  <c r="AW18" i="14" s="1"/>
  <c r="AW19" i="14" s="1"/>
  <c r="AW20" i="14" s="1"/>
  <c r="AW21" i="14" s="1"/>
  <c r="AW22" i="14" s="1"/>
  <c r="AW23" i="14" s="1"/>
  <c r="AW24" i="14" s="1"/>
  <c r="AW25" i="14" s="1"/>
  <c r="AW26" i="14" s="1"/>
  <c r="AW27" i="14" s="1"/>
  <c r="AW28" i="14" s="1"/>
  <c r="AW29" i="14" s="1"/>
  <c r="AW30" i="14" s="1"/>
  <c r="AW31" i="14" s="1"/>
  <c r="AW32" i="14" s="1"/>
  <c r="AW33" i="14" s="1"/>
  <c r="AW34" i="14" s="1"/>
  <c r="AW35" i="14" s="1"/>
  <c r="AW36" i="14" s="1"/>
  <c r="AW37" i="14" s="1"/>
  <c r="AW38" i="14" s="1"/>
  <c r="AW39" i="14" s="1"/>
  <c r="AW40" i="14" s="1"/>
  <c r="AW41" i="14" s="1"/>
  <c r="AW42" i="14" s="1"/>
  <c r="AW43" i="14" s="1"/>
  <c r="AW44" i="14" s="1"/>
  <c r="AW45" i="14" s="1"/>
  <c r="AW46" i="14" s="1"/>
  <c r="AW47" i="14" s="1"/>
  <c r="AW48" i="14" s="1"/>
  <c r="AW49" i="14" s="1"/>
  <c r="AW50" i="14" s="1"/>
  <c r="AW51" i="14" s="1"/>
  <c r="AW52" i="14" s="1"/>
  <c r="AW53" i="14" s="1"/>
  <c r="AW54" i="14" s="1"/>
  <c r="AW55" i="14" s="1"/>
  <c r="AW56" i="14" s="1"/>
  <c r="AW57" i="14" s="1"/>
  <c r="AW58" i="14" s="1"/>
  <c r="AW59" i="14" s="1"/>
  <c r="AW60" i="14" s="1"/>
  <c r="AW61" i="14" s="1"/>
  <c r="AW62" i="14" s="1"/>
  <c r="AW63" i="14" s="1"/>
  <c r="AW64" i="14" s="1"/>
  <c r="AW65" i="14" s="1"/>
  <c r="AW66" i="14" s="1"/>
  <c r="AW67" i="14" s="1"/>
  <c r="AW68" i="14" s="1"/>
  <c r="AW69" i="14" s="1"/>
  <c r="AW70" i="14" s="1"/>
  <c r="AW71" i="14" s="1"/>
  <c r="AW72" i="14" s="1"/>
  <c r="AW73" i="14" s="1"/>
  <c r="AW74" i="14" s="1"/>
  <c r="AW75" i="14" s="1"/>
  <c r="AW76" i="14" s="1"/>
  <c r="AW77" i="14" s="1"/>
  <c r="AW78" i="14" s="1"/>
  <c r="AW79" i="14" s="1"/>
  <c r="AW80" i="14" s="1"/>
  <c r="AW81" i="14" s="1"/>
  <c r="AW82" i="14" s="1"/>
  <c r="AW83" i="14" s="1"/>
  <c r="AW84" i="14" s="1"/>
  <c r="AW85" i="14" s="1"/>
  <c r="AW86" i="14" s="1"/>
  <c r="AW87" i="14" s="1"/>
  <c r="AW88" i="14" s="1"/>
  <c r="AW89" i="14" s="1"/>
  <c r="AW90" i="14" s="1"/>
  <c r="AW91" i="14" s="1"/>
  <c r="AW92" i="14" s="1"/>
  <c r="AW93" i="14" s="1"/>
  <c r="AW94" i="14" s="1"/>
  <c r="AW95" i="14" s="1"/>
  <c r="AW96" i="14" s="1"/>
  <c r="AW97" i="14" s="1"/>
  <c r="AW98" i="14" s="1"/>
  <c r="AW99" i="14" s="1"/>
  <c r="AW100" i="14" s="1"/>
  <c r="AW101" i="14" s="1"/>
  <c r="AW102" i="14" s="1"/>
  <c r="AW103" i="14" s="1"/>
  <c r="AW104" i="14" s="1"/>
  <c r="AW105" i="14" s="1"/>
  <c r="AW106" i="14" s="1"/>
  <c r="AW107" i="14" s="1"/>
  <c r="AW108" i="14" s="1"/>
  <c r="AW109" i="14" s="1"/>
  <c r="AW110" i="14" s="1"/>
  <c r="AW111" i="14" s="1"/>
  <c r="AW112" i="14" s="1"/>
  <c r="AW113" i="14" s="1"/>
  <c r="AW114" i="14" s="1"/>
  <c r="AW115" i="14" s="1"/>
  <c r="AW116" i="14" s="1"/>
  <c r="AW117" i="14" s="1"/>
  <c r="AW118" i="14" s="1"/>
  <c r="AW119" i="14" s="1"/>
  <c r="AW120" i="14" s="1"/>
  <c r="AW121" i="14" s="1"/>
  <c r="AW122" i="14" s="1"/>
  <c r="AW123" i="14" s="1"/>
  <c r="AW124" i="14" s="1"/>
  <c r="BG6" i="14"/>
  <c r="BG7" i="14" s="1"/>
  <c r="BG8" i="14" s="1"/>
  <c r="BG9" i="14" s="1"/>
  <c r="BG10" i="14" s="1"/>
  <c r="BG11" i="14" s="1"/>
  <c r="BG12" i="14" s="1"/>
  <c r="BG13" i="14" s="1"/>
  <c r="BG14" i="14" s="1"/>
  <c r="BG15" i="14" s="1"/>
  <c r="BG16" i="14" s="1"/>
  <c r="BG17" i="14" s="1"/>
  <c r="BG18" i="14" s="1"/>
  <c r="BG19" i="14" s="1"/>
  <c r="BG20" i="14" s="1"/>
  <c r="BG21" i="14" s="1"/>
  <c r="BG22" i="14" s="1"/>
  <c r="BG23" i="14" s="1"/>
  <c r="BG24" i="14" s="1"/>
  <c r="BG25" i="14" s="1"/>
  <c r="BG26" i="14" s="1"/>
  <c r="BG27" i="14" s="1"/>
  <c r="BG28" i="14" s="1"/>
  <c r="BG29" i="14" s="1"/>
  <c r="BG30" i="14" s="1"/>
  <c r="BG31" i="14" s="1"/>
  <c r="BG32" i="14" s="1"/>
  <c r="BG33" i="14" s="1"/>
  <c r="BG34" i="14" s="1"/>
  <c r="BG35" i="14" s="1"/>
  <c r="BG36" i="14" s="1"/>
  <c r="BG37" i="14" s="1"/>
  <c r="BG38" i="14" s="1"/>
  <c r="BG39" i="14" s="1"/>
  <c r="BG40" i="14" s="1"/>
  <c r="BG41" i="14" s="1"/>
  <c r="BG42" i="14" s="1"/>
  <c r="BG43" i="14" s="1"/>
  <c r="BG44" i="14" s="1"/>
  <c r="BG45" i="14" s="1"/>
  <c r="BG46" i="14" s="1"/>
  <c r="BG47" i="14" s="1"/>
  <c r="BG48" i="14" s="1"/>
  <c r="BG49" i="14" s="1"/>
  <c r="BG50" i="14" s="1"/>
  <c r="BG51" i="14" s="1"/>
  <c r="BG52" i="14" s="1"/>
  <c r="BG53" i="14" s="1"/>
  <c r="BG54" i="14" s="1"/>
  <c r="BG55" i="14" s="1"/>
  <c r="BG56" i="14" s="1"/>
  <c r="BG57" i="14" s="1"/>
  <c r="BG58" i="14" s="1"/>
  <c r="BG59" i="14" s="1"/>
  <c r="BG60" i="14" s="1"/>
  <c r="BG61" i="14" s="1"/>
  <c r="BG62" i="14" s="1"/>
  <c r="BG63" i="14" s="1"/>
  <c r="BG64" i="14" s="1"/>
  <c r="BG65" i="14" s="1"/>
  <c r="BG66" i="14" s="1"/>
  <c r="BG67" i="14" s="1"/>
  <c r="BG68" i="14" s="1"/>
  <c r="BG69" i="14" s="1"/>
  <c r="BG70" i="14" s="1"/>
  <c r="BG71" i="14" s="1"/>
  <c r="BG72" i="14" s="1"/>
  <c r="BG73" i="14" s="1"/>
  <c r="BG74" i="14" s="1"/>
  <c r="BG75" i="14" s="1"/>
  <c r="BG76" i="14" s="1"/>
  <c r="BG77" i="14" s="1"/>
  <c r="BG78" i="14" s="1"/>
  <c r="BG79" i="14" s="1"/>
  <c r="BG80" i="14" s="1"/>
  <c r="BG81" i="14" s="1"/>
  <c r="BG82" i="14" s="1"/>
  <c r="BG83" i="14" s="1"/>
  <c r="BG84" i="14" s="1"/>
  <c r="BG85" i="14" s="1"/>
  <c r="BG86" i="14" s="1"/>
  <c r="BG87" i="14" s="1"/>
  <c r="BG88" i="14" s="1"/>
  <c r="BG89" i="14" s="1"/>
  <c r="BG90" i="14" s="1"/>
  <c r="BG91" i="14" s="1"/>
  <c r="BG92" i="14" s="1"/>
  <c r="BG93" i="14" s="1"/>
  <c r="BG94" i="14" s="1"/>
  <c r="BG95" i="14" s="1"/>
  <c r="BG96" i="14" s="1"/>
  <c r="BG97" i="14" s="1"/>
  <c r="BG98" i="14" s="1"/>
  <c r="BG99" i="14" s="1"/>
  <c r="BG100" i="14" s="1"/>
  <c r="BG101" i="14" s="1"/>
  <c r="BG102" i="14" s="1"/>
  <c r="BG103" i="14" s="1"/>
  <c r="BG104" i="14" s="1"/>
  <c r="BG105" i="14" s="1"/>
  <c r="BG106" i="14" s="1"/>
  <c r="BG107" i="14" s="1"/>
  <c r="BG108" i="14" s="1"/>
  <c r="BG109" i="14" s="1"/>
  <c r="BG110" i="14" s="1"/>
  <c r="BG111" i="14" s="1"/>
  <c r="BG112" i="14" s="1"/>
  <c r="BG113" i="14" s="1"/>
  <c r="BG114" i="14" s="1"/>
  <c r="BG115" i="14" s="1"/>
  <c r="BG116" i="14" s="1"/>
  <c r="BG117" i="14" s="1"/>
  <c r="BG118" i="14" s="1"/>
  <c r="BG119" i="14" s="1"/>
  <c r="BG120" i="14" s="1"/>
  <c r="BG121" i="14" s="1"/>
  <c r="BG122" i="14" s="1"/>
  <c r="BG123" i="14" s="1"/>
  <c r="BG124" i="14" s="1"/>
  <c r="BQ6" i="14"/>
  <c r="BQ7" i="14" s="1"/>
  <c r="BQ8" i="14" s="1"/>
  <c r="BQ9" i="14" s="1"/>
  <c r="BQ10" i="14" s="1"/>
  <c r="BQ11" i="14" s="1"/>
  <c r="BQ12" i="14" s="1"/>
  <c r="BQ13" i="14" s="1"/>
  <c r="BQ14" i="14" s="1"/>
  <c r="BQ15" i="14" s="1"/>
  <c r="BQ16" i="14" s="1"/>
  <c r="BQ17" i="14" s="1"/>
  <c r="BQ18" i="14" s="1"/>
  <c r="BQ19" i="14" s="1"/>
  <c r="BQ20" i="14" s="1"/>
  <c r="BQ21" i="14" s="1"/>
  <c r="BQ22" i="14" s="1"/>
  <c r="BQ23" i="14" s="1"/>
  <c r="BQ24" i="14" s="1"/>
  <c r="BQ25" i="14" s="1"/>
  <c r="BQ26" i="14" s="1"/>
  <c r="BQ27" i="14" s="1"/>
  <c r="BQ28" i="14" s="1"/>
  <c r="BQ29" i="14" s="1"/>
  <c r="BQ30" i="14" s="1"/>
  <c r="BQ31" i="14" s="1"/>
  <c r="BQ32" i="14" s="1"/>
  <c r="BQ33" i="14" s="1"/>
  <c r="BQ34" i="14" s="1"/>
  <c r="BQ35" i="14" s="1"/>
  <c r="BQ36" i="14" s="1"/>
  <c r="BQ37" i="14" s="1"/>
  <c r="BQ38" i="14" s="1"/>
  <c r="BQ39" i="14" s="1"/>
  <c r="BQ40" i="14" s="1"/>
  <c r="BQ41" i="14" s="1"/>
  <c r="BQ42" i="14" s="1"/>
  <c r="BQ43" i="14" s="1"/>
  <c r="BQ44" i="14" s="1"/>
  <c r="BQ45" i="14" s="1"/>
  <c r="BQ46" i="14" s="1"/>
  <c r="BQ47" i="14" s="1"/>
  <c r="BQ48" i="14" s="1"/>
  <c r="BQ49" i="14" s="1"/>
  <c r="BQ50" i="14" s="1"/>
  <c r="BQ51" i="14" s="1"/>
  <c r="BQ52" i="14" s="1"/>
  <c r="BQ53" i="14" s="1"/>
  <c r="BQ54" i="14" s="1"/>
  <c r="BQ55" i="14" s="1"/>
  <c r="BQ56" i="14" s="1"/>
  <c r="BQ57" i="14" s="1"/>
  <c r="BQ58" i="14" s="1"/>
  <c r="BQ59" i="14" s="1"/>
  <c r="BQ60" i="14" s="1"/>
  <c r="BQ61" i="14" s="1"/>
  <c r="BQ62" i="14" s="1"/>
  <c r="BQ63" i="14" s="1"/>
  <c r="BQ64" i="14" s="1"/>
  <c r="BQ65" i="14" s="1"/>
  <c r="BQ66" i="14" s="1"/>
  <c r="BQ67" i="14" s="1"/>
  <c r="BQ68" i="14" s="1"/>
  <c r="BQ69" i="14" s="1"/>
  <c r="BQ70" i="14" s="1"/>
  <c r="BQ71" i="14" s="1"/>
  <c r="BQ72" i="14" s="1"/>
  <c r="BQ73" i="14" s="1"/>
  <c r="BQ74" i="14" s="1"/>
  <c r="BQ75" i="14" s="1"/>
  <c r="BQ76" i="14" s="1"/>
  <c r="BQ77" i="14" s="1"/>
  <c r="BQ78" i="14" s="1"/>
  <c r="BQ79" i="14" s="1"/>
  <c r="BQ80" i="14" s="1"/>
  <c r="BQ81" i="14" s="1"/>
  <c r="BQ82" i="14" s="1"/>
  <c r="BQ83" i="14" s="1"/>
  <c r="BQ84" i="14" s="1"/>
  <c r="BQ85" i="14" s="1"/>
  <c r="BQ86" i="14" s="1"/>
  <c r="BQ87" i="14" s="1"/>
  <c r="BQ88" i="14" s="1"/>
  <c r="BQ89" i="14" s="1"/>
  <c r="BQ90" i="14" s="1"/>
  <c r="BQ91" i="14" s="1"/>
  <c r="BQ92" i="14" s="1"/>
  <c r="BQ93" i="14" s="1"/>
  <c r="BQ94" i="14" s="1"/>
  <c r="BQ95" i="14" s="1"/>
  <c r="BQ96" i="14" s="1"/>
  <c r="BQ97" i="14" s="1"/>
  <c r="BQ98" i="14" s="1"/>
  <c r="BQ99" i="14" s="1"/>
  <c r="BQ100" i="14" s="1"/>
  <c r="BQ101" i="14" s="1"/>
  <c r="BQ102" i="14" s="1"/>
  <c r="BQ103" i="14" s="1"/>
  <c r="BQ104" i="14" s="1"/>
  <c r="BQ105" i="14" s="1"/>
  <c r="BQ106" i="14" s="1"/>
  <c r="BQ107" i="14" s="1"/>
  <c r="BQ108" i="14" s="1"/>
  <c r="BQ109" i="14" s="1"/>
  <c r="BQ110" i="14" s="1"/>
  <c r="BQ111" i="14" s="1"/>
  <c r="BQ112" i="14" s="1"/>
  <c r="BQ113" i="14" s="1"/>
  <c r="BQ114" i="14" s="1"/>
  <c r="BQ115" i="14" s="1"/>
  <c r="BQ116" i="14" s="1"/>
  <c r="BQ117" i="14" s="1"/>
  <c r="BQ118" i="14" s="1"/>
  <c r="BQ119" i="14" s="1"/>
  <c r="BQ120" i="14" s="1"/>
  <c r="BQ121" i="14" s="1"/>
  <c r="BQ122" i="14" s="1"/>
  <c r="BQ123" i="14" s="1"/>
  <c r="BQ124" i="14" s="1"/>
  <c r="CA6" i="14"/>
  <c r="CA7" i="14" s="1"/>
  <c r="CA8" i="14" s="1"/>
  <c r="CA9" i="14" s="1"/>
  <c r="CA10" i="14" s="1"/>
  <c r="CA11" i="14" s="1"/>
  <c r="CA12" i="14" s="1"/>
  <c r="CA13" i="14" s="1"/>
  <c r="CA14" i="14" s="1"/>
  <c r="CA15" i="14" s="1"/>
  <c r="CA16" i="14" s="1"/>
  <c r="CA17" i="14" s="1"/>
  <c r="CA18" i="14" s="1"/>
  <c r="CA19" i="14" s="1"/>
  <c r="CA20" i="14" s="1"/>
  <c r="CA21" i="14" s="1"/>
  <c r="CA22" i="14" s="1"/>
  <c r="CA23" i="14" s="1"/>
  <c r="CA24" i="14" s="1"/>
  <c r="CA25" i="14" s="1"/>
  <c r="CA26" i="14" s="1"/>
  <c r="CA27" i="14" s="1"/>
  <c r="CA28" i="14" s="1"/>
  <c r="CA29" i="14" s="1"/>
  <c r="CA30" i="14" s="1"/>
  <c r="CA31" i="14" s="1"/>
  <c r="CA32" i="14" s="1"/>
  <c r="CA33" i="14" s="1"/>
  <c r="CA34" i="14" s="1"/>
  <c r="CA35" i="14" s="1"/>
  <c r="CA36" i="14" s="1"/>
  <c r="CA37" i="14" s="1"/>
  <c r="CA38" i="14" s="1"/>
  <c r="CA39" i="14" s="1"/>
  <c r="CA40" i="14" s="1"/>
  <c r="CA41" i="14" s="1"/>
  <c r="CA42" i="14" s="1"/>
  <c r="CA43" i="14" s="1"/>
  <c r="CA44" i="14" s="1"/>
  <c r="CA45" i="14" s="1"/>
  <c r="CA46" i="14" s="1"/>
  <c r="CA47" i="14" s="1"/>
  <c r="CA48" i="14" s="1"/>
  <c r="CA49" i="14" s="1"/>
  <c r="CA50" i="14" s="1"/>
  <c r="CA51" i="14" s="1"/>
  <c r="CA52" i="14" s="1"/>
  <c r="CA53" i="14" s="1"/>
  <c r="CA54" i="14" s="1"/>
  <c r="CA55" i="14" s="1"/>
  <c r="CA56" i="14" s="1"/>
  <c r="CA57" i="14" s="1"/>
  <c r="CA58" i="14" s="1"/>
  <c r="CA59" i="14" s="1"/>
  <c r="CA60" i="14" s="1"/>
  <c r="CA61" i="14" s="1"/>
  <c r="CA62" i="14" s="1"/>
  <c r="CA63" i="14" s="1"/>
  <c r="CA64" i="14" s="1"/>
  <c r="CA65" i="14" s="1"/>
  <c r="CA66" i="14" s="1"/>
  <c r="CA67" i="14" s="1"/>
  <c r="CA68" i="14" s="1"/>
  <c r="CA69" i="14" s="1"/>
  <c r="CA70" i="14" s="1"/>
  <c r="CA71" i="14" s="1"/>
  <c r="CA72" i="14" s="1"/>
  <c r="CA73" i="14" s="1"/>
  <c r="CA74" i="14" s="1"/>
  <c r="CA75" i="14" s="1"/>
  <c r="CA76" i="14" s="1"/>
  <c r="CA77" i="14" s="1"/>
  <c r="CA78" i="14" s="1"/>
  <c r="CA79" i="14" s="1"/>
  <c r="CA80" i="14" s="1"/>
  <c r="CA81" i="14" s="1"/>
  <c r="CA82" i="14" s="1"/>
  <c r="CA83" i="14" s="1"/>
  <c r="CA84" i="14" s="1"/>
  <c r="CA85" i="14" s="1"/>
  <c r="CA86" i="14" s="1"/>
  <c r="CA87" i="14" s="1"/>
  <c r="CA88" i="14" s="1"/>
  <c r="CA89" i="14" s="1"/>
  <c r="CA90" i="14" s="1"/>
  <c r="CA91" i="14" s="1"/>
  <c r="CA92" i="14" s="1"/>
  <c r="CA93" i="14" s="1"/>
  <c r="CA94" i="14" s="1"/>
  <c r="CA95" i="14" s="1"/>
  <c r="CA96" i="14" s="1"/>
  <c r="CA97" i="14" s="1"/>
  <c r="CA98" i="14" s="1"/>
  <c r="CA99" i="14" s="1"/>
  <c r="CA100" i="14" s="1"/>
  <c r="CA101" i="14" s="1"/>
  <c r="CA102" i="14" s="1"/>
  <c r="CA103" i="14" s="1"/>
  <c r="CA104" i="14" s="1"/>
  <c r="CA105" i="14" s="1"/>
  <c r="CA106" i="14" s="1"/>
  <c r="CA107" i="14" s="1"/>
  <c r="CA108" i="14" s="1"/>
  <c r="CA109" i="14" s="1"/>
  <c r="CA110" i="14" s="1"/>
  <c r="CA111" i="14" s="1"/>
  <c r="CA112" i="14" s="1"/>
  <c r="CA113" i="14" s="1"/>
  <c r="CA114" i="14" s="1"/>
  <c r="CA115" i="14" s="1"/>
  <c r="CA116" i="14" s="1"/>
  <c r="CA117" i="14" s="1"/>
  <c r="CA118" i="14" s="1"/>
  <c r="CA119" i="14" s="1"/>
  <c r="CA120" i="14" s="1"/>
  <c r="CA121" i="14" s="1"/>
  <c r="CA122" i="14" s="1"/>
  <c r="CA123" i="14" s="1"/>
  <c r="CA124" i="14" s="1"/>
  <c r="CK6" i="14"/>
  <c r="CK7" i="14" s="1"/>
  <c r="CK8" i="14" s="1"/>
  <c r="CK9" i="14" s="1"/>
  <c r="CK10" i="14" s="1"/>
  <c r="CK11" i="14" s="1"/>
  <c r="CK12" i="14" s="1"/>
  <c r="CK13" i="14" s="1"/>
  <c r="CK14" i="14" s="1"/>
  <c r="CK15" i="14" s="1"/>
  <c r="CK16" i="14" s="1"/>
  <c r="CK17" i="14" s="1"/>
  <c r="CK18" i="14" s="1"/>
  <c r="CK19" i="14" s="1"/>
  <c r="CK20" i="14" s="1"/>
  <c r="CK21" i="14" s="1"/>
  <c r="CK22" i="14" s="1"/>
  <c r="CK23" i="14" s="1"/>
  <c r="CK24" i="14" s="1"/>
  <c r="CK25" i="14" s="1"/>
  <c r="CK26" i="14" s="1"/>
  <c r="CK27" i="14" s="1"/>
  <c r="CK28" i="14" s="1"/>
  <c r="CK29" i="14" s="1"/>
  <c r="CK30" i="14" s="1"/>
  <c r="CK31" i="14" s="1"/>
  <c r="CK32" i="14" s="1"/>
  <c r="CK33" i="14" s="1"/>
  <c r="CK34" i="14" s="1"/>
  <c r="CK35" i="14" s="1"/>
  <c r="CK36" i="14" s="1"/>
  <c r="CK37" i="14" s="1"/>
  <c r="CK38" i="14" s="1"/>
  <c r="CK39" i="14" s="1"/>
  <c r="CK40" i="14" s="1"/>
  <c r="CK41" i="14" s="1"/>
  <c r="CK42" i="14" s="1"/>
  <c r="CK43" i="14" s="1"/>
  <c r="CK44" i="14" s="1"/>
  <c r="CK45" i="14" s="1"/>
  <c r="CK46" i="14" s="1"/>
  <c r="CK47" i="14" s="1"/>
  <c r="CK48" i="14" s="1"/>
  <c r="CK49" i="14" s="1"/>
  <c r="CK50" i="14" s="1"/>
  <c r="CK51" i="14" s="1"/>
  <c r="CK52" i="14" s="1"/>
  <c r="CK53" i="14" s="1"/>
  <c r="CK54" i="14" s="1"/>
  <c r="CK55" i="14" s="1"/>
  <c r="CK56" i="14" s="1"/>
  <c r="CK57" i="14" s="1"/>
  <c r="CK58" i="14" s="1"/>
  <c r="CK59" i="14" s="1"/>
  <c r="CK60" i="14" s="1"/>
  <c r="CK61" i="14" s="1"/>
  <c r="CK62" i="14" s="1"/>
  <c r="CK63" i="14" s="1"/>
  <c r="CK64" i="14" s="1"/>
  <c r="CK65" i="14" s="1"/>
  <c r="CK66" i="14" s="1"/>
  <c r="CK67" i="14" s="1"/>
  <c r="CK68" i="14" s="1"/>
  <c r="CK69" i="14" s="1"/>
  <c r="CK70" i="14" s="1"/>
  <c r="CK71" i="14" s="1"/>
  <c r="CK72" i="14" s="1"/>
  <c r="CK73" i="14" s="1"/>
  <c r="CK74" i="14" s="1"/>
  <c r="CK75" i="14" s="1"/>
  <c r="CK76" i="14" s="1"/>
  <c r="CK77" i="14" s="1"/>
  <c r="CK78" i="14" s="1"/>
  <c r="CK79" i="14" s="1"/>
  <c r="CK80" i="14" s="1"/>
  <c r="CK81" i="14" s="1"/>
  <c r="CK82" i="14" s="1"/>
  <c r="CK83" i="14" s="1"/>
  <c r="CK84" i="14" s="1"/>
  <c r="CK85" i="14" s="1"/>
  <c r="CK86" i="14" s="1"/>
  <c r="CK87" i="14" s="1"/>
  <c r="CK88" i="14" s="1"/>
  <c r="CK89" i="14" s="1"/>
  <c r="CK90" i="14" s="1"/>
  <c r="CK91" i="14" s="1"/>
  <c r="CK92" i="14" s="1"/>
  <c r="CK93" i="14" s="1"/>
  <c r="CK94" i="14" s="1"/>
  <c r="CK95" i="14" s="1"/>
  <c r="CK96" i="14" s="1"/>
  <c r="CK97" i="14" s="1"/>
  <c r="CK98" i="14" s="1"/>
  <c r="CK99" i="14" s="1"/>
  <c r="CK100" i="14" s="1"/>
  <c r="CK101" i="14" s="1"/>
  <c r="CK102" i="14" s="1"/>
  <c r="CK103" i="14" s="1"/>
  <c r="CK104" i="14" s="1"/>
  <c r="CK105" i="14" s="1"/>
  <c r="CK106" i="14" s="1"/>
  <c r="CK107" i="14" s="1"/>
  <c r="CK108" i="14" s="1"/>
  <c r="CK109" i="14" s="1"/>
  <c r="CK110" i="14" s="1"/>
  <c r="CK111" i="14" s="1"/>
  <c r="CK112" i="14" s="1"/>
  <c r="CK113" i="14" s="1"/>
  <c r="CK114" i="14" s="1"/>
  <c r="CK115" i="14" s="1"/>
  <c r="CK116" i="14" s="1"/>
  <c r="CK117" i="14" s="1"/>
  <c r="CK118" i="14" s="1"/>
  <c r="CK119" i="14" s="1"/>
  <c r="CK120" i="14" s="1"/>
  <c r="CK121" i="14" s="1"/>
  <c r="CK122" i="14" s="1"/>
  <c r="CK123" i="14" s="1"/>
  <c r="CK124" i="14" s="1"/>
  <c r="CU6" i="14"/>
  <c r="CU7" i="14" s="1"/>
  <c r="CU8" i="14" s="1"/>
  <c r="CU9" i="14" s="1"/>
  <c r="CU10" i="14" s="1"/>
  <c r="CU11" i="14" s="1"/>
  <c r="CU12" i="14" s="1"/>
  <c r="CU13" i="14" s="1"/>
  <c r="CU14" i="14" s="1"/>
  <c r="CU15" i="14" s="1"/>
  <c r="CU16" i="14" s="1"/>
  <c r="CU17" i="14" s="1"/>
  <c r="CU18" i="14" s="1"/>
  <c r="CU19" i="14" s="1"/>
  <c r="CU20" i="14" s="1"/>
  <c r="CU21" i="14" s="1"/>
  <c r="CU22" i="14" s="1"/>
  <c r="CU23" i="14" s="1"/>
  <c r="CU24" i="14" s="1"/>
  <c r="CU25" i="14" s="1"/>
  <c r="CU26" i="14" s="1"/>
  <c r="CU27" i="14" s="1"/>
  <c r="CU28" i="14" s="1"/>
  <c r="CU29" i="14" s="1"/>
  <c r="CU30" i="14" s="1"/>
  <c r="CU31" i="14" s="1"/>
  <c r="CU32" i="14" s="1"/>
  <c r="CU33" i="14" s="1"/>
  <c r="CU34" i="14" s="1"/>
  <c r="CU35" i="14" s="1"/>
  <c r="CU36" i="14" s="1"/>
  <c r="CU37" i="14" s="1"/>
  <c r="CU38" i="14" s="1"/>
  <c r="CU39" i="14" s="1"/>
  <c r="CU40" i="14" s="1"/>
  <c r="CU41" i="14" s="1"/>
  <c r="CU42" i="14" s="1"/>
  <c r="CU43" i="14" s="1"/>
  <c r="CU44" i="14" s="1"/>
  <c r="CU45" i="14" s="1"/>
  <c r="CU46" i="14" s="1"/>
  <c r="CU47" i="14" s="1"/>
  <c r="CU48" i="14" s="1"/>
  <c r="CU49" i="14" s="1"/>
  <c r="CU50" i="14" s="1"/>
  <c r="CU51" i="14" s="1"/>
  <c r="CU52" i="14" s="1"/>
  <c r="CU53" i="14" s="1"/>
  <c r="CU54" i="14" s="1"/>
  <c r="CU55" i="14" s="1"/>
  <c r="CU56" i="14" s="1"/>
  <c r="CU57" i="14" s="1"/>
  <c r="CU58" i="14" s="1"/>
  <c r="CU59" i="14" s="1"/>
  <c r="CU60" i="14" s="1"/>
  <c r="CU61" i="14" s="1"/>
  <c r="CU62" i="14" s="1"/>
  <c r="CU63" i="14" s="1"/>
  <c r="CU64" i="14" s="1"/>
  <c r="CU65" i="14" s="1"/>
  <c r="CU66" i="14" s="1"/>
  <c r="CU67" i="14" s="1"/>
  <c r="CU68" i="14" s="1"/>
  <c r="CU69" i="14" s="1"/>
  <c r="CU70" i="14" s="1"/>
  <c r="CU71" i="14" s="1"/>
  <c r="CU72" i="14" s="1"/>
  <c r="CU73" i="14" s="1"/>
  <c r="CU74" i="14" s="1"/>
  <c r="CU75" i="14" s="1"/>
  <c r="CU76" i="14" s="1"/>
  <c r="CU77" i="14" s="1"/>
  <c r="CU78" i="14" s="1"/>
  <c r="CU79" i="14" s="1"/>
  <c r="CU80" i="14" s="1"/>
  <c r="CU81" i="14" s="1"/>
  <c r="CU82" i="14" s="1"/>
  <c r="CU83" i="14" s="1"/>
  <c r="CU84" i="14" s="1"/>
  <c r="CU85" i="14" s="1"/>
  <c r="CU86" i="14" s="1"/>
  <c r="CU87" i="14" s="1"/>
  <c r="CU88" i="14" s="1"/>
  <c r="CU89" i="14" s="1"/>
  <c r="CU90" i="14" s="1"/>
  <c r="CU91" i="14" s="1"/>
  <c r="CU92" i="14" s="1"/>
  <c r="CU93" i="14" s="1"/>
  <c r="CU94" i="14" s="1"/>
  <c r="CU95" i="14" s="1"/>
  <c r="CU96" i="14" s="1"/>
  <c r="CU97" i="14" s="1"/>
  <c r="CU98" i="14" s="1"/>
  <c r="CU99" i="14" s="1"/>
  <c r="CU100" i="14" s="1"/>
  <c r="CU101" i="14" s="1"/>
  <c r="CU102" i="14" s="1"/>
  <c r="CU103" i="14" s="1"/>
  <c r="CU104" i="14" s="1"/>
  <c r="CU105" i="14" s="1"/>
  <c r="CU106" i="14" s="1"/>
  <c r="CU107" i="14" s="1"/>
  <c r="CU108" i="14" s="1"/>
  <c r="CU109" i="14" s="1"/>
  <c r="CU110" i="14" s="1"/>
  <c r="CU111" i="14" s="1"/>
  <c r="CU112" i="14" s="1"/>
  <c r="CU113" i="14" s="1"/>
  <c r="CU114" i="14" s="1"/>
  <c r="CU115" i="14" s="1"/>
  <c r="CU116" i="14" s="1"/>
  <c r="CU117" i="14" s="1"/>
  <c r="CU118" i="14" s="1"/>
  <c r="CU119" i="14" s="1"/>
  <c r="CU120" i="14" s="1"/>
  <c r="CU121" i="14" s="1"/>
  <c r="CU122" i="14" s="1"/>
  <c r="CU123" i="14" s="1"/>
  <c r="CU124" i="14" s="1"/>
  <c r="DE6" i="14"/>
  <c r="DE7" i="14" s="1"/>
  <c r="DE8" i="14" s="1"/>
  <c r="DE9" i="14" s="1"/>
  <c r="DE10" i="14" s="1"/>
  <c r="DE11" i="14" s="1"/>
  <c r="DE12" i="14" s="1"/>
  <c r="DE13" i="14" s="1"/>
  <c r="DE14" i="14" s="1"/>
  <c r="DE15" i="14" s="1"/>
  <c r="DE16" i="14" s="1"/>
  <c r="DE17" i="14" s="1"/>
  <c r="DE18" i="14" s="1"/>
  <c r="DE19" i="14" s="1"/>
  <c r="DE20" i="14" s="1"/>
  <c r="DE21" i="14" s="1"/>
  <c r="DE22" i="14" s="1"/>
  <c r="DE23" i="14" s="1"/>
  <c r="DE24" i="14" s="1"/>
  <c r="DE25" i="14" s="1"/>
  <c r="DE26" i="14" s="1"/>
  <c r="DE27" i="14" s="1"/>
  <c r="DE28" i="14" s="1"/>
  <c r="DE29" i="14" s="1"/>
  <c r="DE30" i="14" s="1"/>
  <c r="DE31" i="14" s="1"/>
  <c r="DE32" i="14" s="1"/>
  <c r="DE33" i="14" s="1"/>
  <c r="DE34" i="14" s="1"/>
  <c r="DE35" i="14" s="1"/>
  <c r="DE36" i="14" s="1"/>
  <c r="DE37" i="14" s="1"/>
  <c r="DE38" i="14" s="1"/>
  <c r="DE39" i="14" s="1"/>
  <c r="DE40" i="14" s="1"/>
  <c r="DE41" i="14" s="1"/>
  <c r="DE42" i="14" s="1"/>
  <c r="DE43" i="14" s="1"/>
  <c r="DE44" i="14" s="1"/>
  <c r="DE45" i="14" s="1"/>
  <c r="DE46" i="14" s="1"/>
  <c r="DE47" i="14" s="1"/>
  <c r="DE48" i="14" s="1"/>
  <c r="DE49" i="14" s="1"/>
  <c r="DE50" i="14" s="1"/>
  <c r="DE51" i="14" s="1"/>
  <c r="DE52" i="14" s="1"/>
  <c r="DE53" i="14" s="1"/>
  <c r="DE54" i="14" s="1"/>
  <c r="DE55" i="14" s="1"/>
  <c r="DE56" i="14" s="1"/>
  <c r="DE57" i="14" s="1"/>
  <c r="DE58" i="14" s="1"/>
  <c r="DE59" i="14" s="1"/>
  <c r="DE60" i="14" s="1"/>
  <c r="DE61" i="14" s="1"/>
  <c r="DE62" i="14" s="1"/>
  <c r="DE63" i="14" s="1"/>
  <c r="DE64" i="14" s="1"/>
  <c r="DE65" i="14" s="1"/>
  <c r="DE66" i="14" s="1"/>
  <c r="DE67" i="14" s="1"/>
  <c r="DE68" i="14" s="1"/>
  <c r="DE69" i="14" s="1"/>
  <c r="DE70" i="14" s="1"/>
  <c r="DE71" i="14" s="1"/>
  <c r="DE72" i="14" s="1"/>
  <c r="DE73" i="14" s="1"/>
  <c r="DE74" i="14" s="1"/>
  <c r="DE75" i="14" s="1"/>
  <c r="DE76" i="14" s="1"/>
  <c r="DE77" i="14" s="1"/>
  <c r="DE78" i="14" s="1"/>
  <c r="DE79" i="14" s="1"/>
  <c r="DE80" i="14" s="1"/>
  <c r="DE81" i="14" s="1"/>
  <c r="DE82" i="14" s="1"/>
  <c r="DE83" i="14" s="1"/>
  <c r="DE84" i="14" s="1"/>
  <c r="DE85" i="14" s="1"/>
  <c r="DE86" i="14" s="1"/>
  <c r="DE87" i="14" s="1"/>
  <c r="DE88" i="14" s="1"/>
  <c r="DE89" i="14" s="1"/>
  <c r="DE90" i="14" s="1"/>
  <c r="DE91" i="14" s="1"/>
  <c r="DE92" i="14" s="1"/>
  <c r="DE93" i="14" s="1"/>
  <c r="DE94" i="14" s="1"/>
  <c r="DE95" i="14" s="1"/>
  <c r="DE96" i="14" s="1"/>
  <c r="DE97" i="14" s="1"/>
  <c r="DE98" i="14" s="1"/>
  <c r="DE99" i="14" s="1"/>
  <c r="DE100" i="14" s="1"/>
  <c r="DE101" i="14" s="1"/>
  <c r="DE102" i="14" s="1"/>
  <c r="DE103" i="14" s="1"/>
  <c r="DE104" i="14" s="1"/>
  <c r="DE105" i="14" s="1"/>
  <c r="DE106" i="14" s="1"/>
  <c r="DE107" i="14" s="1"/>
  <c r="DE108" i="14" s="1"/>
  <c r="DE109" i="14" s="1"/>
  <c r="DE110" i="14" s="1"/>
  <c r="DE111" i="14" s="1"/>
  <c r="DE112" i="14" s="1"/>
  <c r="DE113" i="14" s="1"/>
  <c r="DE114" i="14" s="1"/>
  <c r="DE115" i="14" s="1"/>
  <c r="DE116" i="14" s="1"/>
  <c r="DE117" i="14" s="1"/>
  <c r="DE118" i="14" s="1"/>
  <c r="DE119" i="14" s="1"/>
  <c r="DE120" i="14" s="1"/>
  <c r="DE121" i="14" s="1"/>
  <c r="DE122" i="14" s="1"/>
  <c r="DE123" i="14" s="1"/>
  <c r="DE124" i="14" s="1"/>
  <c r="I103" i="10"/>
  <c r="G110" i="14"/>
  <c r="G76" i="14"/>
  <c r="Z6" i="14"/>
  <c r="Z7" i="14" s="1"/>
  <c r="Z8" i="14" s="1"/>
  <c r="Z9" i="14" s="1"/>
  <c r="Z10" i="14" s="1"/>
  <c r="Z11" i="14" s="1"/>
  <c r="Z12" i="14" s="1"/>
  <c r="Z13" i="14" s="1"/>
  <c r="Z14" i="14" s="1"/>
  <c r="Z15" i="14" s="1"/>
  <c r="Z16" i="14" s="1"/>
  <c r="Z17" i="14" s="1"/>
  <c r="Z18" i="14" s="1"/>
  <c r="Z19" i="14" s="1"/>
  <c r="Z20" i="14" s="1"/>
  <c r="Z21" i="14" s="1"/>
  <c r="Z22" i="14" s="1"/>
  <c r="Z23" i="14" s="1"/>
  <c r="Z24" i="14" s="1"/>
  <c r="Z25" i="14" s="1"/>
  <c r="Z26" i="14" s="1"/>
  <c r="Z27" i="14" s="1"/>
  <c r="Z28" i="14" s="1"/>
  <c r="Z29" i="14" s="1"/>
  <c r="Z30" i="14" s="1"/>
  <c r="Z31" i="14" s="1"/>
  <c r="Z32" i="14" s="1"/>
  <c r="Z33" i="14" s="1"/>
  <c r="Z34" i="14" s="1"/>
  <c r="Z35" i="14" s="1"/>
  <c r="Z36" i="14" s="1"/>
  <c r="Z37" i="14" s="1"/>
  <c r="Z38" i="14" s="1"/>
  <c r="Z39" i="14" s="1"/>
  <c r="Z40" i="14" s="1"/>
  <c r="Z41" i="14" s="1"/>
  <c r="Z42" i="14" s="1"/>
  <c r="Z43" i="14" s="1"/>
  <c r="Z44" i="14" s="1"/>
  <c r="Z45" i="14" s="1"/>
  <c r="Z46" i="14" s="1"/>
  <c r="Z47" i="14" s="1"/>
  <c r="Z48" i="14" s="1"/>
  <c r="Z49" i="14" s="1"/>
  <c r="Z50" i="14" s="1"/>
  <c r="Z51" i="14" s="1"/>
  <c r="Z52" i="14" s="1"/>
  <c r="Z53" i="14" s="1"/>
  <c r="Z54" i="14" s="1"/>
  <c r="Z55" i="14" s="1"/>
  <c r="Z56" i="14" s="1"/>
  <c r="Z57" i="14" s="1"/>
  <c r="Z58" i="14" s="1"/>
  <c r="Z59" i="14" s="1"/>
  <c r="Z60" i="14" s="1"/>
  <c r="Z61" i="14" s="1"/>
  <c r="Z62" i="14" s="1"/>
  <c r="Z63" i="14" s="1"/>
  <c r="Z64" i="14" s="1"/>
  <c r="Z65" i="14" s="1"/>
  <c r="Z66" i="14" s="1"/>
  <c r="Z67" i="14" s="1"/>
  <c r="Z68" i="14" s="1"/>
  <c r="Z69" i="14" s="1"/>
  <c r="Z70" i="14" s="1"/>
  <c r="Z71" i="14" s="1"/>
  <c r="Z72" i="14" s="1"/>
  <c r="Z73" i="14" s="1"/>
  <c r="Z74" i="14" s="1"/>
  <c r="Z75" i="14" s="1"/>
  <c r="Z76" i="14" s="1"/>
  <c r="Z77" i="14" s="1"/>
  <c r="Z78" i="14" s="1"/>
  <c r="Z79" i="14" s="1"/>
  <c r="Z80" i="14" s="1"/>
  <c r="Z81" i="14" s="1"/>
  <c r="Z82" i="14" s="1"/>
  <c r="Z83" i="14" s="1"/>
  <c r="Z84" i="14" s="1"/>
  <c r="Z85" i="14" s="1"/>
  <c r="Z86" i="14" s="1"/>
  <c r="Z87" i="14" s="1"/>
  <c r="Z88" i="14" s="1"/>
  <c r="Z89" i="14" s="1"/>
  <c r="Z90" i="14" s="1"/>
  <c r="Z91" i="14" s="1"/>
  <c r="Z92" i="14" s="1"/>
  <c r="Z93" i="14" s="1"/>
  <c r="Z94" i="14" s="1"/>
  <c r="Z95" i="14" s="1"/>
  <c r="Z96" i="14" s="1"/>
  <c r="Z97" i="14" s="1"/>
  <c r="Z98" i="14" s="1"/>
  <c r="Z99" i="14" s="1"/>
  <c r="Z100" i="14" s="1"/>
  <c r="Z101" i="14" s="1"/>
  <c r="Z102" i="14" s="1"/>
  <c r="Z103" i="14" s="1"/>
  <c r="Z104" i="14" s="1"/>
  <c r="Z105" i="14" s="1"/>
  <c r="Z106" i="14" s="1"/>
  <c r="Z107" i="14" s="1"/>
  <c r="Z108" i="14" s="1"/>
  <c r="Z109" i="14" s="1"/>
  <c r="Z110" i="14" s="1"/>
  <c r="Z111" i="14" s="1"/>
  <c r="Z112" i="14" s="1"/>
  <c r="Z113" i="14" s="1"/>
  <c r="Z114" i="14" s="1"/>
  <c r="Z115" i="14" s="1"/>
  <c r="Z116" i="14" s="1"/>
  <c r="Z117" i="14" s="1"/>
  <c r="Z118" i="14" s="1"/>
  <c r="Z119" i="14" s="1"/>
  <c r="Z120" i="14" s="1"/>
  <c r="Z121" i="14" s="1"/>
  <c r="Z122" i="14" s="1"/>
  <c r="Z123" i="14" s="1"/>
  <c r="Z124" i="14" s="1"/>
  <c r="BE6" i="14"/>
  <c r="BE7" i="14" s="1"/>
  <c r="BE8" i="14" s="1"/>
  <c r="BE9" i="14" s="1"/>
  <c r="BE10" i="14" s="1"/>
  <c r="BE11" i="14" s="1"/>
  <c r="BE12" i="14" s="1"/>
  <c r="BE13" i="14" s="1"/>
  <c r="BE14" i="14" s="1"/>
  <c r="BE15" i="14" s="1"/>
  <c r="BE16" i="14" s="1"/>
  <c r="BE17" i="14" s="1"/>
  <c r="BE18" i="14" s="1"/>
  <c r="BE19" i="14" s="1"/>
  <c r="BE20" i="14" s="1"/>
  <c r="BE21" i="14" s="1"/>
  <c r="BE22" i="14" s="1"/>
  <c r="BE23" i="14" s="1"/>
  <c r="BE24" i="14" s="1"/>
  <c r="BE25" i="14" s="1"/>
  <c r="BE26" i="14" s="1"/>
  <c r="BE27" i="14" s="1"/>
  <c r="BE28" i="14" s="1"/>
  <c r="BE29" i="14" s="1"/>
  <c r="BE30" i="14" s="1"/>
  <c r="BE31" i="14" s="1"/>
  <c r="BE32" i="14" s="1"/>
  <c r="BE33" i="14" s="1"/>
  <c r="BE34" i="14" s="1"/>
  <c r="BE35" i="14" s="1"/>
  <c r="BE36" i="14" s="1"/>
  <c r="BE37" i="14" s="1"/>
  <c r="BE38" i="14" s="1"/>
  <c r="BE39" i="14" s="1"/>
  <c r="BE40" i="14" s="1"/>
  <c r="BE41" i="14" s="1"/>
  <c r="BE42" i="14" s="1"/>
  <c r="BE43" i="14" s="1"/>
  <c r="BE44" i="14" s="1"/>
  <c r="BE45" i="14" s="1"/>
  <c r="BE46" i="14" s="1"/>
  <c r="BE47" i="14" s="1"/>
  <c r="BE48" i="14" s="1"/>
  <c r="BE49" i="14" s="1"/>
  <c r="BE50" i="14" s="1"/>
  <c r="BE51" i="14" s="1"/>
  <c r="BE52" i="14" s="1"/>
  <c r="BE53" i="14" s="1"/>
  <c r="BE54" i="14" s="1"/>
  <c r="BE55" i="14" s="1"/>
  <c r="BE56" i="14" s="1"/>
  <c r="BE57" i="14" s="1"/>
  <c r="BE58" i="14" s="1"/>
  <c r="BE59" i="14" s="1"/>
  <c r="BE60" i="14" s="1"/>
  <c r="BE61" i="14" s="1"/>
  <c r="BE62" i="14" s="1"/>
  <c r="BE63" i="14" s="1"/>
  <c r="BE64" i="14" s="1"/>
  <c r="BE65" i="14" s="1"/>
  <c r="BE66" i="14" s="1"/>
  <c r="BE67" i="14" s="1"/>
  <c r="BE68" i="14" s="1"/>
  <c r="BE69" i="14" s="1"/>
  <c r="BE70" i="14" s="1"/>
  <c r="BE71" i="14" s="1"/>
  <c r="BE72" i="14" s="1"/>
  <c r="BE73" i="14" s="1"/>
  <c r="BE74" i="14" s="1"/>
  <c r="BE75" i="14" s="1"/>
  <c r="BE76" i="14" s="1"/>
  <c r="BE77" i="14" s="1"/>
  <c r="BE78" i="14" s="1"/>
  <c r="BE79" i="14" s="1"/>
  <c r="BE80" i="14" s="1"/>
  <c r="BE81" i="14" s="1"/>
  <c r="BE82" i="14" s="1"/>
  <c r="BE83" i="14" s="1"/>
  <c r="BE84" i="14" s="1"/>
  <c r="BE85" i="14" s="1"/>
  <c r="BE86" i="14" s="1"/>
  <c r="BE87" i="14" s="1"/>
  <c r="BE88" i="14" s="1"/>
  <c r="BE89" i="14" s="1"/>
  <c r="BE90" i="14" s="1"/>
  <c r="BE91" i="14" s="1"/>
  <c r="BE92" i="14" s="1"/>
  <c r="BE93" i="14" s="1"/>
  <c r="BE94" i="14" s="1"/>
  <c r="BE95" i="14" s="1"/>
  <c r="BE96" i="14" s="1"/>
  <c r="BE97" i="14" s="1"/>
  <c r="BE98" i="14" s="1"/>
  <c r="BE99" i="14" s="1"/>
  <c r="BE100" i="14" s="1"/>
  <c r="BE101" i="14" s="1"/>
  <c r="BE102" i="14" s="1"/>
  <c r="BE103" i="14" s="1"/>
  <c r="BE104" i="14" s="1"/>
  <c r="BE105" i="14" s="1"/>
  <c r="BE106" i="14" s="1"/>
  <c r="BE107" i="14" s="1"/>
  <c r="BE108" i="14" s="1"/>
  <c r="BE109" i="14" s="1"/>
  <c r="BE110" i="14" s="1"/>
  <c r="BE111" i="14" s="1"/>
  <c r="BE112" i="14" s="1"/>
  <c r="BE113" i="14" s="1"/>
  <c r="BE114" i="14" s="1"/>
  <c r="BE115" i="14" s="1"/>
  <c r="BE116" i="14" s="1"/>
  <c r="BE117" i="14" s="1"/>
  <c r="BE118" i="14" s="1"/>
  <c r="BE119" i="14" s="1"/>
  <c r="BE120" i="14" s="1"/>
  <c r="BE121" i="14" s="1"/>
  <c r="BE122" i="14" s="1"/>
  <c r="BE123" i="14" s="1"/>
  <c r="BE124" i="14" s="1"/>
  <c r="DC6" i="14"/>
  <c r="DC7" i="14" s="1"/>
  <c r="DC8" i="14" s="1"/>
  <c r="DC9" i="14" s="1"/>
  <c r="DC10" i="14" s="1"/>
  <c r="DC11" i="14" s="1"/>
  <c r="DC12" i="14" s="1"/>
  <c r="DC13" i="14" s="1"/>
  <c r="DC14" i="14" s="1"/>
  <c r="DC15" i="14" s="1"/>
  <c r="DC16" i="14" s="1"/>
  <c r="DC17" i="14" s="1"/>
  <c r="DC18" i="14" s="1"/>
  <c r="DC19" i="14" s="1"/>
  <c r="DC20" i="14" s="1"/>
  <c r="DC21" i="14" s="1"/>
  <c r="DC22" i="14" s="1"/>
  <c r="DC23" i="14" s="1"/>
  <c r="DC24" i="14" s="1"/>
  <c r="DC25" i="14" s="1"/>
  <c r="DC26" i="14" s="1"/>
  <c r="DC27" i="14" s="1"/>
  <c r="DC28" i="14" s="1"/>
  <c r="DC29" i="14" s="1"/>
  <c r="DC30" i="14" s="1"/>
  <c r="DC31" i="14" s="1"/>
  <c r="DC32" i="14" s="1"/>
  <c r="DC33" i="14" s="1"/>
  <c r="DC34" i="14" s="1"/>
  <c r="DC35" i="14" s="1"/>
  <c r="DC36" i="14" s="1"/>
  <c r="DC37" i="14" s="1"/>
  <c r="DC38" i="14" s="1"/>
  <c r="DC39" i="14" s="1"/>
  <c r="DC40" i="14" s="1"/>
  <c r="DC41" i="14" s="1"/>
  <c r="DC42" i="14" s="1"/>
  <c r="DC43" i="14" s="1"/>
  <c r="DC44" i="14" s="1"/>
  <c r="DC45" i="14" s="1"/>
  <c r="DC46" i="14" s="1"/>
  <c r="DC47" i="14" s="1"/>
  <c r="DC48" i="14" s="1"/>
  <c r="DC49" i="14" s="1"/>
  <c r="DC50" i="14" s="1"/>
  <c r="DC51" i="14" s="1"/>
  <c r="DC52" i="14" s="1"/>
  <c r="DC53" i="14" s="1"/>
  <c r="DC54" i="14" s="1"/>
  <c r="DC55" i="14" s="1"/>
  <c r="DC56" i="14" s="1"/>
  <c r="DC57" i="14" s="1"/>
  <c r="DC58" i="14" s="1"/>
  <c r="DC59" i="14" s="1"/>
  <c r="DC60" i="14" s="1"/>
  <c r="DC61" i="14" s="1"/>
  <c r="DC62" i="14" s="1"/>
  <c r="DC63" i="14" s="1"/>
  <c r="DC64" i="14" s="1"/>
  <c r="DC65" i="14" s="1"/>
  <c r="DC66" i="14" s="1"/>
  <c r="DC67" i="14" s="1"/>
  <c r="DC68" i="14" s="1"/>
  <c r="DC69" i="14" s="1"/>
  <c r="DC70" i="14" s="1"/>
  <c r="DC71" i="14" s="1"/>
  <c r="DC72" i="14" s="1"/>
  <c r="DC73" i="14" s="1"/>
  <c r="DC74" i="14" s="1"/>
  <c r="DC75" i="14" s="1"/>
  <c r="DC76" i="14" s="1"/>
  <c r="DC77" i="14" s="1"/>
  <c r="DC78" i="14" s="1"/>
  <c r="DC79" i="14" s="1"/>
  <c r="DC80" i="14" s="1"/>
  <c r="DC81" i="14" s="1"/>
  <c r="DC82" i="14" s="1"/>
  <c r="DC83" i="14" s="1"/>
  <c r="DC84" i="14" s="1"/>
  <c r="DC85" i="14" s="1"/>
  <c r="DC86" i="14" s="1"/>
  <c r="DC87" i="14" s="1"/>
  <c r="DC88" i="14" s="1"/>
  <c r="DC89" i="14" s="1"/>
  <c r="DC90" i="14" s="1"/>
  <c r="DC91" i="14" s="1"/>
  <c r="DC92" i="14" s="1"/>
  <c r="DC93" i="14" s="1"/>
  <c r="DC94" i="14" s="1"/>
  <c r="DC95" i="14" s="1"/>
  <c r="DC96" i="14" s="1"/>
  <c r="DC97" i="14" s="1"/>
  <c r="DC98" i="14" s="1"/>
  <c r="DC99" i="14" s="1"/>
  <c r="DC100" i="14" s="1"/>
  <c r="DC101" i="14" s="1"/>
  <c r="DC102" i="14" s="1"/>
  <c r="DC103" i="14" s="1"/>
  <c r="DC104" i="14" s="1"/>
  <c r="DC105" i="14" s="1"/>
  <c r="DC106" i="14" s="1"/>
  <c r="DC107" i="14" s="1"/>
  <c r="DC108" i="14" s="1"/>
  <c r="DC109" i="14" s="1"/>
  <c r="DC110" i="14" s="1"/>
  <c r="DC111" i="14" s="1"/>
  <c r="DC112" i="14" s="1"/>
  <c r="DC113" i="14" s="1"/>
  <c r="DC114" i="14" s="1"/>
  <c r="DC115" i="14" s="1"/>
  <c r="DC116" i="14" s="1"/>
  <c r="DC117" i="14" s="1"/>
  <c r="DC118" i="14" s="1"/>
  <c r="DC119" i="14" s="1"/>
  <c r="DC120" i="14" s="1"/>
  <c r="DC121" i="14" s="1"/>
  <c r="DC122" i="14" s="1"/>
  <c r="DC123" i="14" s="1"/>
  <c r="DC124" i="14" s="1"/>
  <c r="AV6" i="14"/>
  <c r="AV7" i="14" s="1"/>
  <c r="AV8" i="14" s="1"/>
  <c r="AV9" i="14" s="1"/>
  <c r="AV10" i="14" s="1"/>
  <c r="AV11" i="14" s="1"/>
  <c r="AV12" i="14" s="1"/>
  <c r="AV13" i="14" s="1"/>
  <c r="AV14" i="14" s="1"/>
  <c r="AV15" i="14" s="1"/>
  <c r="AV16" i="14" s="1"/>
  <c r="AV17" i="14" s="1"/>
  <c r="AV18" i="14" s="1"/>
  <c r="AV19" i="14" s="1"/>
  <c r="AV20" i="14" s="1"/>
  <c r="AV21" i="14" s="1"/>
  <c r="AV22" i="14" s="1"/>
  <c r="AV23" i="14" s="1"/>
  <c r="AV24" i="14" s="1"/>
  <c r="AV25" i="14" s="1"/>
  <c r="AV26" i="14" s="1"/>
  <c r="AV27" i="14" s="1"/>
  <c r="AV28" i="14" s="1"/>
  <c r="AV29" i="14" s="1"/>
  <c r="AV30" i="14" s="1"/>
  <c r="AV31" i="14" s="1"/>
  <c r="AV32" i="14" s="1"/>
  <c r="AV33" i="14" s="1"/>
  <c r="AV34" i="14" s="1"/>
  <c r="AV35" i="14" s="1"/>
  <c r="AV36" i="14" s="1"/>
  <c r="AV37" i="14" s="1"/>
  <c r="AV38" i="14" s="1"/>
  <c r="AV39" i="14" s="1"/>
  <c r="AV40" i="14" s="1"/>
  <c r="AV41" i="14" s="1"/>
  <c r="AV42" i="14" s="1"/>
  <c r="AV43" i="14" s="1"/>
  <c r="AV44" i="14" s="1"/>
  <c r="AV45" i="14" s="1"/>
  <c r="AV46" i="14" s="1"/>
  <c r="AV47" i="14" s="1"/>
  <c r="AV48" i="14" s="1"/>
  <c r="AV49" i="14" s="1"/>
  <c r="AV50" i="14" s="1"/>
  <c r="AV51" i="14" s="1"/>
  <c r="AV52" i="14" s="1"/>
  <c r="AV53" i="14" s="1"/>
  <c r="AV54" i="14" s="1"/>
  <c r="AV55" i="14" s="1"/>
  <c r="AV56" i="14" s="1"/>
  <c r="AV57" i="14" s="1"/>
  <c r="AV58" i="14" s="1"/>
  <c r="AV59" i="14" s="1"/>
  <c r="AV60" i="14" s="1"/>
  <c r="AV61" i="14" s="1"/>
  <c r="AV62" i="14" s="1"/>
  <c r="AV63" i="14" s="1"/>
  <c r="AV64" i="14" s="1"/>
  <c r="AV65" i="14" s="1"/>
  <c r="AV66" i="14" s="1"/>
  <c r="AV67" i="14" s="1"/>
  <c r="AV68" i="14" s="1"/>
  <c r="AV69" i="14" s="1"/>
  <c r="AV70" i="14" s="1"/>
  <c r="AV71" i="14" s="1"/>
  <c r="AV72" i="14" s="1"/>
  <c r="AV73" i="14" s="1"/>
  <c r="AV74" i="14" s="1"/>
  <c r="AV75" i="14" s="1"/>
  <c r="AV76" i="14" s="1"/>
  <c r="AV77" i="14" s="1"/>
  <c r="AV78" i="14" s="1"/>
  <c r="AV79" i="14" s="1"/>
  <c r="AV80" i="14" s="1"/>
  <c r="AV81" i="14" s="1"/>
  <c r="AV82" i="14" s="1"/>
  <c r="AV83" i="14" s="1"/>
  <c r="AV84" i="14" s="1"/>
  <c r="AV85" i="14" s="1"/>
  <c r="AV86" i="14" s="1"/>
  <c r="AV87" i="14" s="1"/>
  <c r="AV88" i="14" s="1"/>
  <c r="AV89" i="14" s="1"/>
  <c r="AV90" i="14" s="1"/>
  <c r="AV91" i="14" s="1"/>
  <c r="AV92" i="14" s="1"/>
  <c r="AV93" i="14" s="1"/>
  <c r="AV94" i="14" s="1"/>
  <c r="AV95" i="14" s="1"/>
  <c r="AV96" i="14" s="1"/>
  <c r="AV97" i="14" s="1"/>
  <c r="AV98" i="14" s="1"/>
  <c r="AV99" i="14" s="1"/>
  <c r="AV100" i="14" s="1"/>
  <c r="AV101" i="14" s="1"/>
  <c r="AV102" i="14" s="1"/>
  <c r="AV103" i="14" s="1"/>
  <c r="AV104" i="14" s="1"/>
  <c r="AV105" i="14" s="1"/>
  <c r="AV106" i="14" s="1"/>
  <c r="AV107" i="14" s="1"/>
  <c r="AV108" i="14" s="1"/>
  <c r="AV109" i="14" s="1"/>
  <c r="AV110" i="14" s="1"/>
  <c r="AV111" i="14" s="1"/>
  <c r="AV112" i="14" s="1"/>
  <c r="AV113" i="14" s="1"/>
  <c r="AV114" i="14" s="1"/>
  <c r="AV115" i="14" s="1"/>
  <c r="AV116" i="14" s="1"/>
  <c r="AV117" i="14" s="1"/>
  <c r="AV118" i="14" s="1"/>
  <c r="AV119" i="14" s="1"/>
  <c r="AV120" i="14" s="1"/>
  <c r="AV121" i="14" s="1"/>
  <c r="AV122" i="14" s="1"/>
  <c r="AV123" i="14" s="1"/>
  <c r="AV124" i="14" s="1"/>
  <c r="CT6" i="14"/>
  <c r="CT7" i="14" s="1"/>
  <c r="CT8" i="14" s="1"/>
  <c r="CT9" i="14" s="1"/>
  <c r="CT10" i="14" s="1"/>
  <c r="CT11" i="14" s="1"/>
  <c r="CT12" i="14" s="1"/>
  <c r="CT13" i="14" s="1"/>
  <c r="CT14" i="14" s="1"/>
  <c r="CT15" i="14" s="1"/>
  <c r="CT16" i="14" s="1"/>
  <c r="CT17" i="14" s="1"/>
  <c r="CT18" i="14" s="1"/>
  <c r="CT19" i="14" s="1"/>
  <c r="CT20" i="14" s="1"/>
  <c r="CT21" i="14" s="1"/>
  <c r="CT22" i="14" s="1"/>
  <c r="CT23" i="14" s="1"/>
  <c r="CT24" i="14" s="1"/>
  <c r="CT25" i="14" s="1"/>
  <c r="CT26" i="14" s="1"/>
  <c r="CT27" i="14" s="1"/>
  <c r="CT28" i="14" s="1"/>
  <c r="CT29" i="14" s="1"/>
  <c r="CT30" i="14" s="1"/>
  <c r="CT31" i="14" s="1"/>
  <c r="CT32" i="14" s="1"/>
  <c r="CT33" i="14" s="1"/>
  <c r="CT34" i="14" s="1"/>
  <c r="CT35" i="14" s="1"/>
  <c r="CT36" i="14" s="1"/>
  <c r="CT37" i="14" s="1"/>
  <c r="CT38" i="14" s="1"/>
  <c r="CT39" i="14" s="1"/>
  <c r="CT40" i="14" s="1"/>
  <c r="CT41" i="14" s="1"/>
  <c r="CT42" i="14" s="1"/>
  <c r="CT43" i="14" s="1"/>
  <c r="CT44" i="14" s="1"/>
  <c r="CT45" i="14" s="1"/>
  <c r="CT46" i="14" s="1"/>
  <c r="CT47" i="14" s="1"/>
  <c r="CT48" i="14" s="1"/>
  <c r="CT49" i="14" s="1"/>
  <c r="CT50" i="14" s="1"/>
  <c r="CT51" i="14" s="1"/>
  <c r="CT52" i="14" s="1"/>
  <c r="CT53" i="14" s="1"/>
  <c r="CT54" i="14" s="1"/>
  <c r="CT55" i="14" s="1"/>
  <c r="CT56" i="14" s="1"/>
  <c r="CT57" i="14" s="1"/>
  <c r="CT58" i="14" s="1"/>
  <c r="CT59" i="14" s="1"/>
  <c r="CT60" i="14" s="1"/>
  <c r="CT61" i="14" s="1"/>
  <c r="CT62" i="14" s="1"/>
  <c r="CT63" i="14" s="1"/>
  <c r="CT64" i="14" s="1"/>
  <c r="CT65" i="14" s="1"/>
  <c r="CT66" i="14" s="1"/>
  <c r="CT67" i="14" s="1"/>
  <c r="CT68" i="14" s="1"/>
  <c r="CT69" i="14" s="1"/>
  <c r="CT70" i="14" s="1"/>
  <c r="CT71" i="14" s="1"/>
  <c r="CT72" i="14" s="1"/>
  <c r="CT73" i="14" s="1"/>
  <c r="CT74" i="14" s="1"/>
  <c r="CT75" i="14" s="1"/>
  <c r="CT76" i="14" s="1"/>
  <c r="CT77" i="14" s="1"/>
  <c r="CT78" i="14" s="1"/>
  <c r="CT79" i="14" s="1"/>
  <c r="CT80" i="14" s="1"/>
  <c r="CT81" i="14" s="1"/>
  <c r="CT82" i="14" s="1"/>
  <c r="CT83" i="14" s="1"/>
  <c r="CT84" i="14" s="1"/>
  <c r="CT85" i="14" s="1"/>
  <c r="CT86" i="14" s="1"/>
  <c r="CT87" i="14" s="1"/>
  <c r="CT88" i="14" s="1"/>
  <c r="CT89" i="14" s="1"/>
  <c r="CT90" i="14" s="1"/>
  <c r="CT91" i="14" s="1"/>
  <c r="CT92" i="14" s="1"/>
  <c r="CT93" i="14" s="1"/>
  <c r="CT94" i="14" s="1"/>
  <c r="CT95" i="14" s="1"/>
  <c r="CT96" i="14" s="1"/>
  <c r="CT97" i="14" s="1"/>
  <c r="CT98" i="14" s="1"/>
  <c r="CT99" i="14" s="1"/>
  <c r="CT100" i="14" s="1"/>
  <c r="CT101" i="14" s="1"/>
  <c r="CT102" i="14" s="1"/>
  <c r="CT103" i="14" s="1"/>
  <c r="CT104" i="14" s="1"/>
  <c r="CT105" i="14" s="1"/>
  <c r="CT106" i="14" s="1"/>
  <c r="CT107" i="14" s="1"/>
  <c r="CT108" i="14" s="1"/>
  <c r="CT109" i="14" s="1"/>
  <c r="CT110" i="14" s="1"/>
  <c r="CT111" i="14" s="1"/>
  <c r="CT112" i="14" s="1"/>
  <c r="CT113" i="14" s="1"/>
  <c r="CT114" i="14" s="1"/>
  <c r="CT115" i="14" s="1"/>
  <c r="CT116" i="14" s="1"/>
  <c r="CT117" i="14" s="1"/>
  <c r="CT118" i="14" s="1"/>
  <c r="CT119" i="14" s="1"/>
  <c r="CT120" i="14" s="1"/>
  <c r="CT121" i="14" s="1"/>
  <c r="CT122" i="14" s="1"/>
  <c r="CT123" i="14" s="1"/>
  <c r="CT124" i="14" s="1"/>
  <c r="T6" i="14"/>
  <c r="T7" i="14" s="1"/>
  <c r="T8" i="14" s="1"/>
  <c r="T9" i="14" s="1"/>
  <c r="T10" i="14" s="1"/>
  <c r="T11" i="14" s="1"/>
  <c r="T12" i="14" s="1"/>
  <c r="T13" i="14" s="1"/>
  <c r="T14" i="14" s="1"/>
  <c r="T15" i="14" s="1"/>
  <c r="T16" i="14" s="1"/>
  <c r="T17" i="14" s="1"/>
  <c r="T18" i="14" s="1"/>
  <c r="T19" i="14" s="1"/>
  <c r="T20" i="14" s="1"/>
  <c r="T21" i="14" s="1"/>
  <c r="T22" i="14" s="1"/>
  <c r="T23" i="14" s="1"/>
  <c r="T24" i="14" s="1"/>
  <c r="T25" i="14" s="1"/>
  <c r="T26" i="14" s="1"/>
  <c r="T27" i="14" s="1"/>
  <c r="T28" i="14" s="1"/>
  <c r="T29" i="14" s="1"/>
  <c r="T30" i="14" s="1"/>
  <c r="T31" i="14" s="1"/>
  <c r="T32" i="14" s="1"/>
  <c r="T33" i="14" s="1"/>
  <c r="T34" i="14" s="1"/>
  <c r="T35" i="14" s="1"/>
  <c r="T36" i="14" s="1"/>
  <c r="T37" i="14" s="1"/>
  <c r="T38" i="14" s="1"/>
  <c r="T39" i="14" s="1"/>
  <c r="T40" i="14" s="1"/>
  <c r="T41" i="14" s="1"/>
  <c r="T42" i="14" s="1"/>
  <c r="T43" i="14" s="1"/>
  <c r="T44" i="14" s="1"/>
  <c r="T45" i="14" s="1"/>
  <c r="T46" i="14" s="1"/>
  <c r="T47" i="14" s="1"/>
  <c r="T48" i="14" s="1"/>
  <c r="T49" i="14" s="1"/>
  <c r="T50" i="14" s="1"/>
  <c r="T51" i="14" s="1"/>
  <c r="T52" i="14" s="1"/>
  <c r="T53" i="14" s="1"/>
  <c r="T54" i="14" s="1"/>
  <c r="T55" i="14" s="1"/>
  <c r="T56" i="14" s="1"/>
  <c r="T57" i="14" s="1"/>
  <c r="T58" i="14" s="1"/>
  <c r="T59" i="14" s="1"/>
  <c r="T60" i="14" s="1"/>
  <c r="T61" i="14" s="1"/>
  <c r="T62" i="14" s="1"/>
  <c r="T63" i="14" s="1"/>
  <c r="T64" i="14" s="1"/>
  <c r="T65" i="14" s="1"/>
  <c r="T66" i="14" s="1"/>
  <c r="T67" i="14" s="1"/>
  <c r="T68" i="14" s="1"/>
  <c r="T69" i="14" s="1"/>
  <c r="T70" i="14" s="1"/>
  <c r="T71" i="14" s="1"/>
  <c r="T72" i="14" s="1"/>
  <c r="T73" i="14" s="1"/>
  <c r="T74" i="14" s="1"/>
  <c r="T75" i="14" s="1"/>
  <c r="T76" i="14" s="1"/>
  <c r="T77" i="14" s="1"/>
  <c r="T78" i="14" s="1"/>
  <c r="T79" i="14" s="1"/>
  <c r="T80" i="14" s="1"/>
  <c r="T81" i="14" s="1"/>
  <c r="T82" i="14" s="1"/>
  <c r="T83" i="14" s="1"/>
  <c r="T84" i="14" s="1"/>
  <c r="T85" i="14" s="1"/>
  <c r="T86" i="14" s="1"/>
  <c r="T87" i="14" s="1"/>
  <c r="T88" i="14" s="1"/>
  <c r="T89" i="14" s="1"/>
  <c r="T90" i="14" s="1"/>
  <c r="T91" i="14" s="1"/>
  <c r="T92" i="14" s="1"/>
  <c r="T93" i="14" s="1"/>
  <c r="T94" i="14" s="1"/>
  <c r="T95" i="14" s="1"/>
  <c r="T96" i="14" s="1"/>
  <c r="T97" i="14" s="1"/>
  <c r="T98" i="14" s="1"/>
  <c r="T99" i="14" s="1"/>
  <c r="T100" i="14" s="1"/>
  <c r="T101" i="14" s="1"/>
  <c r="T102" i="14" s="1"/>
  <c r="T103" i="14" s="1"/>
  <c r="T104" i="14" s="1"/>
  <c r="T105" i="14" s="1"/>
  <c r="T106" i="14" s="1"/>
  <c r="T107" i="14" s="1"/>
  <c r="T108" i="14" s="1"/>
  <c r="T109" i="14" s="1"/>
  <c r="T110" i="14" s="1"/>
  <c r="T111" i="14" s="1"/>
  <c r="T112" i="14" s="1"/>
  <c r="T113" i="14" s="1"/>
  <c r="T114" i="14" s="1"/>
  <c r="T115" i="14" s="1"/>
  <c r="T116" i="14" s="1"/>
  <c r="T117" i="14" s="1"/>
  <c r="T118" i="14" s="1"/>
  <c r="T119" i="14" s="1"/>
  <c r="T120" i="14" s="1"/>
  <c r="T121" i="14" s="1"/>
  <c r="T122" i="14" s="1"/>
  <c r="T123" i="14" s="1"/>
  <c r="T124" i="14" s="1"/>
  <c r="AD6" i="14"/>
  <c r="AD7" i="14" s="1"/>
  <c r="AD8" i="14" s="1"/>
  <c r="AD9" i="14" s="1"/>
  <c r="AD10" i="14" s="1"/>
  <c r="AD11" i="14" s="1"/>
  <c r="AD12" i="14" s="1"/>
  <c r="AD13" i="14" s="1"/>
  <c r="AD14" i="14" s="1"/>
  <c r="AD15" i="14" s="1"/>
  <c r="AD16" i="14" s="1"/>
  <c r="AD17" i="14" s="1"/>
  <c r="AD18" i="14" s="1"/>
  <c r="AD19" i="14" s="1"/>
  <c r="AD20" i="14" s="1"/>
  <c r="AD21" i="14" s="1"/>
  <c r="AD22" i="14" s="1"/>
  <c r="AD23" i="14" s="1"/>
  <c r="AD24" i="14" s="1"/>
  <c r="AD25" i="14" s="1"/>
  <c r="AD26" i="14" s="1"/>
  <c r="AD27" i="14" s="1"/>
  <c r="AD28" i="14" s="1"/>
  <c r="AD29" i="14" s="1"/>
  <c r="AD30" i="14" s="1"/>
  <c r="AD31" i="14" s="1"/>
  <c r="AD32" i="14" s="1"/>
  <c r="AD33" i="14" s="1"/>
  <c r="AD34" i="14" s="1"/>
  <c r="AD35" i="14" s="1"/>
  <c r="AD36" i="14" s="1"/>
  <c r="AD37" i="14" s="1"/>
  <c r="AD38" i="14" s="1"/>
  <c r="AD39" i="14" s="1"/>
  <c r="AD40" i="14" s="1"/>
  <c r="AD41" i="14" s="1"/>
  <c r="AD42" i="14" s="1"/>
  <c r="AD43" i="14" s="1"/>
  <c r="AD44" i="14" s="1"/>
  <c r="AD45" i="14" s="1"/>
  <c r="AD46" i="14" s="1"/>
  <c r="AD47" i="14" s="1"/>
  <c r="AD48" i="14" s="1"/>
  <c r="AD49" i="14" s="1"/>
  <c r="AD50" i="14" s="1"/>
  <c r="AD51" i="14" s="1"/>
  <c r="AD52" i="14" s="1"/>
  <c r="AD53" i="14" s="1"/>
  <c r="AD54" i="14" s="1"/>
  <c r="AD55" i="14" s="1"/>
  <c r="AD56" i="14" s="1"/>
  <c r="AD57" i="14" s="1"/>
  <c r="AD58" i="14" s="1"/>
  <c r="AD59" i="14" s="1"/>
  <c r="AD60" i="14" s="1"/>
  <c r="AD61" i="14" s="1"/>
  <c r="AD62" i="14" s="1"/>
  <c r="AD63" i="14" s="1"/>
  <c r="AD64" i="14" s="1"/>
  <c r="AD65" i="14" s="1"/>
  <c r="AD66" i="14" s="1"/>
  <c r="AD67" i="14" s="1"/>
  <c r="AD68" i="14" s="1"/>
  <c r="AD69" i="14" s="1"/>
  <c r="AD70" i="14" s="1"/>
  <c r="AD71" i="14" s="1"/>
  <c r="AD72" i="14" s="1"/>
  <c r="AD73" i="14" s="1"/>
  <c r="AD74" i="14" s="1"/>
  <c r="AD75" i="14" s="1"/>
  <c r="AD76" i="14" s="1"/>
  <c r="AD77" i="14" s="1"/>
  <c r="AD78" i="14" s="1"/>
  <c r="AD79" i="14" s="1"/>
  <c r="AD80" i="14" s="1"/>
  <c r="AD81" i="14" s="1"/>
  <c r="AD82" i="14" s="1"/>
  <c r="AD83" i="14" s="1"/>
  <c r="AD84" i="14" s="1"/>
  <c r="AD85" i="14" s="1"/>
  <c r="AD86" i="14" s="1"/>
  <c r="AD87" i="14" s="1"/>
  <c r="AD88" i="14" s="1"/>
  <c r="AD89" i="14" s="1"/>
  <c r="AD90" i="14" s="1"/>
  <c r="AD91" i="14" s="1"/>
  <c r="AD92" i="14" s="1"/>
  <c r="AD93" i="14" s="1"/>
  <c r="AD94" i="14" s="1"/>
  <c r="AD95" i="14" s="1"/>
  <c r="AD96" i="14" s="1"/>
  <c r="AD97" i="14" s="1"/>
  <c r="AD98" i="14" s="1"/>
  <c r="AD99" i="14" s="1"/>
  <c r="AD100" i="14" s="1"/>
  <c r="AD101" i="14" s="1"/>
  <c r="AD102" i="14" s="1"/>
  <c r="AD103" i="14" s="1"/>
  <c r="AD104" i="14" s="1"/>
  <c r="AD105" i="14" s="1"/>
  <c r="AD106" i="14" s="1"/>
  <c r="AD107" i="14" s="1"/>
  <c r="AD108" i="14" s="1"/>
  <c r="AD109" i="14" s="1"/>
  <c r="AD110" i="14" s="1"/>
  <c r="AD111" i="14" s="1"/>
  <c r="AD112" i="14" s="1"/>
  <c r="AD113" i="14" s="1"/>
  <c r="AD114" i="14" s="1"/>
  <c r="AD115" i="14" s="1"/>
  <c r="AD116" i="14" s="1"/>
  <c r="AD117" i="14" s="1"/>
  <c r="AD118" i="14" s="1"/>
  <c r="AD119" i="14" s="1"/>
  <c r="AD120" i="14" s="1"/>
  <c r="AD121" i="14" s="1"/>
  <c r="AD122" i="14" s="1"/>
  <c r="AD123" i="14" s="1"/>
  <c r="AD124" i="14" s="1"/>
  <c r="AN6" i="14"/>
  <c r="AN7" i="14" s="1"/>
  <c r="AN8" i="14" s="1"/>
  <c r="AN9" i="14" s="1"/>
  <c r="AN10" i="14" s="1"/>
  <c r="AN11" i="14" s="1"/>
  <c r="AN12" i="14" s="1"/>
  <c r="AN13" i="14" s="1"/>
  <c r="AN14" i="14" s="1"/>
  <c r="AN15" i="14" s="1"/>
  <c r="AN16" i="14" s="1"/>
  <c r="AN17" i="14" s="1"/>
  <c r="AN18" i="14" s="1"/>
  <c r="AN19" i="14" s="1"/>
  <c r="AN20" i="14" s="1"/>
  <c r="AN21" i="14" s="1"/>
  <c r="AN22" i="14" s="1"/>
  <c r="AN23" i="14" s="1"/>
  <c r="AN24" i="14" s="1"/>
  <c r="AN25" i="14" s="1"/>
  <c r="AN26" i="14" s="1"/>
  <c r="AN27" i="14" s="1"/>
  <c r="AN28" i="14" s="1"/>
  <c r="AN29" i="14" s="1"/>
  <c r="AN30" i="14" s="1"/>
  <c r="AN31" i="14" s="1"/>
  <c r="AN32" i="14" s="1"/>
  <c r="AN33" i="14" s="1"/>
  <c r="AN34" i="14" s="1"/>
  <c r="AN35" i="14" s="1"/>
  <c r="AN36" i="14" s="1"/>
  <c r="AN37" i="14" s="1"/>
  <c r="AN38" i="14" s="1"/>
  <c r="AN39" i="14" s="1"/>
  <c r="AN40" i="14" s="1"/>
  <c r="AN41" i="14" s="1"/>
  <c r="AN42" i="14" s="1"/>
  <c r="AN43" i="14" s="1"/>
  <c r="AN44" i="14" s="1"/>
  <c r="AN45" i="14" s="1"/>
  <c r="AN46" i="14" s="1"/>
  <c r="AN47" i="14" s="1"/>
  <c r="AN48" i="14" s="1"/>
  <c r="AN49" i="14" s="1"/>
  <c r="AN50" i="14" s="1"/>
  <c r="AN51" i="14" s="1"/>
  <c r="AN52" i="14" s="1"/>
  <c r="AN53" i="14" s="1"/>
  <c r="AN54" i="14" s="1"/>
  <c r="AN55" i="14" s="1"/>
  <c r="AN56" i="14" s="1"/>
  <c r="AN57" i="14" s="1"/>
  <c r="AN58" i="14" s="1"/>
  <c r="AN59" i="14" s="1"/>
  <c r="AN60" i="14" s="1"/>
  <c r="AN61" i="14" s="1"/>
  <c r="AN62" i="14" s="1"/>
  <c r="AN63" i="14" s="1"/>
  <c r="AN64" i="14" s="1"/>
  <c r="AN65" i="14" s="1"/>
  <c r="AN66" i="14" s="1"/>
  <c r="AN67" i="14" s="1"/>
  <c r="AN68" i="14" s="1"/>
  <c r="AN69" i="14" s="1"/>
  <c r="AN70" i="14" s="1"/>
  <c r="AN71" i="14" s="1"/>
  <c r="AN72" i="14" s="1"/>
  <c r="AN73" i="14" s="1"/>
  <c r="AN74" i="14" s="1"/>
  <c r="AN75" i="14" s="1"/>
  <c r="AN76" i="14" s="1"/>
  <c r="AN77" i="14" s="1"/>
  <c r="AN78" i="14" s="1"/>
  <c r="AN79" i="14" s="1"/>
  <c r="AN80" i="14" s="1"/>
  <c r="AN81" i="14" s="1"/>
  <c r="AN82" i="14" s="1"/>
  <c r="AN83" i="14" s="1"/>
  <c r="AN84" i="14" s="1"/>
  <c r="AN85" i="14" s="1"/>
  <c r="AN86" i="14" s="1"/>
  <c r="AN87" i="14" s="1"/>
  <c r="AN88" i="14" s="1"/>
  <c r="AN89" i="14" s="1"/>
  <c r="AN90" i="14" s="1"/>
  <c r="AN91" i="14" s="1"/>
  <c r="AN92" i="14" s="1"/>
  <c r="AN93" i="14" s="1"/>
  <c r="AN94" i="14" s="1"/>
  <c r="AN95" i="14" s="1"/>
  <c r="AN96" i="14" s="1"/>
  <c r="AN97" i="14" s="1"/>
  <c r="AN98" i="14" s="1"/>
  <c r="AN99" i="14" s="1"/>
  <c r="AN100" i="14" s="1"/>
  <c r="AN101" i="14" s="1"/>
  <c r="AN102" i="14" s="1"/>
  <c r="AN103" i="14" s="1"/>
  <c r="AN104" i="14" s="1"/>
  <c r="AN105" i="14" s="1"/>
  <c r="AN106" i="14" s="1"/>
  <c r="AN107" i="14" s="1"/>
  <c r="AN108" i="14" s="1"/>
  <c r="AN109" i="14" s="1"/>
  <c r="AN110" i="14" s="1"/>
  <c r="AN111" i="14" s="1"/>
  <c r="AN112" i="14" s="1"/>
  <c r="AN113" i="14" s="1"/>
  <c r="AN114" i="14" s="1"/>
  <c r="AN115" i="14" s="1"/>
  <c r="AN116" i="14" s="1"/>
  <c r="AN117" i="14" s="1"/>
  <c r="AN118" i="14" s="1"/>
  <c r="AN119" i="14" s="1"/>
  <c r="AN120" i="14" s="1"/>
  <c r="AN121" i="14" s="1"/>
  <c r="AN122" i="14" s="1"/>
  <c r="AN123" i="14" s="1"/>
  <c r="AN124" i="14" s="1"/>
  <c r="AX6" i="14"/>
  <c r="AX7" i="14" s="1"/>
  <c r="AX8" i="14" s="1"/>
  <c r="AX9" i="14" s="1"/>
  <c r="AX10" i="14" s="1"/>
  <c r="AX11" i="14" s="1"/>
  <c r="AX12" i="14" s="1"/>
  <c r="AX13" i="14" s="1"/>
  <c r="AX14" i="14" s="1"/>
  <c r="AX15" i="14" s="1"/>
  <c r="AX16" i="14" s="1"/>
  <c r="AX17" i="14" s="1"/>
  <c r="AX18" i="14" s="1"/>
  <c r="AX19" i="14" s="1"/>
  <c r="AX20" i="14" s="1"/>
  <c r="AX21" i="14" s="1"/>
  <c r="AX22" i="14" s="1"/>
  <c r="AX23" i="14" s="1"/>
  <c r="AX24" i="14" s="1"/>
  <c r="AX25" i="14" s="1"/>
  <c r="AX26" i="14" s="1"/>
  <c r="AX27" i="14" s="1"/>
  <c r="AX28" i="14" s="1"/>
  <c r="AX29" i="14" s="1"/>
  <c r="AX30" i="14" s="1"/>
  <c r="AX31" i="14" s="1"/>
  <c r="AX32" i="14" s="1"/>
  <c r="AX33" i="14" s="1"/>
  <c r="AX34" i="14" s="1"/>
  <c r="AX35" i="14" s="1"/>
  <c r="AX36" i="14" s="1"/>
  <c r="AX37" i="14" s="1"/>
  <c r="AX38" i="14" s="1"/>
  <c r="AX39" i="14" s="1"/>
  <c r="AX40" i="14" s="1"/>
  <c r="AX41" i="14" s="1"/>
  <c r="AX42" i="14" s="1"/>
  <c r="AX43" i="14" s="1"/>
  <c r="AX44" i="14" s="1"/>
  <c r="AX45" i="14" s="1"/>
  <c r="AX46" i="14" s="1"/>
  <c r="AX47" i="14" s="1"/>
  <c r="AX48" i="14" s="1"/>
  <c r="AX49" i="14" s="1"/>
  <c r="AX50" i="14" s="1"/>
  <c r="AX51" i="14" s="1"/>
  <c r="AX52" i="14" s="1"/>
  <c r="AX53" i="14" s="1"/>
  <c r="AX54" i="14" s="1"/>
  <c r="AX55" i="14" s="1"/>
  <c r="AX56" i="14" s="1"/>
  <c r="AX57" i="14" s="1"/>
  <c r="AX58" i="14" s="1"/>
  <c r="AX59" i="14" s="1"/>
  <c r="AX60" i="14" s="1"/>
  <c r="AX61" i="14" s="1"/>
  <c r="AX62" i="14" s="1"/>
  <c r="AX63" i="14" s="1"/>
  <c r="AX64" i="14" s="1"/>
  <c r="AX65" i="14" s="1"/>
  <c r="AX66" i="14" s="1"/>
  <c r="AX67" i="14" s="1"/>
  <c r="AX68" i="14" s="1"/>
  <c r="AX69" i="14" s="1"/>
  <c r="AX70" i="14" s="1"/>
  <c r="AX71" i="14" s="1"/>
  <c r="AX72" i="14" s="1"/>
  <c r="AX73" i="14" s="1"/>
  <c r="AX74" i="14" s="1"/>
  <c r="AX75" i="14" s="1"/>
  <c r="AX76" i="14" s="1"/>
  <c r="AX77" i="14" s="1"/>
  <c r="AX78" i="14" s="1"/>
  <c r="AX79" i="14" s="1"/>
  <c r="AX80" i="14" s="1"/>
  <c r="AX81" i="14" s="1"/>
  <c r="AX82" i="14" s="1"/>
  <c r="AX83" i="14" s="1"/>
  <c r="AX84" i="14" s="1"/>
  <c r="AX85" i="14" s="1"/>
  <c r="AX86" i="14" s="1"/>
  <c r="AX87" i="14" s="1"/>
  <c r="AX88" i="14" s="1"/>
  <c r="AX89" i="14" s="1"/>
  <c r="AX90" i="14" s="1"/>
  <c r="AX91" i="14" s="1"/>
  <c r="AX92" i="14" s="1"/>
  <c r="AX93" i="14" s="1"/>
  <c r="AX94" i="14" s="1"/>
  <c r="AX95" i="14" s="1"/>
  <c r="AX96" i="14" s="1"/>
  <c r="AX97" i="14" s="1"/>
  <c r="AX98" i="14" s="1"/>
  <c r="AX99" i="14" s="1"/>
  <c r="AX100" i="14" s="1"/>
  <c r="AX101" i="14" s="1"/>
  <c r="AX102" i="14" s="1"/>
  <c r="AX103" i="14" s="1"/>
  <c r="AX104" i="14" s="1"/>
  <c r="AX105" i="14" s="1"/>
  <c r="AX106" i="14" s="1"/>
  <c r="AX107" i="14" s="1"/>
  <c r="AX108" i="14" s="1"/>
  <c r="AX109" i="14" s="1"/>
  <c r="AX110" i="14" s="1"/>
  <c r="AX111" i="14" s="1"/>
  <c r="AX112" i="14" s="1"/>
  <c r="AX113" i="14" s="1"/>
  <c r="AX114" i="14" s="1"/>
  <c r="AX115" i="14" s="1"/>
  <c r="AX116" i="14" s="1"/>
  <c r="AX117" i="14" s="1"/>
  <c r="AX118" i="14" s="1"/>
  <c r="AX119" i="14" s="1"/>
  <c r="AX120" i="14" s="1"/>
  <c r="AX121" i="14" s="1"/>
  <c r="AX122" i="14" s="1"/>
  <c r="AX123" i="14" s="1"/>
  <c r="AX124" i="14" s="1"/>
  <c r="BH6" i="14"/>
  <c r="BH7" i="14" s="1"/>
  <c r="BH8" i="14" s="1"/>
  <c r="BH9" i="14" s="1"/>
  <c r="BH10" i="14" s="1"/>
  <c r="BH11" i="14" s="1"/>
  <c r="BH12" i="14" s="1"/>
  <c r="BH13" i="14" s="1"/>
  <c r="BH14" i="14" s="1"/>
  <c r="BH15" i="14" s="1"/>
  <c r="BH16" i="14" s="1"/>
  <c r="BH17" i="14" s="1"/>
  <c r="BH18" i="14" s="1"/>
  <c r="BH19" i="14" s="1"/>
  <c r="BH20" i="14" s="1"/>
  <c r="BH21" i="14" s="1"/>
  <c r="BH22" i="14" s="1"/>
  <c r="BH23" i="14" s="1"/>
  <c r="BH24" i="14" s="1"/>
  <c r="BH25" i="14" s="1"/>
  <c r="BH26" i="14" s="1"/>
  <c r="BH27" i="14" s="1"/>
  <c r="BH28" i="14" s="1"/>
  <c r="BH29" i="14" s="1"/>
  <c r="BH30" i="14" s="1"/>
  <c r="BH31" i="14" s="1"/>
  <c r="BH32" i="14" s="1"/>
  <c r="BH33" i="14" s="1"/>
  <c r="BH34" i="14" s="1"/>
  <c r="BH35" i="14" s="1"/>
  <c r="BH36" i="14" s="1"/>
  <c r="BH37" i="14" s="1"/>
  <c r="BH38" i="14" s="1"/>
  <c r="BH39" i="14" s="1"/>
  <c r="BH40" i="14" s="1"/>
  <c r="BH41" i="14" s="1"/>
  <c r="BH42" i="14" s="1"/>
  <c r="BH43" i="14" s="1"/>
  <c r="BH44" i="14" s="1"/>
  <c r="BH45" i="14" s="1"/>
  <c r="BH46" i="14" s="1"/>
  <c r="BH47" i="14" s="1"/>
  <c r="BH48" i="14" s="1"/>
  <c r="BH49" i="14" s="1"/>
  <c r="BH50" i="14" s="1"/>
  <c r="BH51" i="14" s="1"/>
  <c r="BH52" i="14" s="1"/>
  <c r="BH53" i="14" s="1"/>
  <c r="BH54" i="14" s="1"/>
  <c r="BH55" i="14" s="1"/>
  <c r="BH56" i="14" s="1"/>
  <c r="BH57" i="14" s="1"/>
  <c r="BH58" i="14" s="1"/>
  <c r="BH59" i="14" s="1"/>
  <c r="BH60" i="14" s="1"/>
  <c r="BH61" i="14" s="1"/>
  <c r="BH62" i="14" s="1"/>
  <c r="BH63" i="14" s="1"/>
  <c r="BH64" i="14" s="1"/>
  <c r="BH65" i="14" s="1"/>
  <c r="BH66" i="14" s="1"/>
  <c r="BH67" i="14" s="1"/>
  <c r="BH68" i="14" s="1"/>
  <c r="BH69" i="14" s="1"/>
  <c r="BH70" i="14" s="1"/>
  <c r="BH71" i="14" s="1"/>
  <c r="BH72" i="14" s="1"/>
  <c r="BH73" i="14" s="1"/>
  <c r="BH74" i="14" s="1"/>
  <c r="BH75" i="14" s="1"/>
  <c r="BH76" i="14" s="1"/>
  <c r="BH77" i="14" s="1"/>
  <c r="BH78" i="14" s="1"/>
  <c r="BH79" i="14" s="1"/>
  <c r="BH80" i="14" s="1"/>
  <c r="BH81" i="14" s="1"/>
  <c r="BH82" i="14" s="1"/>
  <c r="BH83" i="14" s="1"/>
  <c r="BH84" i="14" s="1"/>
  <c r="BH85" i="14" s="1"/>
  <c r="BH86" i="14" s="1"/>
  <c r="BH87" i="14" s="1"/>
  <c r="BH88" i="14" s="1"/>
  <c r="BH89" i="14" s="1"/>
  <c r="BH90" i="14" s="1"/>
  <c r="BH91" i="14" s="1"/>
  <c r="BH92" i="14" s="1"/>
  <c r="BH93" i="14" s="1"/>
  <c r="BH94" i="14" s="1"/>
  <c r="BH95" i="14" s="1"/>
  <c r="BH96" i="14" s="1"/>
  <c r="BH97" i="14" s="1"/>
  <c r="BH98" i="14" s="1"/>
  <c r="BH99" i="14" s="1"/>
  <c r="BH100" i="14" s="1"/>
  <c r="BH101" i="14" s="1"/>
  <c r="BH102" i="14" s="1"/>
  <c r="BH103" i="14" s="1"/>
  <c r="BH104" i="14" s="1"/>
  <c r="BH105" i="14" s="1"/>
  <c r="BH106" i="14" s="1"/>
  <c r="BH107" i="14" s="1"/>
  <c r="BH108" i="14" s="1"/>
  <c r="BH109" i="14" s="1"/>
  <c r="BH110" i="14" s="1"/>
  <c r="BH111" i="14" s="1"/>
  <c r="BH112" i="14" s="1"/>
  <c r="BH113" i="14" s="1"/>
  <c r="BH114" i="14" s="1"/>
  <c r="BH115" i="14" s="1"/>
  <c r="BH116" i="14" s="1"/>
  <c r="BH117" i="14" s="1"/>
  <c r="BH118" i="14" s="1"/>
  <c r="BH119" i="14" s="1"/>
  <c r="BH120" i="14" s="1"/>
  <c r="BH121" i="14" s="1"/>
  <c r="BH122" i="14" s="1"/>
  <c r="BH123" i="14" s="1"/>
  <c r="BH124" i="14" s="1"/>
  <c r="BR6" i="14"/>
  <c r="BR7" i="14" s="1"/>
  <c r="BR8" i="14" s="1"/>
  <c r="BR9" i="14" s="1"/>
  <c r="BR10" i="14" s="1"/>
  <c r="BR11" i="14" s="1"/>
  <c r="BR12" i="14" s="1"/>
  <c r="BR13" i="14" s="1"/>
  <c r="BR14" i="14" s="1"/>
  <c r="BR15" i="14" s="1"/>
  <c r="BR16" i="14" s="1"/>
  <c r="BR17" i="14" s="1"/>
  <c r="BR18" i="14" s="1"/>
  <c r="BR19" i="14" s="1"/>
  <c r="BR20" i="14" s="1"/>
  <c r="BR21" i="14" s="1"/>
  <c r="BR22" i="14" s="1"/>
  <c r="BR23" i="14" s="1"/>
  <c r="BR24" i="14" s="1"/>
  <c r="BR25" i="14" s="1"/>
  <c r="BR26" i="14" s="1"/>
  <c r="BR27" i="14" s="1"/>
  <c r="BR28" i="14" s="1"/>
  <c r="BR29" i="14" s="1"/>
  <c r="BR30" i="14" s="1"/>
  <c r="BR31" i="14" s="1"/>
  <c r="BR32" i="14" s="1"/>
  <c r="BR33" i="14" s="1"/>
  <c r="BR34" i="14" s="1"/>
  <c r="BR35" i="14" s="1"/>
  <c r="BR36" i="14" s="1"/>
  <c r="BR37" i="14" s="1"/>
  <c r="BR38" i="14" s="1"/>
  <c r="BR39" i="14" s="1"/>
  <c r="BR40" i="14" s="1"/>
  <c r="BR41" i="14" s="1"/>
  <c r="BR42" i="14" s="1"/>
  <c r="BR43" i="14" s="1"/>
  <c r="BR44" i="14" s="1"/>
  <c r="BR45" i="14" s="1"/>
  <c r="BR46" i="14" s="1"/>
  <c r="BR47" i="14" s="1"/>
  <c r="BR48" i="14" s="1"/>
  <c r="BR49" i="14" s="1"/>
  <c r="BR50" i="14" s="1"/>
  <c r="BR51" i="14" s="1"/>
  <c r="BR52" i="14" s="1"/>
  <c r="BR53" i="14" s="1"/>
  <c r="BR54" i="14" s="1"/>
  <c r="BR55" i="14" s="1"/>
  <c r="BR56" i="14" s="1"/>
  <c r="BR57" i="14" s="1"/>
  <c r="BR58" i="14" s="1"/>
  <c r="BR59" i="14" s="1"/>
  <c r="BR60" i="14" s="1"/>
  <c r="BR61" i="14" s="1"/>
  <c r="BR62" i="14" s="1"/>
  <c r="BR63" i="14" s="1"/>
  <c r="BR64" i="14" s="1"/>
  <c r="BR65" i="14" s="1"/>
  <c r="BR66" i="14" s="1"/>
  <c r="BR67" i="14" s="1"/>
  <c r="BR68" i="14" s="1"/>
  <c r="BR69" i="14" s="1"/>
  <c r="BR70" i="14" s="1"/>
  <c r="BR71" i="14" s="1"/>
  <c r="BR72" i="14" s="1"/>
  <c r="BR73" i="14" s="1"/>
  <c r="BR74" i="14" s="1"/>
  <c r="BR75" i="14" s="1"/>
  <c r="BR76" i="14" s="1"/>
  <c r="BR77" i="14" s="1"/>
  <c r="BR78" i="14" s="1"/>
  <c r="BR79" i="14" s="1"/>
  <c r="BR80" i="14" s="1"/>
  <c r="BR81" i="14" s="1"/>
  <c r="BR82" i="14" s="1"/>
  <c r="BR83" i="14" s="1"/>
  <c r="BR84" i="14" s="1"/>
  <c r="BR85" i="14" s="1"/>
  <c r="BR86" i="14" s="1"/>
  <c r="BR87" i="14" s="1"/>
  <c r="BR88" i="14" s="1"/>
  <c r="BR89" i="14" s="1"/>
  <c r="BR90" i="14" s="1"/>
  <c r="BR91" i="14" s="1"/>
  <c r="BR92" i="14" s="1"/>
  <c r="BR93" i="14" s="1"/>
  <c r="BR94" i="14" s="1"/>
  <c r="BR95" i="14" s="1"/>
  <c r="BR96" i="14" s="1"/>
  <c r="BR97" i="14" s="1"/>
  <c r="BR98" i="14" s="1"/>
  <c r="BR99" i="14" s="1"/>
  <c r="BR100" i="14" s="1"/>
  <c r="BR101" i="14" s="1"/>
  <c r="BR102" i="14" s="1"/>
  <c r="BR103" i="14" s="1"/>
  <c r="BR104" i="14" s="1"/>
  <c r="BR105" i="14" s="1"/>
  <c r="BR106" i="14" s="1"/>
  <c r="BR107" i="14" s="1"/>
  <c r="BR108" i="14" s="1"/>
  <c r="BR109" i="14" s="1"/>
  <c r="BR110" i="14" s="1"/>
  <c r="BR111" i="14" s="1"/>
  <c r="BR112" i="14" s="1"/>
  <c r="BR113" i="14" s="1"/>
  <c r="BR114" i="14" s="1"/>
  <c r="BR115" i="14" s="1"/>
  <c r="BR116" i="14" s="1"/>
  <c r="BR117" i="14" s="1"/>
  <c r="BR118" i="14" s="1"/>
  <c r="BR119" i="14" s="1"/>
  <c r="BR120" i="14" s="1"/>
  <c r="BR121" i="14" s="1"/>
  <c r="BR122" i="14" s="1"/>
  <c r="BR123" i="14" s="1"/>
  <c r="BR124" i="14" s="1"/>
  <c r="CB6" i="14"/>
  <c r="CB7" i="14" s="1"/>
  <c r="CB8" i="14" s="1"/>
  <c r="CB9" i="14" s="1"/>
  <c r="CB10" i="14" s="1"/>
  <c r="CB11" i="14" s="1"/>
  <c r="CB12" i="14" s="1"/>
  <c r="CB13" i="14" s="1"/>
  <c r="CB14" i="14" s="1"/>
  <c r="CB15" i="14" s="1"/>
  <c r="CB16" i="14" s="1"/>
  <c r="CB17" i="14" s="1"/>
  <c r="CB18" i="14" s="1"/>
  <c r="CB19" i="14" s="1"/>
  <c r="CB20" i="14" s="1"/>
  <c r="CB21" i="14" s="1"/>
  <c r="CB22" i="14" s="1"/>
  <c r="CB23" i="14" s="1"/>
  <c r="CB24" i="14" s="1"/>
  <c r="CB25" i="14" s="1"/>
  <c r="CB26" i="14" s="1"/>
  <c r="CB27" i="14" s="1"/>
  <c r="CB28" i="14" s="1"/>
  <c r="CB29" i="14" s="1"/>
  <c r="CB30" i="14" s="1"/>
  <c r="CB31" i="14" s="1"/>
  <c r="CB32" i="14" s="1"/>
  <c r="CB33" i="14" s="1"/>
  <c r="CB34" i="14" s="1"/>
  <c r="CB35" i="14" s="1"/>
  <c r="CB36" i="14" s="1"/>
  <c r="CB37" i="14" s="1"/>
  <c r="CB38" i="14" s="1"/>
  <c r="CB39" i="14" s="1"/>
  <c r="CB40" i="14" s="1"/>
  <c r="CB41" i="14" s="1"/>
  <c r="CB42" i="14" s="1"/>
  <c r="CB43" i="14" s="1"/>
  <c r="CB44" i="14" s="1"/>
  <c r="CB45" i="14" s="1"/>
  <c r="CB46" i="14" s="1"/>
  <c r="CB47" i="14" s="1"/>
  <c r="CB48" i="14" s="1"/>
  <c r="CB49" i="14" s="1"/>
  <c r="CB50" i="14" s="1"/>
  <c r="CB51" i="14" s="1"/>
  <c r="CB52" i="14" s="1"/>
  <c r="CB53" i="14" s="1"/>
  <c r="CB54" i="14" s="1"/>
  <c r="CB55" i="14" s="1"/>
  <c r="CB56" i="14" s="1"/>
  <c r="CB57" i="14" s="1"/>
  <c r="CB58" i="14" s="1"/>
  <c r="CB59" i="14" s="1"/>
  <c r="CB60" i="14" s="1"/>
  <c r="CB61" i="14" s="1"/>
  <c r="CB62" i="14" s="1"/>
  <c r="CB63" i="14" s="1"/>
  <c r="CB64" i="14" s="1"/>
  <c r="CB65" i="14" s="1"/>
  <c r="CB66" i="14" s="1"/>
  <c r="CB67" i="14" s="1"/>
  <c r="CB68" i="14" s="1"/>
  <c r="CB69" i="14" s="1"/>
  <c r="CB70" i="14" s="1"/>
  <c r="CB71" i="14" s="1"/>
  <c r="CB72" i="14" s="1"/>
  <c r="CB73" i="14" s="1"/>
  <c r="CB74" i="14" s="1"/>
  <c r="CB75" i="14" s="1"/>
  <c r="CB76" i="14" s="1"/>
  <c r="CB77" i="14" s="1"/>
  <c r="CB78" i="14" s="1"/>
  <c r="CB79" i="14" s="1"/>
  <c r="CB80" i="14" s="1"/>
  <c r="CB81" i="14" s="1"/>
  <c r="CB82" i="14" s="1"/>
  <c r="CB83" i="14" s="1"/>
  <c r="CB84" i="14" s="1"/>
  <c r="CB85" i="14" s="1"/>
  <c r="CB86" i="14" s="1"/>
  <c r="CB87" i="14" s="1"/>
  <c r="CB88" i="14" s="1"/>
  <c r="CB89" i="14" s="1"/>
  <c r="CB90" i="14" s="1"/>
  <c r="CB91" i="14" s="1"/>
  <c r="CB92" i="14" s="1"/>
  <c r="CB93" i="14" s="1"/>
  <c r="CB94" i="14" s="1"/>
  <c r="CB95" i="14" s="1"/>
  <c r="CB96" i="14" s="1"/>
  <c r="CB97" i="14" s="1"/>
  <c r="CB98" i="14" s="1"/>
  <c r="CB99" i="14" s="1"/>
  <c r="CB100" i="14" s="1"/>
  <c r="CB101" i="14" s="1"/>
  <c r="CB102" i="14" s="1"/>
  <c r="CB103" i="14" s="1"/>
  <c r="CB104" i="14" s="1"/>
  <c r="CB105" i="14" s="1"/>
  <c r="CB106" i="14" s="1"/>
  <c r="CB107" i="14" s="1"/>
  <c r="CB108" i="14" s="1"/>
  <c r="CB109" i="14" s="1"/>
  <c r="CB110" i="14" s="1"/>
  <c r="CB111" i="14" s="1"/>
  <c r="CB112" i="14" s="1"/>
  <c r="CB113" i="14" s="1"/>
  <c r="CB114" i="14" s="1"/>
  <c r="CB115" i="14" s="1"/>
  <c r="CB116" i="14" s="1"/>
  <c r="CB117" i="14" s="1"/>
  <c r="CB118" i="14" s="1"/>
  <c r="CB119" i="14" s="1"/>
  <c r="CB120" i="14" s="1"/>
  <c r="CB121" i="14" s="1"/>
  <c r="CB122" i="14" s="1"/>
  <c r="CB123" i="14" s="1"/>
  <c r="CB124" i="14" s="1"/>
  <c r="CL6" i="14"/>
  <c r="CL7" i="14" s="1"/>
  <c r="CL8" i="14" s="1"/>
  <c r="CL9" i="14" s="1"/>
  <c r="CL10" i="14" s="1"/>
  <c r="CL11" i="14" s="1"/>
  <c r="CL12" i="14" s="1"/>
  <c r="CL13" i="14" s="1"/>
  <c r="CL14" i="14" s="1"/>
  <c r="CL15" i="14" s="1"/>
  <c r="CL16" i="14" s="1"/>
  <c r="CL17" i="14" s="1"/>
  <c r="CL18" i="14" s="1"/>
  <c r="CL19" i="14" s="1"/>
  <c r="CL20" i="14" s="1"/>
  <c r="CL21" i="14" s="1"/>
  <c r="CL22" i="14" s="1"/>
  <c r="CL23" i="14" s="1"/>
  <c r="CL24" i="14" s="1"/>
  <c r="CL25" i="14" s="1"/>
  <c r="CL26" i="14" s="1"/>
  <c r="CL27" i="14" s="1"/>
  <c r="CL28" i="14" s="1"/>
  <c r="CL29" i="14" s="1"/>
  <c r="CL30" i="14" s="1"/>
  <c r="CL31" i="14" s="1"/>
  <c r="CL32" i="14" s="1"/>
  <c r="CL33" i="14" s="1"/>
  <c r="CL34" i="14" s="1"/>
  <c r="CL35" i="14" s="1"/>
  <c r="CL36" i="14" s="1"/>
  <c r="CL37" i="14" s="1"/>
  <c r="CL38" i="14" s="1"/>
  <c r="CL39" i="14" s="1"/>
  <c r="CL40" i="14" s="1"/>
  <c r="CL41" i="14" s="1"/>
  <c r="CL42" i="14" s="1"/>
  <c r="CL43" i="14" s="1"/>
  <c r="CL44" i="14" s="1"/>
  <c r="CL45" i="14" s="1"/>
  <c r="CL46" i="14" s="1"/>
  <c r="CL47" i="14" s="1"/>
  <c r="CL48" i="14" s="1"/>
  <c r="CL49" i="14" s="1"/>
  <c r="CL50" i="14" s="1"/>
  <c r="CL51" i="14" s="1"/>
  <c r="CL52" i="14" s="1"/>
  <c r="CL53" i="14" s="1"/>
  <c r="CL54" i="14" s="1"/>
  <c r="CL55" i="14" s="1"/>
  <c r="CL56" i="14" s="1"/>
  <c r="CL57" i="14" s="1"/>
  <c r="CL58" i="14" s="1"/>
  <c r="CL59" i="14" s="1"/>
  <c r="CL60" i="14" s="1"/>
  <c r="CL61" i="14" s="1"/>
  <c r="CL62" i="14" s="1"/>
  <c r="CL63" i="14" s="1"/>
  <c r="CL64" i="14" s="1"/>
  <c r="CL65" i="14" s="1"/>
  <c r="CL66" i="14" s="1"/>
  <c r="CL67" i="14" s="1"/>
  <c r="CL68" i="14" s="1"/>
  <c r="CL69" i="14" s="1"/>
  <c r="CL70" i="14" s="1"/>
  <c r="CL71" i="14" s="1"/>
  <c r="CL72" i="14" s="1"/>
  <c r="CL73" i="14" s="1"/>
  <c r="CL74" i="14" s="1"/>
  <c r="CL75" i="14" s="1"/>
  <c r="CL76" i="14" s="1"/>
  <c r="CL77" i="14" s="1"/>
  <c r="CL78" i="14" s="1"/>
  <c r="CL79" i="14" s="1"/>
  <c r="CL80" i="14" s="1"/>
  <c r="CL81" i="14" s="1"/>
  <c r="CL82" i="14" s="1"/>
  <c r="CL83" i="14" s="1"/>
  <c r="CL84" i="14" s="1"/>
  <c r="CL85" i="14" s="1"/>
  <c r="CL86" i="14" s="1"/>
  <c r="CL87" i="14" s="1"/>
  <c r="CL88" i="14" s="1"/>
  <c r="CL89" i="14" s="1"/>
  <c r="CL90" i="14" s="1"/>
  <c r="CL91" i="14" s="1"/>
  <c r="CL92" i="14" s="1"/>
  <c r="CL93" i="14" s="1"/>
  <c r="CL94" i="14" s="1"/>
  <c r="CL95" i="14" s="1"/>
  <c r="CL96" i="14" s="1"/>
  <c r="CL97" i="14" s="1"/>
  <c r="CL98" i="14" s="1"/>
  <c r="CL99" i="14" s="1"/>
  <c r="CL100" i="14" s="1"/>
  <c r="CL101" i="14" s="1"/>
  <c r="CL102" i="14" s="1"/>
  <c r="CL103" i="14" s="1"/>
  <c r="CL104" i="14" s="1"/>
  <c r="CL105" i="14" s="1"/>
  <c r="CL106" i="14" s="1"/>
  <c r="CL107" i="14" s="1"/>
  <c r="CL108" i="14" s="1"/>
  <c r="CL109" i="14" s="1"/>
  <c r="CL110" i="14" s="1"/>
  <c r="CL111" i="14" s="1"/>
  <c r="CL112" i="14" s="1"/>
  <c r="CL113" i="14" s="1"/>
  <c r="CL114" i="14" s="1"/>
  <c r="CL115" i="14" s="1"/>
  <c r="CL116" i="14" s="1"/>
  <c r="CL117" i="14" s="1"/>
  <c r="CL118" i="14" s="1"/>
  <c r="CL119" i="14" s="1"/>
  <c r="CL120" i="14" s="1"/>
  <c r="CL121" i="14" s="1"/>
  <c r="CL122" i="14" s="1"/>
  <c r="CL123" i="14" s="1"/>
  <c r="CL124" i="14" s="1"/>
  <c r="CV6" i="14"/>
  <c r="CV7" i="14" s="1"/>
  <c r="CV8" i="14" s="1"/>
  <c r="CV9" i="14" s="1"/>
  <c r="CV10" i="14" s="1"/>
  <c r="CV11" i="14" s="1"/>
  <c r="CV12" i="14" s="1"/>
  <c r="CV13" i="14" s="1"/>
  <c r="CV14" i="14" s="1"/>
  <c r="CV15" i="14" s="1"/>
  <c r="CV16" i="14" s="1"/>
  <c r="CV17" i="14" s="1"/>
  <c r="CV18" i="14" s="1"/>
  <c r="CV19" i="14" s="1"/>
  <c r="CV20" i="14" s="1"/>
  <c r="CV21" i="14" s="1"/>
  <c r="CV22" i="14" s="1"/>
  <c r="CV23" i="14" s="1"/>
  <c r="CV24" i="14" s="1"/>
  <c r="CV25" i="14" s="1"/>
  <c r="CV26" i="14" s="1"/>
  <c r="CV27" i="14" s="1"/>
  <c r="CV28" i="14" s="1"/>
  <c r="CV29" i="14" s="1"/>
  <c r="CV30" i="14" s="1"/>
  <c r="CV31" i="14" s="1"/>
  <c r="CV32" i="14" s="1"/>
  <c r="CV33" i="14" s="1"/>
  <c r="CV34" i="14" s="1"/>
  <c r="CV35" i="14" s="1"/>
  <c r="CV36" i="14" s="1"/>
  <c r="CV37" i="14" s="1"/>
  <c r="CV38" i="14" s="1"/>
  <c r="CV39" i="14" s="1"/>
  <c r="CV40" i="14" s="1"/>
  <c r="CV41" i="14" s="1"/>
  <c r="CV42" i="14" s="1"/>
  <c r="CV43" i="14" s="1"/>
  <c r="CV44" i="14" s="1"/>
  <c r="CV45" i="14" s="1"/>
  <c r="CV46" i="14" s="1"/>
  <c r="CV47" i="14" s="1"/>
  <c r="CV48" i="14" s="1"/>
  <c r="CV49" i="14" s="1"/>
  <c r="CV50" i="14" s="1"/>
  <c r="CV51" i="14" s="1"/>
  <c r="CV52" i="14" s="1"/>
  <c r="CV53" i="14" s="1"/>
  <c r="CV54" i="14" s="1"/>
  <c r="CV55" i="14" s="1"/>
  <c r="CV56" i="14" s="1"/>
  <c r="CV57" i="14" s="1"/>
  <c r="CV58" i="14" s="1"/>
  <c r="CV59" i="14" s="1"/>
  <c r="CV60" i="14" s="1"/>
  <c r="CV61" i="14" s="1"/>
  <c r="CV62" i="14" s="1"/>
  <c r="CV63" i="14" s="1"/>
  <c r="CV64" i="14" s="1"/>
  <c r="CV65" i="14" s="1"/>
  <c r="CV66" i="14" s="1"/>
  <c r="CV67" i="14" s="1"/>
  <c r="CV68" i="14" s="1"/>
  <c r="CV69" i="14" s="1"/>
  <c r="CV70" i="14" s="1"/>
  <c r="CV71" i="14" s="1"/>
  <c r="CV72" i="14" s="1"/>
  <c r="CV73" i="14" s="1"/>
  <c r="CV74" i="14" s="1"/>
  <c r="CV75" i="14" s="1"/>
  <c r="CV76" i="14" s="1"/>
  <c r="CV77" i="14" s="1"/>
  <c r="CV78" i="14" s="1"/>
  <c r="CV79" i="14" s="1"/>
  <c r="CV80" i="14" s="1"/>
  <c r="CV81" i="14" s="1"/>
  <c r="CV82" i="14" s="1"/>
  <c r="CV83" i="14" s="1"/>
  <c r="CV84" i="14" s="1"/>
  <c r="CV85" i="14" s="1"/>
  <c r="CV86" i="14" s="1"/>
  <c r="CV87" i="14" s="1"/>
  <c r="CV88" i="14" s="1"/>
  <c r="CV89" i="14" s="1"/>
  <c r="CV90" i="14" s="1"/>
  <c r="CV91" i="14" s="1"/>
  <c r="CV92" i="14" s="1"/>
  <c r="CV93" i="14" s="1"/>
  <c r="CV94" i="14" s="1"/>
  <c r="CV95" i="14" s="1"/>
  <c r="CV96" i="14" s="1"/>
  <c r="CV97" i="14" s="1"/>
  <c r="CV98" i="14" s="1"/>
  <c r="CV99" i="14" s="1"/>
  <c r="CV100" i="14" s="1"/>
  <c r="CV101" i="14" s="1"/>
  <c r="CV102" i="14" s="1"/>
  <c r="CV103" i="14" s="1"/>
  <c r="CV104" i="14" s="1"/>
  <c r="CV105" i="14" s="1"/>
  <c r="CV106" i="14" s="1"/>
  <c r="CV107" i="14" s="1"/>
  <c r="CV108" i="14" s="1"/>
  <c r="CV109" i="14" s="1"/>
  <c r="CV110" i="14" s="1"/>
  <c r="CV111" i="14" s="1"/>
  <c r="CV112" i="14" s="1"/>
  <c r="CV113" i="14" s="1"/>
  <c r="CV114" i="14" s="1"/>
  <c r="CV115" i="14" s="1"/>
  <c r="CV116" i="14" s="1"/>
  <c r="CV117" i="14" s="1"/>
  <c r="CV118" i="14" s="1"/>
  <c r="CV119" i="14" s="1"/>
  <c r="CV120" i="14" s="1"/>
  <c r="CV121" i="14" s="1"/>
  <c r="CV122" i="14" s="1"/>
  <c r="CV123" i="14" s="1"/>
  <c r="CV124" i="14" s="1"/>
  <c r="DF6" i="14"/>
  <c r="DF7" i="14" s="1"/>
  <c r="DF8" i="14" s="1"/>
  <c r="DF9" i="14" s="1"/>
  <c r="DF10" i="14" s="1"/>
  <c r="DF11" i="14" s="1"/>
  <c r="DF12" i="14" s="1"/>
  <c r="DF13" i="14" s="1"/>
  <c r="DF14" i="14" s="1"/>
  <c r="DF15" i="14" s="1"/>
  <c r="DF16" i="14" s="1"/>
  <c r="DF17" i="14" s="1"/>
  <c r="DF18" i="14" s="1"/>
  <c r="DF19" i="14" s="1"/>
  <c r="DF20" i="14" s="1"/>
  <c r="DF21" i="14" s="1"/>
  <c r="DF22" i="14" s="1"/>
  <c r="DF23" i="14" s="1"/>
  <c r="DF24" i="14" s="1"/>
  <c r="DF25" i="14" s="1"/>
  <c r="DF26" i="14" s="1"/>
  <c r="DF27" i="14" s="1"/>
  <c r="DF28" i="14" s="1"/>
  <c r="DF29" i="14" s="1"/>
  <c r="DF30" i="14" s="1"/>
  <c r="DF31" i="14" s="1"/>
  <c r="DF32" i="14" s="1"/>
  <c r="DF33" i="14" s="1"/>
  <c r="DF34" i="14" s="1"/>
  <c r="DF35" i="14" s="1"/>
  <c r="DF36" i="14" s="1"/>
  <c r="DF37" i="14" s="1"/>
  <c r="DF38" i="14" s="1"/>
  <c r="DF39" i="14" s="1"/>
  <c r="DF40" i="14" s="1"/>
  <c r="DF41" i="14" s="1"/>
  <c r="DF42" i="14" s="1"/>
  <c r="DF43" i="14" s="1"/>
  <c r="DF44" i="14" s="1"/>
  <c r="DF45" i="14" s="1"/>
  <c r="DF46" i="14" s="1"/>
  <c r="DF47" i="14" s="1"/>
  <c r="DF48" i="14" s="1"/>
  <c r="DF49" i="14" s="1"/>
  <c r="DF50" i="14" s="1"/>
  <c r="DF51" i="14" s="1"/>
  <c r="DF52" i="14" s="1"/>
  <c r="DF53" i="14" s="1"/>
  <c r="DF54" i="14" s="1"/>
  <c r="DF55" i="14" s="1"/>
  <c r="DF56" i="14" s="1"/>
  <c r="DF57" i="14" s="1"/>
  <c r="DF58" i="14" s="1"/>
  <c r="DF59" i="14" s="1"/>
  <c r="DF60" i="14" s="1"/>
  <c r="DF61" i="14" s="1"/>
  <c r="DF62" i="14" s="1"/>
  <c r="DF63" i="14" s="1"/>
  <c r="DF64" i="14" s="1"/>
  <c r="DF65" i="14" s="1"/>
  <c r="DF66" i="14" s="1"/>
  <c r="DF67" i="14" s="1"/>
  <c r="DF68" i="14" s="1"/>
  <c r="DF69" i="14" s="1"/>
  <c r="DF70" i="14" s="1"/>
  <c r="DF71" i="14" s="1"/>
  <c r="DF72" i="14" s="1"/>
  <c r="DF73" i="14" s="1"/>
  <c r="DF74" i="14" s="1"/>
  <c r="DF75" i="14" s="1"/>
  <c r="DF76" i="14" s="1"/>
  <c r="DF77" i="14" s="1"/>
  <c r="DF78" i="14" s="1"/>
  <c r="DF79" i="14" s="1"/>
  <c r="DF80" i="14" s="1"/>
  <c r="DF81" i="14" s="1"/>
  <c r="DF82" i="14" s="1"/>
  <c r="DF83" i="14" s="1"/>
  <c r="DF84" i="14" s="1"/>
  <c r="DF85" i="14" s="1"/>
  <c r="DF86" i="14" s="1"/>
  <c r="DF87" i="14" s="1"/>
  <c r="DF88" i="14" s="1"/>
  <c r="DF89" i="14" s="1"/>
  <c r="DF90" i="14" s="1"/>
  <c r="DF91" i="14" s="1"/>
  <c r="DF92" i="14" s="1"/>
  <c r="DF93" i="14" s="1"/>
  <c r="DF94" i="14" s="1"/>
  <c r="DF95" i="14" s="1"/>
  <c r="DF96" i="14" s="1"/>
  <c r="DF97" i="14" s="1"/>
  <c r="DF98" i="14" s="1"/>
  <c r="DF99" i="14" s="1"/>
  <c r="DF100" i="14" s="1"/>
  <c r="DF101" i="14" s="1"/>
  <c r="DF102" i="14" s="1"/>
  <c r="DF103" i="14" s="1"/>
  <c r="DF104" i="14" s="1"/>
  <c r="DF105" i="14" s="1"/>
  <c r="DF106" i="14" s="1"/>
  <c r="DF107" i="14" s="1"/>
  <c r="DF108" i="14" s="1"/>
  <c r="DF109" i="14" s="1"/>
  <c r="DF110" i="14" s="1"/>
  <c r="DF111" i="14" s="1"/>
  <c r="DF112" i="14" s="1"/>
  <c r="DF113" i="14" s="1"/>
  <c r="DF114" i="14" s="1"/>
  <c r="DF115" i="14" s="1"/>
  <c r="DF116" i="14" s="1"/>
  <c r="DF117" i="14" s="1"/>
  <c r="DF118" i="14" s="1"/>
  <c r="DF119" i="14" s="1"/>
  <c r="DF120" i="14" s="1"/>
  <c r="DF121" i="14" s="1"/>
  <c r="DF122" i="14" s="1"/>
  <c r="DF123" i="14" s="1"/>
  <c r="DF124" i="14" s="1"/>
  <c r="I25" i="10"/>
  <c r="G105" i="14"/>
  <c r="G49" i="14"/>
  <c r="P6" i="14"/>
  <c r="P7" i="14" s="1"/>
  <c r="P8" i="14" s="1"/>
  <c r="P9" i="14" s="1"/>
  <c r="P10" i="14" s="1"/>
  <c r="P11" i="14" s="1"/>
  <c r="P12" i="14" s="1"/>
  <c r="P13" i="14" s="1"/>
  <c r="P14" i="14" s="1"/>
  <c r="P15" i="14" s="1"/>
  <c r="P16" i="14" s="1"/>
  <c r="P17" i="14" s="1"/>
  <c r="P18" i="14" s="1"/>
  <c r="P19" i="14" s="1"/>
  <c r="P20" i="14" s="1"/>
  <c r="P21" i="14" s="1"/>
  <c r="P22" i="14" s="1"/>
  <c r="P23" i="14" s="1"/>
  <c r="P24" i="14" s="1"/>
  <c r="P25" i="14" s="1"/>
  <c r="P26" i="14" s="1"/>
  <c r="P27" i="14" s="1"/>
  <c r="P28" i="14" s="1"/>
  <c r="P29" i="14" s="1"/>
  <c r="P30" i="14" s="1"/>
  <c r="P31" i="14" s="1"/>
  <c r="P32" i="14" s="1"/>
  <c r="P33" i="14" s="1"/>
  <c r="P34" i="14" s="1"/>
  <c r="P35" i="14" s="1"/>
  <c r="P36" i="14" s="1"/>
  <c r="P37" i="14" s="1"/>
  <c r="P38" i="14" s="1"/>
  <c r="P39" i="14" s="1"/>
  <c r="P40" i="14" s="1"/>
  <c r="P41" i="14" s="1"/>
  <c r="P42" i="14" s="1"/>
  <c r="P43" i="14" s="1"/>
  <c r="P44" i="14" s="1"/>
  <c r="P45" i="14" s="1"/>
  <c r="P46" i="14" s="1"/>
  <c r="P47" i="14" s="1"/>
  <c r="P48" i="14" s="1"/>
  <c r="P49" i="14" s="1"/>
  <c r="P50" i="14" s="1"/>
  <c r="P51" i="14" s="1"/>
  <c r="P52" i="14" s="1"/>
  <c r="P53" i="14" s="1"/>
  <c r="P54" i="14" s="1"/>
  <c r="P55" i="14" s="1"/>
  <c r="P56" i="14" s="1"/>
  <c r="P57" i="14" s="1"/>
  <c r="P58" i="14" s="1"/>
  <c r="P59" i="14" s="1"/>
  <c r="P60" i="14" s="1"/>
  <c r="P61" i="14" s="1"/>
  <c r="P62" i="14" s="1"/>
  <c r="P63" i="14" s="1"/>
  <c r="P64" i="14" s="1"/>
  <c r="P65" i="14" s="1"/>
  <c r="P66" i="14" s="1"/>
  <c r="P67" i="14" s="1"/>
  <c r="P68" i="14" s="1"/>
  <c r="P69" i="14" s="1"/>
  <c r="P70" i="14" s="1"/>
  <c r="P71" i="14" s="1"/>
  <c r="P72" i="14" s="1"/>
  <c r="P73" i="14" s="1"/>
  <c r="P74" i="14" s="1"/>
  <c r="P75" i="14" s="1"/>
  <c r="P76" i="14" s="1"/>
  <c r="P77" i="14" s="1"/>
  <c r="P78" i="14" s="1"/>
  <c r="P79" i="14" s="1"/>
  <c r="P80" i="14" s="1"/>
  <c r="P81" i="14" s="1"/>
  <c r="P82" i="14" s="1"/>
  <c r="P83" i="14" s="1"/>
  <c r="P84" i="14" s="1"/>
  <c r="P85" i="14" s="1"/>
  <c r="P86" i="14" s="1"/>
  <c r="P87" i="14" s="1"/>
  <c r="P88" i="14" s="1"/>
  <c r="P89" i="14" s="1"/>
  <c r="P90" i="14" s="1"/>
  <c r="P91" i="14" s="1"/>
  <c r="P92" i="14" s="1"/>
  <c r="P93" i="14" s="1"/>
  <c r="P94" i="14" s="1"/>
  <c r="P95" i="14" s="1"/>
  <c r="P96" i="14" s="1"/>
  <c r="P97" i="14" s="1"/>
  <c r="P98" i="14" s="1"/>
  <c r="P99" i="14" s="1"/>
  <c r="P100" i="14" s="1"/>
  <c r="P101" i="14" s="1"/>
  <c r="P102" i="14" s="1"/>
  <c r="P103" i="14" s="1"/>
  <c r="P104" i="14" s="1"/>
  <c r="P105" i="14" s="1"/>
  <c r="P106" i="14" s="1"/>
  <c r="P107" i="14" s="1"/>
  <c r="P108" i="14" s="1"/>
  <c r="P109" i="14" s="1"/>
  <c r="P110" i="14" s="1"/>
  <c r="P111" i="14" s="1"/>
  <c r="P112" i="14" s="1"/>
  <c r="P113" i="14" s="1"/>
  <c r="P114" i="14" s="1"/>
  <c r="P115" i="14" s="1"/>
  <c r="P116" i="14" s="1"/>
  <c r="P117" i="14" s="1"/>
  <c r="P118" i="14" s="1"/>
  <c r="P119" i="14" s="1"/>
  <c r="P120" i="14" s="1"/>
  <c r="P121" i="14" s="1"/>
  <c r="P122" i="14" s="1"/>
  <c r="P123" i="14" s="1"/>
  <c r="P124" i="14" s="1"/>
  <c r="BD6" i="14"/>
  <c r="BD7" i="14" s="1"/>
  <c r="BD8" i="14" s="1"/>
  <c r="BD9" i="14" s="1"/>
  <c r="BD10" i="14" s="1"/>
  <c r="BD11" i="14" s="1"/>
  <c r="BD12" i="14" s="1"/>
  <c r="BD13" i="14" s="1"/>
  <c r="BD14" i="14" s="1"/>
  <c r="BD15" i="14" s="1"/>
  <c r="BD16" i="14" s="1"/>
  <c r="BD17" i="14" s="1"/>
  <c r="BD18" i="14" s="1"/>
  <c r="BD19" i="14" s="1"/>
  <c r="BD20" i="14" s="1"/>
  <c r="BD21" i="14" s="1"/>
  <c r="BD22" i="14" s="1"/>
  <c r="BD23" i="14" s="1"/>
  <c r="BD24" i="14" s="1"/>
  <c r="BD25" i="14" s="1"/>
  <c r="BD26" i="14" s="1"/>
  <c r="BD27" i="14" s="1"/>
  <c r="BD28" i="14" s="1"/>
  <c r="BD29" i="14" s="1"/>
  <c r="BD30" i="14" s="1"/>
  <c r="BD31" i="14" s="1"/>
  <c r="BD32" i="14" s="1"/>
  <c r="BD33" i="14" s="1"/>
  <c r="BD34" i="14" s="1"/>
  <c r="BD35" i="14" s="1"/>
  <c r="BD36" i="14" s="1"/>
  <c r="BD37" i="14" s="1"/>
  <c r="BD38" i="14" s="1"/>
  <c r="BD39" i="14" s="1"/>
  <c r="BD40" i="14" s="1"/>
  <c r="BD41" i="14" s="1"/>
  <c r="BD42" i="14" s="1"/>
  <c r="BD43" i="14" s="1"/>
  <c r="BD44" i="14" s="1"/>
  <c r="BD45" i="14" s="1"/>
  <c r="BD46" i="14" s="1"/>
  <c r="BD47" i="14" s="1"/>
  <c r="BD48" i="14" s="1"/>
  <c r="BD49" i="14" s="1"/>
  <c r="BD50" i="14" s="1"/>
  <c r="BD51" i="14" s="1"/>
  <c r="BD52" i="14" s="1"/>
  <c r="BD53" i="14" s="1"/>
  <c r="BD54" i="14" s="1"/>
  <c r="BD55" i="14" s="1"/>
  <c r="BD56" i="14" s="1"/>
  <c r="BD57" i="14" s="1"/>
  <c r="BD58" i="14" s="1"/>
  <c r="BD59" i="14" s="1"/>
  <c r="BD60" i="14" s="1"/>
  <c r="BD61" i="14" s="1"/>
  <c r="BD62" i="14" s="1"/>
  <c r="BD63" i="14" s="1"/>
  <c r="BD64" i="14" s="1"/>
  <c r="BD65" i="14" s="1"/>
  <c r="BD66" i="14" s="1"/>
  <c r="BD67" i="14" s="1"/>
  <c r="BD68" i="14" s="1"/>
  <c r="BD69" i="14" s="1"/>
  <c r="BD70" i="14" s="1"/>
  <c r="BD71" i="14" s="1"/>
  <c r="BD72" i="14" s="1"/>
  <c r="BD73" i="14" s="1"/>
  <c r="BD74" i="14" s="1"/>
  <c r="BD75" i="14" s="1"/>
  <c r="BD76" i="14" s="1"/>
  <c r="BD77" i="14" s="1"/>
  <c r="BD78" i="14" s="1"/>
  <c r="BD79" i="14" s="1"/>
  <c r="BD80" i="14" s="1"/>
  <c r="BD81" i="14" s="1"/>
  <c r="BD82" i="14" s="1"/>
  <c r="BD83" i="14" s="1"/>
  <c r="BD84" i="14" s="1"/>
  <c r="BD85" i="14" s="1"/>
  <c r="BD86" i="14" s="1"/>
  <c r="BD87" i="14" s="1"/>
  <c r="BD88" i="14" s="1"/>
  <c r="BD89" i="14" s="1"/>
  <c r="BD90" i="14" s="1"/>
  <c r="BD91" i="14" s="1"/>
  <c r="BD92" i="14" s="1"/>
  <c r="BD93" i="14" s="1"/>
  <c r="BD94" i="14" s="1"/>
  <c r="BD95" i="14" s="1"/>
  <c r="BD96" i="14" s="1"/>
  <c r="BD97" i="14" s="1"/>
  <c r="BD98" i="14" s="1"/>
  <c r="BD99" i="14" s="1"/>
  <c r="BD100" i="14" s="1"/>
  <c r="BD101" i="14" s="1"/>
  <c r="BD102" i="14" s="1"/>
  <c r="BD103" i="14" s="1"/>
  <c r="BD104" i="14" s="1"/>
  <c r="BD105" i="14" s="1"/>
  <c r="BD106" i="14" s="1"/>
  <c r="BD107" i="14" s="1"/>
  <c r="BD108" i="14" s="1"/>
  <c r="BD109" i="14" s="1"/>
  <c r="BD110" i="14" s="1"/>
  <c r="BD111" i="14" s="1"/>
  <c r="BD112" i="14" s="1"/>
  <c r="BD113" i="14" s="1"/>
  <c r="BD114" i="14" s="1"/>
  <c r="BD115" i="14" s="1"/>
  <c r="BD116" i="14" s="1"/>
  <c r="BD117" i="14" s="1"/>
  <c r="BD118" i="14" s="1"/>
  <c r="BD119" i="14" s="1"/>
  <c r="BD120" i="14" s="1"/>
  <c r="BD121" i="14" s="1"/>
  <c r="BD122" i="14" s="1"/>
  <c r="BD123" i="14" s="1"/>
  <c r="BD124" i="14" s="1"/>
  <c r="CR6" i="14"/>
  <c r="CR7" i="14" s="1"/>
  <c r="CR8" i="14" s="1"/>
  <c r="CR9" i="14" s="1"/>
  <c r="CR10" i="14" s="1"/>
  <c r="CR11" i="14" s="1"/>
  <c r="CR12" i="14" s="1"/>
  <c r="CR13" i="14" s="1"/>
  <c r="CR14" i="14" s="1"/>
  <c r="CR15" i="14" s="1"/>
  <c r="CR16" i="14" s="1"/>
  <c r="CR17" i="14" s="1"/>
  <c r="CR18" i="14" s="1"/>
  <c r="CR19" i="14" s="1"/>
  <c r="CR20" i="14" s="1"/>
  <c r="CR21" i="14" s="1"/>
  <c r="CR22" i="14" s="1"/>
  <c r="CR23" i="14" s="1"/>
  <c r="CR24" i="14" s="1"/>
  <c r="CR25" i="14" s="1"/>
  <c r="CR26" i="14" s="1"/>
  <c r="CR27" i="14" s="1"/>
  <c r="CR28" i="14" s="1"/>
  <c r="CR29" i="14" s="1"/>
  <c r="CR30" i="14" s="1"/>
  <c r="CR31" i="14" s="1"/>
  <c r="CR32" i="14" s="1"/>
  <c r="CR33" i="14" s="1"/>
  <c r="CR34" i="14" s="1"/>
  <c r="CR35" i="14" s="1"/>
  <c r="CR36" i="14" s="1"/>
  <c r="CR37" i="14" s="1"/>
  <c r="CR38" i="14" s="1"/>
  <c r="CR39" i="14" s="1"/>
  <c r="CR40" i="14" s="1"/>
  <c r="CR41" i="14" s="1"/>
  <c r="CR42" i="14" s="1"/>
  <c r="CR43" i="14" s="1"/>
  <c r="CR44" i="14" s="1"/>
  <c r="CR45" i="14" s="1"/>
  <c r="CR46" i="14" s="1"/>
  <c r="CR47" i="14" s="1"/>
  <c r="CR48" i="14" s="1"/>
  <c r="CR49" i="14" s="1"/>
  <c r="CR50" i="14" s="1"/>
  <c r="CR51" i="14" s="1"/>
  <c r="CR52" i="14" s="1"/>
  <c r="CR53" i="14" s="1"/>
  <c r="CR54" i="14" s="1"/>
  <c r="CR55" i="14" s="1"/>
  <c r="CR56" i="14" s="1"/>
  <c r="CR57" i="14" s="1"/>
  <c r="CR58" i="14" s="1"/>
  <c r="CR59" i="14" s="1"/>
  <c r="CR60" i="14" s="1"/>
  <c r="CR61" i="14" s="1"/>
  <c r="CR62" i="14" s="1"/>
  <c r="CR63" i="14" s="1"/>
  <c r="CR64" i="14" s="1"/>
  <c r="CR65" i="14" s="1"/>
  <c r="CR66" i="14" s="1"/>
  <c r="CR67" i="14" s="1"/>
  <c r="CR68" i="14" s="1"/>
  <c r="CR69" i="14" s="1"/>
  <c r="CR70" i="14" s="1"/>
  <c r="CR71" i="14" s="1"/>
  <c r="CR72" i="14" s="1"/>
  <c r="CR73" i="14" s="1"/>
  <c r="CR74" i="14" s="1"/>
  <c r="CR75" i="14" s="1"/>
  <c r="CR76" i="14" s="1"/>
  <c r="CR77" i="14" s="1"/>
  <c r="CR78" i="14" s="1"/>
  <c r="CR79" i="14" s="1"/>
  <c r="CR80" i="14" s="1"/>
  <c r="CR81" i="14" s="1"/>
  <c r="CR82" i="14" s="1"/>
  <c r="CR83" i="14" s="1"/>
  <c r="CR84" i="14" s="1"/>
  <c r="CR85" i="14" s="1"/>
  <c r="CR86" i="14" s="1"/>
  <c r="CR87" i="14" s="1"/>
  <c r="CR88" i="14" s="1"/>
  <c r="CR89" i="14" s="1"/>
  <c r="CR90" i="14" s="1"/>
  <c r="CR91" i="14" s="1"/>
  <c r="CR92" i="14" s="1"/>
  <c r="CR93" i="14" s="1"/>
  <c r="CR94" i="14" s="1"/>
  <c r="CR95" i="14" s="1"/>
  <c r="CR96" i="14" s="1"/>
  <c r="CR97" i="14" s="1"/>
  <c r="CR98" i="14" s="1"/>
  <c r="CR99" i="14" s="1"/>
  <c r="CR100" i="14" s="1"/>
  <c r="CR101" i="14" s="1"/>
  <c r="CR102" i="14" s="1"/>
  <c r="CR103" i="14" s="1"/>
  <c r="CR104" i="14" s="1"/>
  <c r="CR105" i="14" s="1"/>
  <c r="CR106" i="14" s="1"/>
  <c r="CR107" i="14" s="1"/>
  <c r="CR108" i="14" s="1"/>
  <c r="CR109" i="14" s="1"/>
  <c r="CR110" i="14" s="1"/>
  <c r="CR111" i="14" s="1"/>
  <c r="CR112" i="14" s="1"/>
  <c r="CR113" i="14" s="1"/>
  <c r="CR114" i="14" s="1"/>
  <c r="CR115" i="14" s="1"/>
  <c r="CR116" i="14" s="1"/>
  <c r="CR117" i="14" s="1"/>
  <c r="CR118" i="14" s="1"/>
  <c r="CR119" i="14" s="1"/>
  <c r="CR120" i="14" s="1"/>
  <c r="CR121" i="14" s="1"/>
  <c r="CR122" i="14" s="1"/>
  <c r="CR123" i="14" s="1"/>
  <c r="CR124" i="14" s="1"/>
  <c r="A13" i="6"/>
  <c r="AU6" i="14"/>
  <c r="AU7" i="14" s="1"/>
  <c r="AU8" i="14" s="1"/>
  <c r="AU9" i="14" s="1"/>
  <c r="AU10" i="14" s="1"/>
  <c r="AU11" i="14" s="1"/>
  <c r="AU12" i="14" s="1"/>
  <c r="AU13" i="14" s="1"/>
  <c r="AU14" i="14" s="1"/>
  <c r="AU15" i="14" s="1"/>
  <c r="AU16" i="14" s="1"/>
  <c r="AU17" i="14" s="1"/>
  <c r="AU18" i="14" s="1"/>
  <c r="AU19" i="14" s="1"/>
  <c r="AU20" i="14" s="1"/>
  <c r="AU21" i="14" s="1"/>
  <c r="AU22" i="14" s="1"/>
  <c r="AU23" i="14" s="1"/>
  <c r="AU24" i="14" s="1"/>
  <c r="AU25" i="14" s="1"/>
  <c r="AU26" i="14" s="1"/>
  <c r="AU27" i="14" s="1"/>
  <c r="AU28" i="14" s="1"/>
  <c r="AU29" i="14" s="1"/>
  <c r="AU30" i="14" s="1"/>
  <c r="AU31" i="14" s="1"/>
  <c r="AU32" i="14" s="1"/>
  <c r="AU33" i="14" s="1"/>
  <c r="AU34" i="14" s="1"/>
  <c r="AU35" i="14" s="1"/>
  <c r="AU36" i="14" s="1"/>
  <c r="AU37" i="14" s="1"/>
  <c r="AU38" i="14" s="1"/>
  <c r="AU39" i="14" s="1"/>
  <c r="AU40" i="14" s="1"/>
  <c r="AU41" i="14" s="1"/>
  <c r="AU42" i="14" s="1"/>
  <c r="AU43" i="14" s="1"/>
  <c r="AU44" i="14" s="1"/>
  <c r="AU45" i="14" s="1"/>
  <c r="AU46" i="14" s="1"/>
  <c r="AU47" i="14" s="1"/>
  <c r="AU48" i="14" s="1"/>
  <c r="AU49" i="14" s="1"/>
  <c r="AU50" i="14" s="1"/>
  <c r="AU51" i="14" s="1"/>
  <c r="AU52" i="14" s="1"/>
  <c r="AU53" i="14" s="1"/>
  <c r="AU54" i="14" s="1"/>
  <c r="AU55" i="14" s="1"/>
  <c r="AU56" i="14" s="1"/>
  <c r="AU57" i="14" s="1"/>
  <c r="AU58" i="14" s="1"/>
  <c r="AU59" i="14" s="1"/>
  <c r="AU60" i="14" s="1"/>
  <c r="AU61" i="14" s="1"/>
  <c r="AU62" i="14" s="1"/>
  <c r="AU63" i="14" s="1"/>
  <c r="AU64" i="14" s="1"/>
  <c r="AU65" i="14" s="1"/>
  <c r="AU66" i="14" s="1"/>
  <c r="AU67" i="14" s="1"/>
  <c r="AU68" i="14" s="1"/>
  <c r="AU69" i="14" s="1"/>
  <c r="AU70" i="14" s="1"/>
  <c r="AU71" i="14" s="1"/>
  <c r="AU72" i="14" s="1"/>
  <c r="AU73" i="14" s="1"/>
  <c r="AU74" i="14" s="1"/>
  <c r="AU75" i="14" s="1"/>
  <c r="AU76" i="14" s="1"/>
  <c r="AU77" i="14" s="1"/>
  <c r="AU78" i="14" s="1"/>
  <c r="AU79" i="14" s="1"/>
  <c r="AU80" i="14" s="1"/>
  <c r="AU81" i="14" s="1"/>
  <c r="AU82" i="14" s="1"/>
  <c r="AU83" i="14" s="1"/>
  <c r="AU84" i="14" s="1"/>
  <c r="AU85" i="14" s="1"/>
  <c r="AU86" i="14" s="1"/>
  <c r="AU87" i="14" s="1"/>
  <c r="AU88" i="14" s="1"/>
  <c r="AU89" i="14" s="1"/>
  <c r="AU90" i="14" s="1"/>
  <c r="AU91" i="14" s="1"/>
  <c r="AU92" i="14" s="1"/>
  <c r="AU93" i="14" s="1"/>
  <c r="AU94" i="14" s="1"/>
  <c r="AU95" i="14" s="1"/>
  <c r="AU96" i="14" s="1"/>
  <c r="AU97" i="14" s="1"/>
  <c r="AU98" i="14" s="1"/>
  <c r="AU99" i="14" s="1"/>
  <c r="AU100" i="14" s="1"/>
  <c r="AU101" i="14" s="1"/>
  <c r="AU102" i="14" s="1"/>
  <c r="AU103" i="14" s="1"/>
  <c r="AU104" i="14" s="1"/>
  <c r="AU105" i="14" s="1"/>
  <c r="AU106" i="14" s="1"/>
  <c r="AU107" i="14" s="1"/>
  <c r="AU108" i="14" s="1"/>
  <c r="AU109" i="14" s="1"/>
  <c r="AU110" i="14" s="1"/>
  <c r="AU111" i="14" s="1"/>
  <c r="AU112" i="14" s="1"/>
  <c r="AU113" i="14" s="1"/>
  <c r="AU114" i="14" s="1"/>
  <c r="AU115" i="14" s="1"/>
  <c r="AU116" i="14" s="1"/>
  <c r="AU117" i="14" s="1"/>
  <c r="AU118" i="14" s="1"/>
  <c r="AU119" i="14" s="1"/>
  <c r="AU120" i="14" s="1"/>
  <c r="AU121" i="14" s="1"/>
  <c r="AU122" i="14" s="1"/>
  <c r="AU123" i="14" s="1"/>
  <c r="AU124" i="14" s="1"/>
  <c r="CI6" i="14"/>
  <c r="CI7" i="14" s="1"/>
  <c r="CI8" i="14" s="1"/>
  <c r="CI9" i="14" s="1"/>
  <c r="CI10" i="14" s="1"/>
  <c r="CI11" i="14" s="1"/>
  <c r="CI12" i="14" s="1"/>
  <c r="CI13" i="14" s="1"/>
  <c r="CI14" i="14" s="1"/>
  <c r="CI15" i="14" s="1"/>
  <c r="CI16" i="14" s="1"/>
  <c r="CI17" i="14" s="1"/>
  <c r="CI18" i="14" s="1"/>
  <c r="CI19" i="14" s="1"/>
  <c r="CI20" i="14" s="1"/>
  <c r="CI21" i="14" s="1"/>
  <c r="CI22" i="14" s="1"/>
  <c r="CI23" i="14" s="1"/>
  <c r="CI24" i="14" s="1"/>
  <c r="CI25" i="14" s="1"/>
  <c r="CI26" i="14" s="1"/>
  <c r="CI27" i="14" s="1"/>
  <c r="CI28" i="14" s="1"/>
  <c r="CI29" i="14" s="1"/>
  <c r="CI30" i="14" s="1"/>
  <c r="CI31" i="14" s="1"/>
  <c r="CI32" i="14" s="1"/>
  <c r="CI33" i="14" s="1"/>
  <c r="CI34" i="14" s="1"/>
  <c r="CI35" i="14" s="1"/>
  <c r="CI36" i="14" s="1"/>
  <c r="CI37" i="14" s="1"/>
  <c r="CI38" i="14" s="1"/>
  <c r="CI39" i="14" s="1"/>
  <c r="CI40" i="14" s="1"/>
  <c r="CI41" i="14" s="1"/>
  <c r="CI42" i="14" s="1"/>
  <c r="CI43" i="14" s="1"/>
  <c r="CI44" i="14" s="1"/>
  <c r="CI45" i="14" s="1"/>
  <c r="CI46" i="14" s="1"/>
  <c r="CI47" i="14" s="1"/>
  <c r="CI48" i="14" s="1"/>
  <c r="CI49" i="14" s="1"/>
  <c r="CI50" i="14" s="1"/>
  <c r="CI51" i="14" s="1"/>
  <c r="CI52" i="14" s="1"/>
  <c r="CI53" i="14" s="1"/>
  <c r="CI54" i="14" s="1"/>
  <c r="CI55" i="14" s="1"/>
  <c r="CI56" i="14" s="1"/>
  <c r="CI57" i="14" s="1"/>
  <c r="CI58" i="14" s="1"/>
  <c r="CI59" i="14" s="1"/>
  <c r="CI60" i="14" s="1"/>
  <c r="CI61" i="14" s="1"/>
  <c r="CI62" i="14" s="1"/>
  <c r="CI63" i="14" s="1"/>
  <c r="CI64" i="14" s="1"/>
  <c r="CI65" i="14" s="1"/>
  <c r="CI66" i="14" s="1"/>
  <c r="CI67" i="14" s="1"/>
  <c r="CI68" i="14" s="1"/>
  <c r="CI69" i="14" s="1"/>
  <c r="CI70" i="14" s="1"/>
  <c r="CI71" i="14" s="1"/>
  <c r="CI72" i="14" s="1"/>
  <c r="CI73" i="14" s="1"/>
  <c r="CI74" i="14" s="1"/>
  <c r="CI75" i="14" s="1"/>
  <c r="CI76" i="14" s="1"/>
  <c r="CI77" i="14" s="1"/>
  <c r="CI78" i="14" s="1"/>
  <c r="CI79" i="14" s="1"/>
  <c r="CI80" i="14" s="1"/>
  <c r="CI81" i="14" s="1"/>
  <c r="CI82" i="14" s="1"/>
  <c r="CI83" i="14" s="1"/>
  <c r="CI84" i="14" s="1"/>
  <c r="CI85" i="14" s="1"/>
  <c r="CI86" i="14" s="1"/>
  <c r="CI87" i="14" s="1"/>
  <c r="CI88" i="14" s="1"/>
  <c r="CI89" i="14" s="1"/>
  <c r="CI90" i="14" s="1"/>
  <c r="CI91" i="14" s="1"/>
  <c r="CI92" i="14" s="1"/>
  <c r="CI93" i="14" s="1"/>
  <c r="CI94" i="14" s="1"/>
  <c r="CI95" i="14" s="1"/>
  <c r="CI96" i="14" s="1"/>
  <c r="CI97" i="14" s="1"/>
  <c r="CI98" i="14" s="1"/>
  <c r="CI99" i="14" s="1"/>
  <c r="CI100" i="14" s="1"/>
  <c r="CI101" i="14" s="1"/>
  <c r="CI102" i="14" s="1"/>
  <c r="CI103" i="14" s="1"/>
  <c r="CI104" i="14" s="1"/>
  <c r="CI105" i="14" s="1"/>
  <c r="CI106" i="14" s="1"/>
  <c r="CI107" i="14" s="1"/>
  <c r="CI108" i="14" s="1"/>
  <c r="CI109" i="14" s="1"/>
  <c r="CI110" i="14" s="1"/>
  <c r="CI111" i="14" s="1"/>
  <c r="CI112" i="14" s="1"/>
  <c r="CI113" i="14" s="1"/>
  <c r="CI114" i="14" s="1"/>
  <c r="CI115" i="14" s="1"/>
  <c r="CI116" i="14" s="1"/>
  <c r="CI117" i="14" s="1"/>
  <c r="CI118" i="14" s="1"/>
  <c r="CI119" i="14" s="1"/>
  <c r="CI120" i="14" s="1"/>
  <c r="CI121" i="14" s="1"/>
  <c r="CI122" i="14" s="1"/>
  <c r="CI123" i="14" s="1"/>
  <c r="CI124" i="14" s="1"/>
  <c r="I21" i="10"/>
  <c r="AB6" i="14"/>
  <c r="AB7" i="14" s="1"/>
  <c r="AB8" i="14" s="1"/>
  <c r="AB9" i="14" s="1"/>
  <c r="AB10" i="14" s="1"/>
  <c r="AB11" i="14" s="1"/>
  <c r="AB12" i="14" s="1"/>
  <c r="AB13" i="14" s="1"/>
  <c r="AB14" i="14" s="1"/>
  <c r="AB15" i="14" s="1"/>
  <c r="AB16" i="14" s="1"/>
  <c r="AB17" i="14" s="1"/>
  <c r="AB18" i="14" s="1"/>
  <c r="AB19" i="14" s="1"/>
  <c r="AB20" i="14" s="1"/>
  <c r="AB21" i="14" s="1"/>
  <c r="AB22" i="14" s="1"/>
  <c r="AB23" i="14" s="1"/>
  <c r="AB24" i="14" s="1"/>
  <c r="AB25" i="14" s="1"/>
  <c r="AB26" i="14" s="1"/>
  <c r="AB27" i="14" s="1"/>
  <c r="AB28" i="14" s="1"/>
  <c r="AB29" i="14" s="1"/>
  <c r="AB30" i="14" s="1"/>
  <c r="AB31" i="14" s="1"/>
  <c r="AB32" i="14" s="1"/>
  <c r="AB33" i="14" s="1"/>
  <c r="AB34" i="14" s="1"/>
  <c r="AB35" i="14" s="1"/>
  <c r="AB36" i="14" s="1"/>
  <c r="AB37" i="14" s="1"/>
  <c r="AB38" i="14" s="1"/>
  <c r="AB39" i="14" s="1"/>
  <c r="AB40" i="14" s="1"/>
  <c r="AB41" i="14" s="1"/>
  <c r="AB42" i="14" s="1"/>
  <c r="AB43" i="14" s="1"/>
  <c r="AB44" i="14" s="1"/>
  <c r="AB45" i="14" s="1"/>
  <c r="AB46" i="14" s="1"/>
  <c r="AB47" i="14" s="1"/>
  <c r="AB48" i="14" s="1"/>
  <c r="AB49" i="14" s="1"/>
  <c r="AB50" i="14" s="1"/>
  <c r="AB51" i="14" s="1"/>
  <c r="AB52" i="14" s="1"/>
  <c r="AB53" i="14" s="1"/>
  <c r="AB54" i="14" s="1"/>
  <c r="AB55" i="14" s="1"/>
  <c r="AB56" i="14" s="1"/>
  <c r="AB57" i="14" s="1"/>
  <c r="AB58" i="14" s="1"/>
  <c r="AB59" i="14" s="1"/>
  <c r="AB60" i="14" s="1"/>
  <c r="AB61" i="14" s="1"/>
  <c r="AB62" i="14" s="1"/>
  <c r="AB63" i="14" s="1"/>
  <c r="AB64" i="14" s="1"/>
  <c r="AB65" i="14" s="1"/>
  <c r="AB66" i="14" s="1"/>
  <c r="AB67" i="14" s="1"/>
  <c r="AB68" i="14" s="1"/>
  <c r="AB69" i="14" s="1"/>
  <c r="AB70" i="14" s="1"/>
  <c r="AB71" i="14" s="1"/>
  <c r="AB72" i="14" s="1"/>
  <c r="AB73" i="14" s="1"/>
  <c r="AB74" i="14" s="1"/>
  <c r="AB75" i="14" s="1"/>
  <c r="AB76" i="14" s="1"/>
  <c r="AB77" i="14" s="1"/>
  <c r="AB78" i="14" s="1"/>
  <c r="AB79" i="14" s="1"/>
  <c r="AB80" i="14" s="1"/>
  <c r="AB81" i="14" s="1"/>
  <c r="AB82" i="14" s="1"/>
  <c r="AB83" i="14" s="1"/>
  <c r="AB84" i="14" s="1"/>
  <c r="AB85" i="14" s="1"/>
  <c r="AB86" i="14" s="1"/>
  <c r="AB87" i="14" s="1"/>
  <c r="AB88" i="14" s="1"/>
  <c r="AB89" i="14" s="1"/>
  <c r="AB90" i="14" s="1"/>
  <c r="AB91" i="14" s="1"/>
  <c r="AB92" i="14" s="1"/>
  <c r="AB93" i="14" s="1"/>
  <c r="AB94" i="14" s="1"/>
  <c r="AB95" i="14" s="1"/>
  <c r="AB96" i="14" s="1"/>
  <c r="AB97" i="14" s="1"/>
  <c r="AB98" i="14" s="1"/>
  <c r="AB99" i="14" s="1"/>
  <c r="AB100" i="14" s="1"/>
  <c r="AB101" i="14" s="1"/>
  <c r="AB102" i="14" s="1"/>
  <c r="AB103" i="14" s="1"/>
  <c r="AB104" i="14" s="1"/>
  <c r="AB105" i="14" s="1"/>
  <c r="AB106" i="14" s="1"/>
  <c r="AB107" i="14" s="1"/>
  <c r="AB108" i="14" s="1"/>
  <c r="AB109" i="14" s="1"/>
  <c r="AB110" i="14" s="1"/>
  <c r="AB111" i="14" s="1"/>
  <c r="AB112" i="14" s="1"/>
  <c r="AB113" i="14" s="1"/>
  <c r="AB114" i="14" s="1"/>
  <c r="AB115" i="14" s="1"/>
  <c r="AB116" i="14" s="1"/>
  <c r="AB117" i="14" s="1"/>
  <c r="AB118" i="14" s="1"/>
  <c r="AB119" i="14" s="1"/>
  <c r="AB120" i="14" s="1"/>
  <c r="AB121" i="14" s="1"/>
  <c r="AB122" i="14" s="1"/>
  <c r="AB123" i="14" s="1"/>
  <c r="AB124" i="14" s="1"/>
  <c r="BP6" i="14"/>
  <c r="BP7" i="14" s="1"/>
  <c r="BP8" i="14" s="1"/>
  <c r="BP9" i="14" s="1"/>
  <c r="BP10" i="14" s="1"/>
  <c r="BP11" i="14" s="1"/>
  <c r="BP12" i="14" s="1"/>
  <c r="BP13" i="14" s="1"/>
  <c r="BP14" i="14" s="1"/>
  <c r="BP15" i="14" s="1"/>
  <c r="BP16" i="14" s="1"/>
  <c r="BP17" i="14" s="1"/>
  <c r="BP18" i="14" s="1"/>
  <c r="BP19" i="14" s="1"/>
  <c r="BP20" i="14" s="1"/>
  <c r="BP21" i="14" s="1"/>
  <c r="BP22" i="14" s="1"/>
  <c r="BP23" i="14" s="1"/>
  <c r="BP24" i="14" s="1"/>
  <c r="BP25" i="14" s="1"/>
  <c r="BP26" i="14" s="1"/>
  <c r="BP27" i="14" s="1"/>
  <c r="BP28" i="14" s="1"/>
  <c r="BP29" i="14" s="1"/>
  <c r="BP30" i="14" s="1"/>
  <c r="BP31" i="14" s="1"/>
  <c r="BP32" i="14" s="1"/>
  <c r="BP33" i="14" s="1"/>
  <c r="BP34" i="14" s="1"/>
  <c r="BP35" i="14" s="1"/>
  <c r="BP36" i="14" s="1"/>
  <c r="BP37" i="14" s="1"/>
  <c r="BP38" i="14" s="1"/>
  <c r="BP39" i="14" s="1"/>
  <c r="BP40" i="14" s="1"/>
  <c r="BP41" i="14" s="1"/>
  <c r="BP42" i="14" s="1"/>
  <c r="BP43" i="14" s="1"/>
  <c r="BP44" i="14" s="1"/>
  <c r="BP45" i="14" s="1"/>
  <c r="BP46" i="14" s="1"/>
  <c r="BP47" i="14" s="1"/>
  <c r="BP48" i="14" s="1"/>
  <c r="BP49" i="14" s="1"/>
  <c r="BP50" i="14" s="1"/>
  <c r="BP51" i="14" s="1"/>
  <c r="BP52" i="14" s="1"/>
  <c r="BP53" i="14" s="1"/>
  <c r="BP54" i="14" s="1"/>
  <c r="BP55" i="14" s="1"/>
  <c r="BP56" i="14" s="1"/>
  <c r="BP57" i="14" s="1"/>
  <c r="BP58" i="14" s="1"/>
  <c r="BP59" i="14" s="1"/>
  <c r="BP60" i="14" s="1"/>
  <c r="BP61" i="14" s="1"/>
  <c r="BP62" i="14" s="1"/>
  <c r="BP63" i="14" s="1"/>
  <c r="BP64" i="14" s="1"/>
  <c r="BP65" i="14" s="1"/>
  <c r="BP66" i="14" s="1"/>
  <c r="BP67" i="14" s="1"/>
  <c r="BP68" i="14" s="1"/>
  <c r="BP69" i="14" s="1"/>
  <c r="BP70" i="14" s="1"/>
  <c r="BP71" i="14" s="1"/>
  <c r="BP72" i="14" s="1"/>
  <c r="BP73" i="14" s="1"/>
  <c r="BP74" i="14" s="1"/>
  <c r="BP75" i="14" s="1"/>
  <c r="BP76" i="14" s="1"/>
  <c r="BP77" i="14" s="1"/>
  <c r="BP78" i="14" s="1"/>
  <c r="BP79" i="14" s="1"/>
  <c r="BP80" i="14" s="1"/>
  <c r="BP81" i="14" s="1"/>
  <c r="BP82" i="14" s="1"/>
  <c r="BP83" i="14" s="1"/>
  <c r="BP84" i="14" s="1"/>
  <c r="BP85" i="14" s="1"/>
  <c r="BP86" i="14" s="1"/>
  <c r="BP87" i="14" s="1"/>
  <c r="BP88" i="14" s="1"/>
  <c r="BP89" i="14" s="1"/>
  <c r="BP90" i="14" s="1"/>
  <c r="BP91" i="14" s="1"/>
  <c r="BP92" i="14" s="1"/>
  <c r="BP93" i="14" s="1"/>
  <c r="BP94" i="14" s="1"/>
  <c r="BP95" i="14" s="1"/>
  <c r="BP96" i="14" s="1"/>
  <c r="BP97" i="14" s="1"/>
  <c r="BP98" i="14" s="1"/>
  <c r="BP99" i="14" s="1"/>
  <c r="BP100" i="14" s="1"/>
  <c r="BP101" i="14" s="1"/>
  <c r="BP102" i="14" s="1"/>
  <c r="BP103" i="14" s="1"/>
  <c r="BP104" i="14" s="1"/>
  <c r="BP105" i="14" s="1"/>
  <c r="BP106" i="14" s="1"/>
  <c r="BP107" i="14" s="1"/>
  <c r="BP108" i="14" s="1"/>
  <c r="BP109" i="14" s="1"/>
  <c r="BP110" i="14" s="1"/>
  <c r="BP111" i="14" s="1"/>
  <c r="BP112" i="14" s="1"/>
  <c r="BP113" i="14" s="1"/>
  <c r="BP114" i="14" s="1"/>
  <c r="BP115" i="14" s="1"/>
  <c r="BP116" i="14" s="1"/>
  <c r="BP117" i="14" s="1"/>
  <c r="BP118" i="14" s="1"/>
  <c r="BP119" i="14" s="1"/>
  <c r="BP120" i="14" s="1"/>
  <c r="BP121" i="14" s="1"/>
  <c r="BP122" i="14" s="1"/>
  <c r="BP123" i="14" s="1"/>
  <c r="BP124" i="14" s="1"/>
  <c r="BZ6" i="14"/>
  <c r="BZ7" i="14" s="1"/>
  <c r="BZ8" i="14" s="1"/>
  <c r="BZ9" i="14" s="1"/>
  <c r="BZ10" i="14" s="1"/>
  <c r="BZ11" i="14" s="1"/>
  <c r="BZ12" i="14" s="1"/>
  <c r="BZ13" i="14" s="1"/>
  <c r="BZ14" i="14" s="1"/>
  <c r="BZ15" i="14" s="1"/>
  <c r="BZ16" i="14" s="1"/>
  <c r="BZ17" i="14" s="1"/>
  <c r="BZ18" i="14" s="1"/>
  <c r="BZ19" i="14" s="1"/>
  <c r="BZ20" i="14" s="1"/>
  <c r="BZ21" i="14" s="1"/>
  <c r="BZ22" i="14" s="1"/>
  <c r="BZ23" i="14" s="1"/>
  <c r="BZ24" i="14" s="1"/>
  <c r="BZ25" i="14" s="1"/>
  <c r="BZ26" i="14" s="1"/>
  <c r="BZ27" i="14" s="1"/>
  <c r="BZ28" i="14" s="1"/>
  <c r="BZ29" i="14" s="1"/>
  <c r="BZ30" i="14" s="1"/>
  <c r="BZ31" i="14" s="1"/>
  <c r="BZ32" i="14" s="1"/>
  <c r="BZ33" i="14" s="1"/>
  <c r="BZ34" i="14" s="1"/>
  <c r="BZ35" i="14" s="1"/>
  <c r="BZ36" i="14" s="1"/>
  <c r="BZ37" i="14" s="1"/>
  <c r="BZ38" i="14" s="1"/>
  <c r="BZ39" i="14" s="1"/>
  <c r="BZ40" i="14" s="1"/>
  <c r="BZ41" i="14" s="1"/>
  <c r="BZ42" i="14" s="1"/>
  <c r="BZ43" i="14" s="1"/>
  <c r="BZ44" i="14" s="1"/>
  <c r="BZ45" i="14" s="1"/>
  <c r="BZ46" i="14" s="1"/>
  <c r="BZ47" i="14" s="1"/>
  <c r="BZ48" i="14" s="1"/>
  <c r="BZ49" i="14" s="1"/>
  <c r="BZ50" i="14" s="1"/>
  <c r="BZ51" i="14" s="1"/>
  <c r="BZ52" i="14" s="1"/>
  <c r="BZ53" i="14" s="1"/>
  <c r="BZ54" i="14" s="1"/>
  <c r="BZ55" i="14" s="1"/>
  <c r="BZ56" i="14" s="1"/>
  <c r="BZ57" i="14" s="1"/>
  <c r="BZ58" i="14" s="1"/>
  <c r="BZ59" i="14" s="1"/>
  <c r="BZ60" i="14" s="1"/>
  <c r="BZ61" i="14" s="1"/>
  <c r="BZ62" i="14" s="1"/>
  <c r="BZ63" i="14" s="1"/>
  <c r="BZ64" i="14" s="1"/>
  <c r="BZ65" i="14" s="1"/>
  <c r="BZ66" i="14" s="1"/>
  <c r="BZ67" i="14" s="1"/>
  <c r="BZ68" i="14" s="1"/>
  <c r="BZ69" i="14" s="1"/>
  <c r="BZ70" i="14" s="1"/>
  <c r="BZ71" i="14" s="1"/>
  <c r="BZ72" i="14" s="1"/>
  <c r="BZ73" i="14" s="1"/>
  <c r="BZ74" i="14" s="1"/>
  <c r="BZ75" i="14" s="1"/>
  <c r="BZ76" i="14" s="1"/>
  <c r="BZ77" i="14" s="1"/>
  <c r="BZ78" i="14" s="1"/>
  <c r="BZ79" i="14" s="1"/>
  <c r="BZ80" i="14" s="1"/>
  <c r="BZ81" i="14" s="1"/>
  <c r="BZ82" i="14" s="1"/>
  <c r="BZ83" i="14" s="1"/>
  <c r="BZ84" i="14" s="1"/>
  <c r="BZ85" i="14" s="1"/>
  <c r="BZ86" i="14" s="1"/>
  <c r="BZ87" i="14" s="1"/>
  <c r="BZ88" i="14" s="1"/>
  <c r="BZ89" i="14" s="1"/>
  <c r="BZ90" i="14" s="1"/>
  <c r="BZ91" i="14" s="1"/>
  <c r="BZ92" i="14" s="1"/>
  <c r="BZ93" i="14" s="1"/>
  <c r="BZ94" i="14" s="1"/>
  <c r="BZ95" i="14" s="1"/>
  <c r="BZ96" i="14" s="1"/>
  <c r="BZ97" i="14" s="1"/>
  <c r="BZ98" i="14" s="1"/>
  <c r="BZ99" i="14" s="1"/>
  <c r="BZ100" i="14" s="1"/>
  <c r="BZ101" i="14" s="1"/>
  <c r="BZ102" i="14" s="1"/>
  <c r="BZ103" i="14" s="1"/>
  <c r="BZ104" i="14" s="1"/>
  <c r="BZ105" i="14" s="1"/>
  <c r="BZ106" i="14" s="1"/>
  <c r="BZ107" i="14" s="1"/>
  <c r="BZ108" i="14" s="1"/>
  <c r="BZ109" i="14" s="1"/>
  <c r="BZ110" i="14" s="1"/>
  <c r="BZ111" i="14" s="1"/>
  <c r="BZ112" i="14" s="1"/>
  <c r="BZ113" i="14" s="1"/>
  <c r="BZ114" i="14" s="1"/>
  <c r="BZ115" i="14" s="1"/>
  <c r="BZ116" i="14" s="1"/>
  <c r="BZ117" i="14" s="1"/>
  <c r="BZ118" i="14" s="1"/>
  <c r="BZ119" i="14" s="1"/>
  <c r="BZ120" i="14" s="1"/>
  <c r="BZ121" i="14" s="1"/>
  <c r="BZ122" i="14" s="1"/>
  <c r="BZ123" i="14" s="1"/>
  <c r="BZ124" i="14" s="1"/>
  <c r="I111" i="10"/>
  <c r="U6" i="14"/>
  <c r="U7" i="14" s="1"/>
  <c r="U8" i="14" s="1"/>
  <c r="U9" i="14" s="1"/>
  <c r="U10" i="14" s="1"/>
  <c r="U11" i="14" s="1"/>
  <c r="U12" i="14" s="1"/>
  <c r="U13" i="14" s="1"/>
  <c r="U14" i="14" s="1"/>
  <c r="U15" i="14" s="1"/>
  <c r="U16" i="14" s="1"/>
  <c r="U17" i="14" s="1"/>
  <c r="U18" i="14" s="1"/>
  <c r="U19" i="14" s="1"/>
  <c r="U20" i="14" s="1"/>
  <c r="U21" i="14" s="1"/>
  <c r="U22" i="14" s="1"/>
  <c r="U23" i="14" s="1"/>
  <c r="U24" i="14" s="1"/>
  <c r="U25" i="14" s="1"/>
  <c r="U26" i="14" s="1"/>
  <c r="U27" i="14" s="1"/>
  <c r="U28" i="14" s="1"/>
  <c r="U29" i="14" s="1"/>
  <c r="U30" i="14" s="1"/>
  <c r="U31" i="14" s="1"/>
  <c r="U32" i="14" s="1"/>
  <c r="U33" i="14" s="1"/>
  <c r="U34" i="14" s="1"/>
  <c r="U35" i="14" s="1"/>
  <c r="U36" i="14" s="1"/>
  <c r="U37" i="14" s="1"/>
  <c r="U38" i="14" s="1"/>
  <c r="U39" i="14" s="1"/>
  <c r="U40" i="14" s="1"/>
  <c r="U41" i="14" s="1"/>
  <c r="U42" i="14" s="1"/>
  <c r="U43" i="14" s="1"/>
  <c r="U44" i="14" s="1"/>
  <c r="U45" i="14" s="1"/>
  <c r="U46" i="14" s="1"/>
  <c r="U47" i="14" s="1"/>
  <c r="U48" i="14" s="1"/>
  <c r="U49" i="14" s="1"/>
  <c r="U50" i="14" s="1"/>
  <c r="U51" i="14" s="1"/>
  <c r="U52" i="14" s="1"/>
  <c r="U53" i="14" s="1"/>
  <c r="U54" i="14" s="1"/>
  <c r="U55" i="14" s="1"/>
  <c r="U56" i="14" s="1"/>
  <c r="U57" i="14" s="1"/>
  <c r="U58" i="14" s="1"/>
  <c r="U59" i="14" s="1"/>
  <c r="U60" i="14" s="1"/>
  <c r="U61" i="14" s="1"/>
  <c r="U62" i="14" s="1"/>
  <c r="U63" i="14" s="1"/>
  <c r="U64" i="14" s="1"/>
  <c r="U65" i="14" s="1"/>
  <c r="U66" i="14" s="1"/>
  <c r="U67" i="14" s="1"/>
  <c r="U68" i="14" s="1"/>
  <c r="U69" i="14" s="1"/>
  <c r="U70" i="14" s="1"/>
  <c r="U71" i="14" s="1"/>
  <c r="U72" i="14" s="1"/>
  <c r="U73" i="14" s="1"/>
  <c r="U74" i="14" s="1"/>
  <c r="U75" i="14" s="1"/>
  <c r="U76" i="14" s="1"/>
  <c r="U77" i="14" s="1"/>
  <c r="U78" i="14" s="1"/>
  <c r="U79" i="14" s="1"/>
  <c r="U80" i="14" s="1"/>
  <c r="U81" i="14" s="1"/>
  <c r="U82" i="14" s="1"/>
  <c r="U83" i="14" s="1"/>
  <c r="U84" i="14" s="1"/>
  <c r="U85" i="14" s="1"/>
  <c r="U86" i="14" s="1"/>
  <c r="U87" i="14" s="1"/>
  <c r="U88" i="14" s="1"/>
  <c r="U89" i="14" s="1"/>
  <c r="U90" i="14" s="1"/>
  <c r="U91" i="14" s="1"/>
  <c r="U92" i="14" s="1"/>
  <c r="U93" i="14" s="1"/>
  <c r="U94" i="14" s="1"/>
  <c r="U95" i="14" s="1"/>
  <c r="U96" i="14" s="1"/>
  <c r="U97" i="14" s="1"/>
  <c r="U98" i="14" s="1"/>
  <c r="U99" i="14" s="1"/>
  <c r="U100" i="14" s="1"/>
  <c r="U101" i="14" s="1"/>
  <c r="U102" i="14" s="1"/>
  <c r="U103" i="14" s="1"/>
  <c r="U104" i="14" s="1"/>
  <c r="U105" i="14" s="1"/>
  <c r="U106" i="14" s="1"/>
  <c r="U107" i="14" s="1"/>
  <c r="U108" i="14" s="1"/>
  <c r="U109" i="14" s="1"/>
  <c r="U110" i="14" s="1"/>
  <c r="U111" i="14" s="1"/>
  <c r="U112" i="14" s="1"/>
  <c r="U113" i="14" s="1"/>
  <c r="U114" i="14" s="1"/>
  <c r="U115" i="14" s="1"/>
  <c r="U116" i="14" s="1"/>
  <c r="U117" i="14" s="1"/>
  <c r="U118" i="14" s="1"/>
  <c r="U119" i="14" s="1"/>
  <c r="U120" i="14" s="1"/>
  <c r="U121" i="14" s="1"/>
  <c r="U122" i="14" s="1"/>
  <c r="U123" i="14" s="1"/>
  <c r="U124" i="14" s="1"/>
  <c r="AE6" i="14"/>
  <c r="AE7" i="14" s="1"/>
  <c r="AE8" i="14" s="1"/>
  <c r="AE9" i="14" s="1"/>
  <c r="AE10" i="14" s="1"/>
  <c r="AE11" i="14" s="1"/>
  <c r="AE12" i="14" s="1"/>
  <c r="AE13" i="14" s="1"/>
  <c r="AE14" i="14" s="1"/>
  <c r="AE15" i="14" s="1"/>
  <c r="AE16" i="14" s="1"/>
  <c r="AE17" i="14" s="1"/>
  <c r="AE18" i="14" s="1"/>
  <c r="AE19" i="14" s="1"/>
  <c r="AE20" i="14" s="1"/>
  <c r="AE21" i="14" s="1"/>
  <c r="AE22" i="14" s="1"/>
  <c r="AE23" i="14" s="1"/>
  <c r="AE24" i="14" s="1"/>
  <c r="AE25" i="14" s="1"/>
  <c r="AE26" i="14" s="1"/>
  <c r="AE27" i="14" s="1"/>
  <c r="AE28" i="14" s="1"/>
  <c r="AE29" i="14" s="1"/>
  <c r="AE30" i="14" s="1"/>
  <c r="AE31" i="14" s="1"/>
  <c r="AE32" i="14" s="1"/>
  <c r="AE33" i="14" s="1"/>
  <c r="AE34" i="14" s="1"/>
  <c r="AE35" i="14" s="1"/>
  <c r="AE36" i="14" s="1"/>
  <c r="AE37" i="14" s="1"/>
  <c r="AE38" i="14" s="1"/>
  <c r="AE39" i="14" s="1"/>
  <c r="AE40" i="14" s="1"/>
  <c r="AE41" i="14" s="1"/>
  <c r="AE42" i="14" s="1"/>
  <c r="AE43" i="14" s="1"/>
  <c r="AE44" i="14" s="1"/>
  <c r="AE45" i="14" s="1"/>
  <c r="AE46" i="14" s="1"/>
  <c r="AE47" i="14" s="1"/>
  <c r="AE48" i="14" s="1"/>
  <c r="AE49" i="14" s="1"/>
  <c r="AE50" i="14" s="1"/>
  <c r="AE51" i="14" s="1"/>
  <c r="AE52" i="14" s="1"/>
  <c r="AE53" i="14" s="1"/>
  <c r="AE54" i="14" s="1"/>
  <c r="AE55" i="14" s="1"/>
  <c r="AE56" i="14" s="1"/>
  <c r="AE57" i="14" s="1"/>
  <c r="AE58" i="14" s="1"/>
  <c r="AE59" i="14" s="1"/>
  <c r="AE60" i="14" s="1"/>
  <c r="AE61" i="14" s="1"/>
  <c r="AE62" i="14" s="1"/>
  <c r="AE63" i="14" s="1"/>
  <c r="AE64" i="14" s="1"/>
  <c r="AE65" i="14" s="1"/>
  <c r="AE66" i="14" s="1"/>
  <c r="AE67" i="14" s="1"/>
  <c r="AE68" i="14" s="1"/>
  <c r="AE69" i="14" s="1"/>
  <c r="AE70" i="14" s="1"/>
  <c r="AE71" i="14" s="1"/>
  <c r="AE72" i="14" s="1"/>
  <c r="AE73" i="14" s="1"/>
  <c r="AE74" i="14" s="1"/>
  <c r="AE75" i="14" s="1"/>
  <c r="AE76" i="14" s="1"/>
  <c r="AE77" i="14" s="1"/>
  <c r="AE78" i="14" s="1"/>
  <c r="AE79" i="14" s="1"/>
  <c r="AE80" i="14" s="1"/>
  <c r="AE81" i="14" s="1"/>
  <c r="AE82" i="14" s="1"/>
  <c r="AE83" i="14" s="1"/>
  <c r="AE84" i="14" s="1"/>
  <c r="AE85" i="14" s="1"/>
  <c r="AE86" i="14" s="1"/>
  <c r="AE87" i="14" s="1"/>
  <c r="AE88" i="14" s="1"/>
  <c r="AE89" i="14" s="1"/>
  <c r="AE90" i="14" s="1"/>
  <c r="AE91" i="14" s="1"/>
  <c r="AE92" i="14" s="1"/>
  <c r="AE93" i="14" s="1"/>
  <c r="AE94" i="14" s="1"/>
  <c r="AE95" i="14" s="1"/>
  <c r="AE96" i="14" s="1"/>
  <c r="AE97" i="14" s="1"/>
  <c r="AE98" i="14" s="1"/>
  <c r="AE99" i="14" s="1"/>
  <c r="AE100" i="14" s="1"/>
  <c r="AE101" i="14" s="1"/>
  <c r="AE102" i="14" s="1"/>
  <c r="AE103" i="14" s="1"/>
  <c r="AE104" i="14" s="1"/>
  <c r="AE105" i="14" s="1"/>
  <c r="AE106" i="14" s="1"/>
  <c r="AE107" i="14" s="1"/>
  <c r="AE108" i="14" s="1"/>
  <c r="AE109" i="14" s="1"/>
  <c r="AE110" i="14" s="1"/>
  <c r="AE111" i="14" s="1"/>
  <c r="AE112" i="14" s="1"/>
  <c r="AE113" i="14" s="1"/>
  <c r="AE114" i="14" s="1"/>
  <c r="AE115" i="14" s="1"/>
  <c r="AE116" i="14" s="1"/>
  <c r="AE117" i="14" s="1"/>
  <c r="AE118" i="14" s="1"/>
  <c r="AE119" i="14" s="1"/>
  <c r="AE120" i="14" s="1"/>
  <c r="AE121" i="14" s="1"/>
  <c r="AE122" i="14" s="1"/>
  <c r="AE123" i="14" s="1"/>
  <c r="AE124" i="14" s="1"/>
  <c r="AO6" i="14"/>
  <c r="AO7" i="14" s="1"/>
  <c r="AO8" i="14" s="1"/>
  <c r="AO9" i="14" s="1"/>
  <c r="AO10" i="14" s="1"/>
  <c r="AO11" i="14" s="1"/>
  <c r="AO12" i="14" s="1"/>
  <c r="AO13" i="14" s="1"/>
  <c r="AO14" i="14" s="1"/>
  <c r="AO15" i="14" s="1"/>
  <c r="AO16" i="14" s="1"/>
  <c r="AO17" i="14" s="1"/>
  <c r="AO18" i="14" s="1"/>
  <c r="AO19" i="14" s="1"/>
  <c r="AO20" i="14" s="1"/>
  <c r="AO21" i="14" s="1"/>
  <c r="AO22" i="14" s="1"/>
  <c r="AO23" i="14" s="1"/>
  <c r="AO24" i="14" s="1"/>
  <c r="AO25" i="14" s="1"/>
  <c r="AO26" i="14" s="1"/>
  <c r="AO27" i="14" s="1"/>
  <c r="AO28" i="14" s="1"/>
  <c r="AO29" i="14" s="1"/>
  <c r="AO30" i="14" s="1"/>
  <c r="AO31" i="14" s="1"/>
  <c r="AO32" i="14" s="1"/>
  <c r="AO33" i="14" s="1"/>
  <c r="AO34" i="14" s="1"/>
  <c r="AO35" i="14" s="1"/>
  <c r="AO36" i="14" s="1"/>
  <c r="AO37" i="14" s="1"/>
  <c r="AO38" i="14" s="1"/>
  <c r="AO39" i="14" s="1"/>
  <c r="AO40" i="14" s="1"/>
  <c r="AO41" i="14" s="1"/>
  <c r="AO42" i="14" s="1"/>
  <c r="AO43" i="14" s="1"/>
  <c r="AO44" i="14" s="1"/>
  <c r="AO45" i="14" s="1"/>
  <c r="AO46" i="14" s="1"/>
  <c r="AO47" i="14" s="1"/>
  <c r="AO48" i="14" s="1"/>
  <c r="AO49" i="14" s="1"/>
  <c r="AO50" i="14" s="1"/>
  <c r="AO51" i="14" s="1"/>
  <c r="AO52" i="14" s="1"/>
  <c r="AO53" i="14" s="1"/>
  <c r="AO54" i="14" s="1"/>
  <c r="AO55" i="14" s="1"/>
  <c r="AO56" i="14" s="1"/>
  <c r="AO57" i="14" s="1"/>
  <c r="AO58" i="14" s="1"/>
  <c r="AO59" i="14" s="1"/>
  <c r="AO60" i="14" s="1"/>
  <c r="AO61" i="14" s="1"/>
  <c r="AO62" i="14" s="1"/>
  <c r="AO63" i="14" s="1"/>
  <c r="AO64" i="14" s="1"/>
  <c r="AO65" i="14" s="1"/>
  <c r="AO66" i="14" s="1"/>
  <c r="AO67" i="14" s="1"/>
  <c r="AO68" i="14" s="1"/>
  <c r="AO69" i="14" s="1"/>
  <c r="AO70" i="14" s="1"/>
  <c r="AO71" i="14" s="1"/>
  <c r="AO72" i="14" s="1"/>
  <c r="AO73" i="14" s="1"/>
  <c r="AO74" i="14" s="1"/>
  <c r="AO75" i="14" s="1"/>
  <c r="AO76" i="14" s="1"/>
  <c r="AO77" i="14" s="1"/>
  <c r="AO78" i="14" s="1"/>
  <c r="AO79" i="14" s="1"/>
  <c r="AO80" i="14" s="1"/>
  <c r="AO81" i="14" s="1"/>
  <c r="AO82" i="14" s="1"/>
  <c r="AO83" i="14" s="1"/>
  <c r="AO84" i="14" s="1"/>
  <c r="AO85" i="14" s="1"/>
  <c r="AO86" i="14" s="1"/>
  <c r="AO87" i="14" s="1"/>
  <c r="AO88" i="14" s="1"/>
  <c r="AO89" i="14" s="1"/>
  <c r="AO90" i="14" s="1"/>
  <c r="AO91" i="14" s="1"/>
  <c r="AO92" i="14" s="1"/>
  <c r="AO93" i="14" s="1"/>
  <c r="AO94" i="14" s="1"/>
  <c r="AO95" i="14" s="1"/>
  <c r="AO96" i="14" s="1"/>
  <c r="AO97" i="14" s="1"/>
  <c r="AO98" i="14" s="1"/>
  <c r="AO99" i="14" s="1"/>
  <c r="AO100" i="14" s="1"/>
  <c r="AO101" i="14" s="1"/>
  <c r="AO102" i="14" s="1"/>
  <c r="AO103" i="14" s="1"/>
  <c r="AO104" i="14" s="1"/>
  <c r="AO105" i="14" s="1"/>
  <c r="AO106" i="14" s="1"/>
  <c r="AO107" i="14" s="1"/>
  <c r="AO108" i="14" s="1"/>
  <c r="AO109" i="14" s="1"/>
  <c r="AO110" i="14" s="1"/>
  <c r="AO111" i="14" s="1"/>
  <c r="AO112" i="14" s="1"/>
  <c r="AO113" i="14" s="1"/>
  <c r="AO114" i="14" s="1"/>
  <c r="AO115" i="14" s="1"/>
  <c r="AO116" i="14" s="1"/>
  <c r="AO117" i="14" s="1"/>
  <c r="AO118" i="14" s="1"/>
  <c r="AO119" i="14" s="1"/>
  <c r="AO120" i="14" s="1"/>
  <c r="AO121" i="14" s="1"/>
  <c r="AO122" i="14" s="1"/>
  <c r="AO123" i="14" s="1"/>
  <c r="AO124" i="14" s="1"/>
  <c r="AY6" i="14"/>
  <c r="AY7" i="14" s="1"/>
  <c r="AY8" i="14" s="1"/>
  <c r="AY9" i="14" s="1"/>
  <c r="AY10" i="14" s="1"/>
  <c r="AY11" i="14" s="1"/>
  <c r="AY12" i="14" s="1"/>
  <c r="AY13" i="14" s="1"/>
  <c r="AY14" i="14" s="1"/>
  <c r="AY15" i="14" s="1"/>
  <c r="AY16" i="14" s="1"/>
  <c r="AY17" i="14" s="1"/>
  <c r="AY18" i="14" s="1"/>
  <c r="AY19" i="14" s="1"/>
  <c r="AY20" i="14" s="1"/>
  <c r="AY21" i="14" s="1"/>
  <c r="AY22" i="14" s="1"/>
  <c r="AY23" i="14" s="1"/>
  <c r="AY24" i="14" s="1"/>
  <c r="AY25" i="14" s="1"/>
  <c r="AY26" i="14" s="1"/>
  <c r="AY27" i="14" s="1"/>
  <c r="AY28" i="14" s="1"/>
  <c r="AY29" i="14" s="1"/>
  <c r="AY30" i="14" s="1"/>
  <c r="AY31" i="14" s="1"/>
  <c r="AY32" i="14" s="1"/>
  <c r="AY33" i="14" s="1"/>
  <c r="AY34" i="14" s="1"/>
  <c r="AY35" i="14" s="1"/>
  <c r="AY36" i="14" s="1"/>
  <c r="AY37" i="14" s="1"/>
  <c r="AY38" i="14" s="1"/>
  <c r="AY39" i="14" s="1"/>
  <c r="AY40" i="14" s="1"/>
  <c r="AY41" i="14" s="1"/>
  <c r="AY42" i="14" s="1"/>
  <c r="AY43" i="14" s="1"/>
  <c r="AY44" i="14" s="1"/>
  <c r="AY45" i="14" s="1"/>
  <c r="AY46" i="14" s="1"/>
  <c r="AY47" i="14" s="1"/>
  <c r="AY48" i="14" s="1"/>
  <c r="AY49" i="14" s="1"/>
  <c r="AY50" i="14" s="1"/>
  <c r="AY51" i="14" s="1"/>
  <c r="AY52" i="14" s="1"/>
  <c r="AY53" i="14" s="1"/>
  <c r="AY54" i="14" s="1"/>
  <c r="AY55" i="14" s="1"/>
  <c r="AY56" i="14" s="1"/>
  <c r="AY57" i="14" s="1"/>
  <c r="AY58" i="14" s="1"/>
  <c r="AY59" i="14" s="1"/>
  <c r="AY60" i="14" s="1"/>
  <c r="AY61" i="14" s="1"/>
  <c r="AY62" i="14" s="1"/>
  <c r="AY63" i="14" s="1"/>
  <c r="AY64" i="14" s="1"/>
  <c r="AY65" i="14" s="1"/>
  <c r="AY66" i="14" s="1"/>
  <c r="AY67" i="14" s="1"/>
  <c r="AY68" i="14" s="1"/>
  <c r="AY69" i="14" s="1"/>
  <c r="AY70" i="14" s="1"/>
  <c r="AY71" i="14" s="1"/>
  <c r="AY72" i="14" s="1"/>
  <c r="AY73" i="14" s="1"/>
  <c r="AY74" i="14" s="1"/>
  <c r="AY75" i="14" s="1"/>
  <c r="AY76" i="14" s="1"/>
  <c r="AY77" i="14" s="1"/>
  <c r="AY78" i="14" s="1"/>
  <c r="AY79" i="14" s="1"/>
  <c r="AY80" i="14" s="1"/>
  <c r="AY81" i="14" s="1"/>
  <c r="AY82" i="14" s="1"/>
  <c r="AY83" i="14" s="1"/>
  <c r="AY84" i="14" s="1"/>
  <c r="AY85" i="14" s="1"/>
  <c r="AY86" i="14" s="1"/>
  <c r="AY87" i="14" s="1"/>
  <c r="AY88" i="14" s="1"/>
  <c r="AY89" i="14" s="1"/>
  <c r="AY90" i="14" s="1"/>
  <c r="AY91" i="14" s="1"/>
  <c r="AY92" i="14" s="1"/>
  <c r="AY93" i="14" s="1"/>
  <c r="AY94" i="14" s="1"/>
  <c r="AY95" i="14" s="1"/>
  <c r="AY96" i="14" s="1"/>
  <c r="AY97" i="14" s="1"/>
  <c r="AY98" i="14" s="1"/>
  <c r="AY99" i="14" s="1"/>
  <c r="AY100" i="14" s="1"/>
  <c r="AY101" i="14" s="1"/>
  <c r="AY102" i="14" s="1"/>
  <c r="AY103" i="14" s="1"/>
  <c r="AY104" i="14" s="1"/>
  <c r="AY105" i="14" s="1"/>
  <c r="AY106" i="14" s="1"/>
  <c r="AY107" i="14" s="1"/>
  <c r="AY108" i="14" s="1"/>
  <c r="AY109" i="14" s="1"/>
  <c r="AY110" i="14" s="1"/>
  <c r="AY111" i="14" s="1"/>
  <c r="AY112" i="14" s="1"/>
  <c r="AY113" i="14" s="1"/>
  <c r="AY114" i="14" s="1"/>
  <c r="AY115" i="14" s="1"/>
  <c r="AY116" i="14" s="1"/>
  <c r="AY117" i="14" s="1"/>
  <c r="AY118" i="14" s="1"/>
  <c r="AY119" i="14" s="1"/>
  <c r="AY120" i="14" s="1"/>
  <c r="AY121" i="14" s="1"/>
  <c r="AY122" i="14" s="1"/>
  <c r="AY123" i="14" s="1"/>
  <c r="AY124" i="14" s="1"/>
  <c r="BI6" i="14"/>
  <c r="BI7" i="14" s="1"/>
  <c r="BI8" i="14" s="1"/>
  <c r="BI9" i="14" s="1"/>
  <c r="BI10" i="14" s="1"/>
  <c r="BI11" i="14" s="1"/>
  <c r="BI12" i="14" s="1"/>
  <c r="BI13" i="14" s="1"/>
  <c r="BI14" i="14" s="1"/>
  <c r="BI15" i="14" s="1"/>
  <c r="BI16" i="14" s="1"/>
  <c r="BI17" i="14" s="1"/>
  <c r="BI18" i="14" s="1"/>
  <c r="BI19" i="14" s="1"/>
  <c r="BI20" i="14" s="1"/>
  <c r="BI21" i="14" s="1"/>
  <c r="BI22" i="14" s="1"/>
  <c r="BI23" i="14" s="1"/>
  <c r="BI24" i="14" s="1"/>
  <c r="BI25" i="14" s="1"/>
  <c r="BI26" i="14" s="1"/>
  <c r="BI27" i="14" s="1"/>
  <c r="BI28" i="14" s="1"/>
  <c r="BI29" i="14" s="1"/>
  <c r="BI30" i="14" s="1"/>
  <c r="BI31" i="14" s="1"/>
  <c r="BI32" i="14" s="1"/>
  <c r="BI33" i="14" s="1"/>
  <c r="BI34" i="14" s="1"/>
  <c r="BI35" i="14" s="1"/>
  <c r="BI36" i="14" s="1"/>
  <c r="BI37" i="14" s="1"/>
  <c r="BI38" i="14" s="1"/>
  <c r="BI39" i="14" s="1"/>
  <c r="BI40" i="14" s="1"/>
  <c r="BI41" i="14" s="1"/>
  <c r="BI42" i="14" s="1"/>
  <c r="BI43" i="14" s="1"/>
  <c r="BI44" i="14" s="1"/>
  <c r="BI45" i="14" s="1"/>
  <c r="BI46" i="14" s="1"/>
  <c r="BI47" i="14" s="1"/>
  <c r="BI48" i="14" s="1"/>
  <c r="BI49" i="14" s="1"/>
  <c r="BI50" i="14" s="1"/>
  <c r="BI51" i="14" s="1"/>
  <c r="BI52" i="14" s="1"/>
  <c r="BI53" i="14" s="1"/>
  <c r="BI54" i="14" s="1"/>
  <c r="BI55" i="14" s="1"/>
  <c r="BI56" i="14" s="1"/>
  <c r="BI57" i="14" s="1"/>
  <c r="BI58" i="14" s="1"/>
  <c r="BI59" i="14" s="1"/>
  <c r="BI60" i="14" s="1"/>
  <c r="BI61" i="14" s="1"/>
  <c r="BI62" i="14" s="1"/>
  <c r="BI63" i="14" s="1"/>
  <c r="BI64" i="14" s="1"/>
  <c r="BI65" i="14" s="1"/>
  <c r="BI66" i="14" s="1"/>
  <c r="BI67" i="14" s="1"/>
  <c r="BI68" i="14" s="1"/>
  <c r="BI69" i="14" s="1"/>
  <c r="BI70" i="14" s="1"/>
  <c r="BI71" i="14" s="1"/>
  <c r="BI72" i="14" s="1"/>
  <c r="BI73" i="14" s="1"/>
  <c r="BI74" i="14" s="1"/>
  <c r="BI75" i="14" s="1"/>
  <c r="BI76" i="14" s="1"/>
  <c r="BI77" i="14" s="1"/>
  <c r="BI78" i="14" s="1"/>
  <c r="BI79" i="14" s="1"/>
  <c r="BI80" i="14" s="1"/>
  <c r="BI81" i="14" s="1"/>
  <c r="BI82" i="14" s="1"/>
  <c r="BI83" i="14" s="1"/>
  <c r="BI84" i="14" s="1"/>
  <c r="BI85" i="14" s="1"/>
  <c r="BI86" i="14" s="1"/>
  <c r="BI87" i="14" s="1"/>
  <c r="BI88" i="14" s="1"/>
  <c r="BI89" i="14" s="1"/>
  <c r="BI90" i="14" s="1"/>
  <c r="BI91" i="14" s="1"/>
  <c r="BI92" i="14" s="1"/>
  <c r="BI93" i="14" s="1"/>
  <c r="BI94" i="14" s="1"/>
  <c r="BI95" i="14" s="1"/>
  <c r="BI96" i="14" s="1"/>
  <c r="BI97" i="14" s="1"/>
  <c r="BI98" i="14" s="1"/>
  <c r="BI99" i="14" s="1"/>
  <c r="BI100" i="14" s="1"/>
  <c r="BI101" i="14" s="1"/>
  <c r="BI102" i="14" s="1"/>
  <c r="BI103" i="14" s="1"/>
  <c r="BI104" i="14" s="1"/>
  <c r="BI105" i="14" s="1"/>
  <c r="BI106" i="14" s="1"/>
  <c r="BI107" i="14" s="1"/>
  <c r="BI108" i="14" s="1"/>
  <c r="BI109" i="14" s="1"/>
  <c r="BI110" i="14" s="1"/>
  <c r="BI111" i="14" s="1"/>
  <c r="BI112" i="14" s="1"/>
  <c r="BI113" i="14" s="1"/>
  <c r="BI114" i="14" s="1"/>
  <c r="BI115" i="14" s="1"/>
  <c r="BI116" i="14" s="1"/>
  <c r="BI117" i="14" s="1"/>
  <c r="BI118" i="14" s="1"/>
  <c r="BI119" i="14" s="1"/>
  <c r="BI120" i="14" s="1"/>
  <c r="BI121" i="14" s="1"/>
  <c r="BI122" i="14" s="1"/>
  <c r="BI123" i="14" s="1"/>
  <c r="BI124" i="14" s="1"/>
  <c r="BS6" i="14"/>
  <c r="BS7" i="14" s="1"/>
  <c r="BS8" i="14" s="1"/>
  <c r="BS9" i="14" s="1"/>
  <c r="BS10" i="14" s="1"/>
  <c r="BS11" i="14" s="1"/>
  <c r="BS12" i="14" s="1"/>
  <c r="BS13" i="14" s="1"/>
  <c r="BS14" i="14" s="1"/>
  <c r="BS15" i="14" s="1"/>
  <c r="BS16" i="14" s="1"/>
  <c r="BS17" i="14" s="1"/>
  <c r="BS18" i="14" s="1"/>
  <c r="BS19" i="14" s="1"/>
  <c r="BS20" i="14" s="1"/>
  <c r="BS21" i="14" s="1"/>
  <c r="BS22" i="14" s="1"/>
  <c r="BS23" i="14" s="1"/>
  <c r="BS24" i="14" s="1"/>
  <c r="BS25" i="14" s="1"/>
  <c r="BS26" i="14" s="1"/>
  <c r="BS27" i="14" s="1"/>
  <c r="BS28" i="14" s="1"/>
  <c r="BS29" i="14" s="1"/>
  <c r="BS30" i="14" s="1"/>
  <c r="BS31" i="14" s="1"/>
  <c r="BS32" i="14" s="1"/>
  <c r="BS33" i="14" s="1"/>
  <c r="BS34" i="14" s="1"/>
  <c r="BS35" i="14" s="1"/>
  <c r="BS36" i="14" s="1"/>
  <c r="BS37" i="14" s="1"/>
  <c r="BS38" i="14" s="1"/>
  <c r="BS39" i="14" s="1"/>
  <c r="BS40" i="14" s="1"/>
  <c r="BS41" i="14" s="1"/>
  <c r="BS42" i="14" s="1"/>
  <c r="BS43" i="14" s="1"/>
  <c r="BS44" i="14" s="1"/>
  <c r="BS45" i="14" s="1"/>
  <c r="BS46" i="14" s="1"/>
  <c r="BS47" i="14" s="1"/>
  <c r="BS48" i="14" s="1"/>
  <c r="BS49" i="14" s="1"/>
  <c r="BS50" i="14" s="1"/>
  <c r="BS51" i="14" s="1"/>
  <c r="BS52" i="14" s="1"/>
  <c r="BS53" i="14" s="1"/>
  <c r="BS54" i="14" s="1"/>
  <c r="BS55" i="14" s="1"/>
  <c r="BS56" i="14" s="1"/>
  <c r="BS57" i="14" s="1"/>
  <c r="BS58" i="14" s="1"/>
  <c r="BS59" i="14" s="1"/>
  <c r="BS60" i="14" s="1"/>
  <c r="BS61" i="14" s="1"/>
  <c r="BS62" i="14" s="1"/>
  <c r="BS63" i="14" s="1"/>
  <c r="BS64" i="14" s="1"/>
  <c r="BS65" i="14" s="1"/>
  <c r="BS66" i="14" s="1"/>
  <c r="BS67" i="14" s="1"/>
  <c r="BS68" i="14" s="1"/>
  <c r="BS69" i="14" s="1"/>
  <c r="BS70" i="14" s="1"/>
  <c r="BS71" i="14" s="1"/>
  <c r="BS72" i="14" s="1"/>
  <c r="BS73" i="14" s="1"/>
  <c r="BS74" i="14" s="1"/>
  <c r="BS75" i="14" s="1"/>
  <c r="BS76" i="14" s="1"/>
  <c r="BS77" i="14" s="1"/>
  <c r="BS78" i="14" s="1"/>
  <c r="BS79" i="14" s="1"/>
  <c r="BS80" i="14" s="1"/>
  <c r="BS81" i="14" s="1"/>
  <c r="BS82" i="14" s="1"/>
  <c r="BS83" i="14" s="1"/>
  <c r="BS84" i="14" s="1"/>
  <c r="BS85" i="14" s="1"/>
  <c r="BS86" i="14" s="1"/>
  <c r="BS87" i="14" s="1"/>
  <c r="BS88" i="14" s="1"/>
  <c r="BS89" i="14" s="1"/>
  <c r="BS90" i="14" s="1"/>
  <c r="BS91" i="14" s="1"/>
  <c r="BS92" i="14" s="1"/>
  <c r="BS93" i="14" s="1"/>
  <c r="BS94" i="14" s="1"/>
  <c r="BS95" i="14" s="1"/>
  <c r="BS96" i="14" s="1"/>
  <c r="BS97" i="14" s="1"/>
  <c r="BS98" i="14" s="1"/>
  <c r="BS99" i="14" s="1"/>
  <c r="BS100" i="14" s="1"/>
  <c r="BS101" i="14" s="1"/>
  <c r="BS102" i="14" s="1"/>
  <c r="BS103" i="14" s="1"/>
  <c r="BS104" i="14" s="1"/>
  <c r="BS105" i="14" s="1"/>
  <c r="BS106" i="14" s="1"/>
  <c r="BS107" i="14" s="1"/>
  <c r="BS108" i="14" s="1"/>
  <c r="BS109" i="14" s="1"/>
  <c r="BS110" i="14" s="1"/>
  <c r="BS111" i="14" s="1"/>
  <c r="BS112" i="14" s="1"/>
  <c r="BS113" i="14" s="1"/>
  <c r="BS114" i="14" s="1"/>
  <c r="BS115" i="14" s="1"/>
  <c r="BS116" i="14" s="1"/>
  <c r="BS117" i="14" s="1"/>
  <c r="BS118" i="14" s="1"/>
  <c r="BS119" i="14" s="1"/>
  <c r="BS120" i="14" s="1"/>
  <c r="BS121" i="14" s="1"/>
  <c r="BS122" i="14" s="1"/>
  <c r="BS123" i="14" s="1"/>
  <c r="BS124" i="14" s="1"/>
  <c r="CC6" i="14"/>
  <c r="CC7" i="14" s="1"/>
  <c r="CC8" i="14" s="1"/>
  <c r="CC9" i="14" s="1"/>
  <c r="CC10" i="14" s="1"/>
  <c r="CC11" i="14" s="1"/>
  <c r="CC12" i="14" s="1"/>
  <c r="CC13" i="14" s="1"/>
  <c r="CC14" i="14" s="1"/>
  <c r="CC15" i="14" s="1"/>
  <c r="CC16" i="14" s="1"/>
  <c r="CC17" i="14" s="1"/>
  <c r="CC18" i="14" s="1"/>
  <c r="CC19" i="14" s="1"/>
  <c r="CC20" i="14" s="1"/>
  <c r="CC21" i="14" s="1"/>
  <c r="CC22" i="14" s="1"/>
  <c r="CC23" i="14" s="1"/>
  <c r="CC24" i="14" s="1"/>
  <c r="CC25" i="14" s="1"/>
  <c r="CC26" i="14" s="1"/>
  <c r="CC27" i="14" s="1"/>
  <c r="CC28" i="14" s="1"/>
  <c r="CC29" i="14" s="1"/>
  <c r="CC30" i="14" s="1"/>
  <c r="CC31" i="14" s="1"/>
  <c r="CC32" i="14" s="1"/>
  <c r="CC33" i="14" s="1"/>
  <c r="CC34" i="14" s="1"/>
  <c r="CC35" i="14" s="1"/>
  <c r="CC36" i="14" s="1"/>
  <c r="CC37" i="14" s="1"/>
  <c r="CC38" i="14" s="1"/>
  <c r="CC39" i="14" s="1"/>
  <c r="CC40" i="14" s="1"/>
  <c r="CC41" i="14" s="1"/>
  <c r="CC42" i="14" s="1"/>
  <c r="CC43" i="14" s="1"/>
  <c r="CC44" i="14" s="1"/>
  <c r="CC45" i="14" s="1"/>
  <c r="CC46" i="14" s="1"/>
  <c r="CC47" i="14" s="1"/>
  <c r="CC48" i="14" s="1"/>
  <c r="CC49" i="14" s="1"/>
  <c r="CC50" i="14" s="1"/>
  <c r="CC51" i="14" s="1"/>
  <c r="CC52" i="14" s="1"/>
  <c r="CC53" i="14" s="1"/>
  <c r="CC54" i="14" s="1"/>
  <c r="CC55" i="14" s="1"/>
  <c r="CC56" i="14" s="1"/>
  <c r="CC57" i="14" s="1"/>
  <c r="CC58" i="14" s="1"/>
  <c r="CC59" i="14" s="1"/>
  <c r="CC60" i="14" s="1"/>
  <c r="CC61" i="14" s="1"/>
  <c r="CC62" i="14" s="1"/>
  <c r="CC63" i="14" s="1"/>
  <c r="CC64" i="14" s="1"/>
  <c r="CC65" i="14" s="1"/>
  <c r="CC66" i="14" s="1"/>
  <c r="CC67" i="14" s="1"/>
  <c r="CC68" i="14" s="1"/>
  <c r="CC69" i="14" s="1"/>
  <c r="CC70" i="14" s="1"/>
  <c r="CC71" i="14" s="1"/>
  <c r="CC72" i="14" s="1"/>
  <c r="CC73" i="14" s="1"/>
  <c r="CC74" i="14" s="1"/>
  <c r="CC75" i="14" s="1"/>
  <c r="CC76" i="14" s="1"/>
  <c r="CC77" i="14" s="1"/>
  <c r="CC78" i="14" s="1"/>
  <c r="CC79" i="14" s="1"/>
  <c r="CC80" i="14" s="1"/>
  <c r="CC81" i="14" s="1"/>
  <c r="CC82" i="14" s="1"/>
  <c r="CC83" i="14" s="1"/>
  <c r="CC84" i="14" s="1"/>
  <c r="CC85" i="14" s="1"/>
  <c r="CC86" i="14" s="1"/>
  <c r="CC87" i="14" s="1"/>
  <c r="CC88" i="14" s="1"/>
  <c r="CC89" i="14" s="1"/>
  <c r="CC90" i="14" s="1"/>
  <c r="CC91" i="14" s="1"/>
  <c r="CC92" i="14" s="1"/>
  <c r="CC93" i="14" s="1"/>
  <c r="CC94" i="14" s="1"/>
  <c r="CC95" i="14" s="1"/>
  <c r="CC96" i="14" s="1"/>
  <c r="CC97" i="14" s="1"/>
  <c r="CC98" i="14" s="1"/>
  <c r="CC99" i="14" s="1"/>
  <c r="CC100" i="14" s="1"/>
  <c r="CC101" i="14" s="1"/>
  <c r="CC102" i="14" s="1"/>
  <c r="CC103" i="14" s="1"/>
  <c r="CC104" i="14" s="1"/>
  <c r="CC105" i="14" s="1"/>
  <c r="CC106" i="14" s="1"/>
  <c r="CC107" i="14" s="1"/>
  <c r="CC108" i="14" s="1"/>
  <c r="CC109" i="14" s="1"/>
  <c r="CC110" i="14" s="1"/>
  <c r="CC111" i="14" s="1"/>
  <c r="CC112" i="14" s="1"/>
  <c r="CC113" i="14" s="1"/>
  <c r="CC114" i="14" s="1"/>
  <c r="CC115" i="14" s="1"/>
  <c r="CC116" i="14" s="1"/>
  <c r="CC117" i="14" s="1"/>
  <c r="CC118" i="14" s="1"/>
  <c r="CC119" i="14" s="1"/>
  <c r="CC120" i="14" s="1"/>
  <c r="CC121" i="14" s="1"/>
  <c r="CC122" i="14" s="1"/>
  <c r="CC123" i="14" s="1"/>
  <c r="CC124" i="14" s="1"/>
  <c r="CM6" i="14"/>
  <c r="CM7" i="14" s="1"/>
  <c r="CM8" i="14" s="1"/>
  <c r="CM9" i="14" s="1"/>
  <c r="CM10" i="14" s="1"/>
  <c r="CM11" i="14" s="1"/>
  <c r="CM12" i="14" s="1"/>
  <c r="CM13" i="14" s="1"/>
  <c r="CM14" i="14" s="1"/>
  <c r="CM15" i="14" s="1"/>
  <c r="CM16" i="14" s="1"/>
  <c r="CM17" i="14" s="1"/>
  <c r="CM18" i="14" s="1"/>
  <c r="CM19" i="14" s="1"/>
  <c r="CM20" i="14" s="1"/>
  <c r="CM21" i="14" s="1"/>
  <c r="CM22" i="14" s="1"/>
  <c r="CM23" i="14" s="1"/>
  <c r="CM24" i="14" s="1"/>
  <c r="CM25" i="14" s="1"/>
  <c r="CM26" i="14" s="1"/>
  <c r="CM27" i="14" s="1"/>
  <c r="CM28" i="14" s="1"/>
  <c r="CM29" i="14" s="1"/>
  <c r="CM30" i="14" s="1"/>
  <c r="CM31" i="14" s="1"/>
  <c r="CM32" i="14" s="1"/>
  <c r="CM33" i="14" s="1"/>
  <c r="CM34" i="14" s="1"/>
  <c r="CM35" i="14" s="1"/>
  <c r="CM36" i="14" s="1"/>
  <c r="CM37" i="14" s="1"/>
  <c r="CM38" i="14" s="1"/>
  <c r="CM39" i="14" s="1"/>
  <c r="CM40" i="14" s="1"/>
  <c r="CM41" i="14" s="1"/>
  <c r="CM42" i="14" s="1"/>
  <c r="CM43" i="14" s="1"/>
  <c r="CM44" i="14" s="1"/>
  <c r="CM45" i="14" s="1"/>
  <c r="CM46" i="14" s="1"/>
  <c r="CM47" i="14" s="1"/>
  <c r="CM48" i="14" s="1"/>
  <c r="CM49" i="14" s="1"/>
  <c r="CM50" i="14" s="1"/>
  <c r="CM51" i="14" s="1"/>
  <c r="CM52" i="14" s="1"/>
  <c r="CM53" i="14" s="1"/>
  <c r="CM54" i="14" s="1"/>
  <c r="CM55" i="14" s="1"/>
  <c r="CM56" i="14" s="1"/>
  <c r="CM57" i="14" s="1"/>
  <c r="CM58" i="14" s="1"/>
  <c r="CM59" i="14" s="1"/>
  <c r="CM60" i="14" s="1"/>
  <c r="CM61" i="14" s="1"/>
  <c r="CM62" i="14" s="1"/>
  <c r="CM63" i="14" s="1"/>
  <c r="CM64" i="14" s="1"/>
  <c r="CM65" i="14" s="1"/>
  <c r="CM66" i="14" s="1"/>
  <c r="CM67" i="14" s="1"/>
  <c r="CM68" i="14" s="1"/>
  <c r="CM69" i="14" s="1"/>
  <c r="CM70" i="14" s="1"/>
  <c r="CM71" i="14" s="1"/>
  <c r="CM72" i="14" s="1"/>
  <c r="CM73" i="14" s="1"/>
  <c r="CM74" i="14" s="1"/>
  <c r="CM75" i="14" s="1"/>
  <c r="CM76" i="14" s="1"/>
  <c r="CM77" i="14" s="1"/>
  <c r="CM78" i="14" s="1"/>
  <c r="CM79" i="14" s="1"/>
  <c r="CM80" i="14" s="1"/>
  <c r="CM81" i="14" s="1"/>
  <c r="CM82" i="14" s="1"/>
  <c r="CM83" i="14" s="1"/>
  <c r="CM84" i="14" s="1"/>
  <c r="CM85" i="14" s="1"/>
  <c r="CM86" i="14" s="1"/>
  <c r="CM87" i="14" s="1"/>
  <c r="CM88" i="14" s="1"/>
  <c r="CM89" i="14" s="1"/>
  <c r="CM90" i="14" s="1"/>
  <c r="CM91" i="14" s="1"/>
  <c r="CM92" i="14" s="1"/>
  <c r="CM93" i="14" s="1"/>
  <c r="CM94" i="14" s="1"/>
  <c r="CM95" i="14" s="1"/>
  <c r="CM96" i="14" s="1"/>
  <c r="CM97" i="14" s="1"/>
  <c r="CM98" i="14" s="1"/>
  <c r="CM99" i="14" s="1"/>
  <c r="CM100" i="14" s="1"/>
  <c r="CM101" i="14" s="1"/>
  <c r="CM102" i="14" s="1"/>
  <c r="CM103" i="14" s="1"/>
  <c r="CM104" i="14" s="1"/>
  <c r="CM105" i="14" s="1"/>
  <c r="CM106" i="14" s="1"/>
  <c r="CM107" i="14" s="1"/>
  <c r="CM108" i="14" s="1"/>
  <c r="CM109" i="14" s="1"/>
  <c r="CM110" i="14" s="1"/>
  <c r="CM111" i="14" s="1"/>
  <c r="CM112" i="14" s="1"/>
  <c r="CM113" i="14" s="1"/>
  <c r="CM114" i="14" s="1"/>
  <c r="CM115" i="14" s="1"/>
  <c r="CM116" i="14" s="1"/>
  <c r="CM117" i="14" s="1"/>
  <c r="CM118" i="14" s="1"/>
  <c r="CM119" i="14" s="1"/>
  <c r="CM120" i="14" s="1"/>
  <c r="CM121" i="14" s="1"/>
  <c r="CM122" i="14" s="1"/>
  <c r="CM123" i="14" s="1"/>
  <c r="CM124" i="14" s="1"/>
  <c r="CW6" i="14"/>
  <c r="CW7" i="14" s="1"/>
  <c r="CW8" i="14" s="1"/>
  <c r="CW9" i="14" s="1"/>
  <c r="CW10" i="14" s="1"/>
  <c r="CW11" i="14" s="1"/>
  <c r="CW12" i="14" s="1"/>
  <c r="CW13" i="14" s="1"/>
  <c r="CW14" i="14" s="1"/>
  <c r="CW15" i="14" s="1"/>
  <c r="CW16" i="14" s="1"/>
  <c r="CW17" i="14" s="1"/>
  <c r="CW18" i="14" s="1"/>
  <c r="CW19" i="14" s="1"/>
  <c r="CW20" i="14" s="1"/>
  <c r="CW21" i="14" s="1"/>
  <c r="CW22" i="14" s="1"/>
  <c r="CW23" i="14" s="1"/>
  <c r="CW24" i="14" s="1"/>
  <c r="CW25" i="14" s="1"/>
  <c r="CW26" i="14" s="1"/>
  <c r="CW27" i="14" s="1"/>
  <c r="CW28" i="14" s="1"/>
  <c r="CW29" i="14" s="1"/>
  <c r="CW30" i="14" s="1"/>
  <c r="CW31" i="14" s="1"/>
  <c r="CW32" i="14" s="1"/>
  <c r="CW33" i="14" s="1"/>
  <c r="CW34" i="14" s="1"/>
  <c r="CW35" i="14" s="1"/>
  <c r="CW36" i="14" s="1"/>
  <c r="CW37" i="14" s="1"/>
  <c r="CW38" i="14" s="1"/>
  <c r="CW39" i="14" s="1"/>
  <c r="CW40" i="14" s="1"/>
  <c r="CW41" i="14" s="1"/>
  <c r="CW42" i="14" s="1"/>
  <c r="CW43" i="14" s="1"/>
  <c r="CW44" i="14" s="1"/>
  <c r="CW45" i="14" s="1"/>
  <c r="CW46" i="14" s="1"/>
  <c r="CW47" i="14" s="1"/>
  <c r="CW48" i="14" s="1"/>
  <c r="CW49" i="14" s="1"/>
  <c r="CW50" i="14" s="1"/>
  <c r="CW51" i="14" s="1"/>
  <c r="CW52" i="14" s="1"/>
  <c r="CW53" i="14" s="1"/>
  <c r="CW54" i="14" s="1"/>
  <c r="CW55" i="14" s="1"/>
  <c r="CW56" i="14" s="1"/>
  <c r="CW57" i="14" s="1"/>
  <c r="CW58" i="14" s="1"/>
  <c r="CW59" i="14" s="1"/>
  <c r="CW60" i="14" s="1"/>
  <c r="CW61" i="14" s="1"/>
  <c r="CW62" i="14" s="1"/>
  <c r="CW63" i="14" s="1"/>
  <c r="CW64" i="14" s="1"/>
  <c r="CW65" i="14" s="1"/>
  <c r="CW66" i="14" s="1"/>
  <c r="CW67" i="14" s="1"/>
  <c r="CW68" i="14" s="1"/>
  <c r="CW69" i="14" s="1"/>
  <c r="CW70" i="14" s="1"/>
  <c r="CW71" i="14" s="1"/>
  <c r="CW72" i="14" s="1"/>
  <c r="CW73" i="14" s="1"/>
  <c r="CW74" i="14" s="1"/>
  <c r="CW75" i="14" s="1"/>
  <c r="CW76" i="14" s="1"/>
  <c r="CW77" i="14" s="1"/>
  <c r="CW78" i="14" s="1"/>
  <c r="CW79" i="14" s="1"/>
  <c r="CW80" i="14" s="1"/>
  <c r="CW81" i="14" s="1"/>
  <c r="CW82" i="14" s="1"/>
  <c r="CW83" i="14" s="1"/>
  <c r="CW84" i="14" s="1"/>
  <c r="CW85" i="14" s="1"/>
  <c r="CW86" i="14" s="1"/>
  <c r="CW87" i="14" s="1"/>
  <c r="CW88" i="14" s="1"/>
  <c r="CW89" i="14" s="1"/>
  <c r="CW90" i="14" s="1"/>
  <c r="CW91" i="14" s="1"/>
  <c r="CW92" i="14" s="1"/>
  <c r="CW93" i="14" s="1"/>
  <c r="CW94" i="14" s="1"/>
  <c r="CW95" i="14" s="1"/>
  <c r="CW96" i="14" s="1"/>
  <c r="CW97" i="14" s="1"/>
  <c r="CW98" i="14" s="1"/>
  <c r="CW99" i="14" s="1"/>
  <c r="CW100" i="14" s="1"/>
  <c r="CW101" i="14" s="1"/>
  <c r="CW102" i="14" s="1"/>
  <c r="CW103" i="14" s="1"/>
  <c r="CW104" i="14" s="1"/>
  <c r="CW105" i="14" s="1"/>
  <c r="CW106" i="14" s="1"/>
  <c r="CW107" i="14" s="1"/>
  <c r="CW108" i="14" s="1"/>
  <c r="CW109" i="14" s="1"/>
  <c r="CW110" i="14" s="1"/>
  <c r="CW111" i="14" s="1"/>
  <c r="CW112" i="14" s="1"/>
  <c r="CW113" i="14" s="1"/>
  <c r="CW114" i="14" s="1"/>
  <c r="CW115" i="14" s="1"/>
  <c r="CW116" i="14" s="1"/>
  <c r="CW117" i="14" s="1"/>
  <c r="CW118" i="14" s="1"/>
  <c r="CW119" i="14" s="1"/>
  <c r="CW120" i="14" s="1"/>
  <c r="CW121" i="14" s="1"/>
  <c r="CW122" i="14" s="1"/>
  <c r="CW123" i="14" s="1"/>
  <c r="CW124" i="14" s="1"/>
  <c r="DG6" i="14"/>
  <c r="DG7" i="14" s="1"/>
  <c r="DG8" i="14" s="1"/>
  <c r="DG9" i="14" s="1"/>
  <c r="DG10" i="14" s="1"/>
  <c r="DG11" i="14" s="1"/>
  <c r="DG12" i="14" s="1"/>
  <c r="DG13" i="14" s="1"/>
  <c r="DG14" i="14" s="1"/>
  <c r="DG15" i="14" s="1"/>
  <c r="DG16" i="14" s="1"/>
  <c r="DG17" i="14" s="1"/>
  <c r="DG18" i="14" s="1"/>
  <c r="DG19" i="14" s="1"/>
  <c r="DG20" i="14" s="1"/>
  <c r="DG21" i="14" s="1"/>
  <c r="DG22" i="14" s="1"/>
  <c r="DG23" i="14" s="1"/>
  <c r="DG24" i="14" s="1"/>
  <c r="DG25" i="14" s="1"/>
  <c r="DG26" i="14" s="1"/>
  <c r="DG27" i="14" s="1"/>
  <c r="DG28" i="14" s="1"/>
  <c r="DG29" i="14" s="1"/>
  <c r="DG30" i="14" s="1"/>
  <c r="DG31" i="14" s="1"/>
  <c r="DG32" i="14" s="1"/>
  <c r="DG33" i="14" s="1"/>
  <c r="DG34" i="14" s="1"/>
  <c r="DG35" i="14" s="1"/>
  <c r="DG36" i="14" s="1"/>
  <c r="DG37" i="14" s="1"/>
  <c r="DG38" i="14" s="1"/>
  <c r="DG39" i="14" s="1"/>
  <c r="DG40" i="14" s="1"/>
  <c r="DG41" i="14" s="1"/>
  <c r="DG42" i="14" s="1"/>
  <c r="DG43" i="14" s="1"/>
  <c r="DG44" i="14" s="1"/>
  <c r="DG45" i="14" s="1"/>
  <c r="DG46" i="14" s="1"/>
  <c r="DG47" i="14" s="1"/>
  <c r="DG48" i="14" s="1"/>
  <c r="DG49" i="14" s="1"/>
  <c r="DG50" i="14" s="1"/>
  <c r="DG51" i="14" s="1"/>
  <c r="DG52" i="14" s="1"/>
  <c r="DG53" i="14" s="1"/>
  <c r="DG54" i="14" s="1"/>
  <c r="DG55" i="14" s="1"/>
  <c r="DG56" i="14" s="1"/>
  <c r="DG57" i="14" s="1"/>
  <c r="DG58" i="14" s="1"/>
  <c r="DG59" i="14" s="1"/>
  <c r="DG60" i="14" s="1"/>
  <c r="DG61" i="14" s="1"/>
  <c r="DG62" i="14" s="1"/>
  <c r="DG63" i="14" s="1"/>
  <c r="DG64" i="14" s="1"/>
  <c r="DG65" i="14" s="1"/>
  <c r="DG66" i="14" s="1"/>
  <c r="DG67" i="14" s="1"/>
  <c r="DG68" i="14" s="1"/>
  <c r="DG69" i="14" s="1"/>
  <c r="DG70" i="14" s="1"/>
  <c r="DG71" i="14" s="1"/>
  <c r="DG72" i="14" s="1"/>
  <c r="DG73" i="14" s="1"/>
  <c r="DG74" i="14" s="1"/>
  <c r="DG75" i="14" s="1"/>
  <c r="DG76" i="14" s="1"/>
  <c r="DG77" i="14" s="1"/>
  <c r="DG78" i="14" s="1"/>
  <c r="DG79" i="14" s="1"/>
  <c r="DG80" i="14" s="1"/>
  <c r="DG81" i="14" s="1"/>
  <c r="DG82" i="14" s="1"/>
  <c r="DG83" i="14" s="1"/>
  <c r="DG84" i="14" s="1"/>
  <c r="DG85" i="14" s="1"/>
  <c r="DG86" i="14" s="1"/>
  <c r="DG87" i="14" s="1"/>
  <c r="DG88" i="14" s="1"/>
  <c r="DG89" i="14" s="1"/>
  <c r="DG90" i="14" s="1"/>
  <c r="DG91" i="14" s="1"/>
  <c r="DG92" i="14" s="1"/>
  <c r="DG93" i="14" s="1"/>
  <c r="DG94" i="14" s="1"/>
  <c r="DG95" i="14" s="1"/>
  <c r="DG96" i="14" s="1"/>
  <c r="DG97" i="14" s="1"/>
  <c r="DG98" i="14" s="1"/>
  <c r="DG99" i="14" s="1"/>
  <c r="DG100" i="14" s="1"/>
  <c r="DG101" i="14" s="1"/>
  <c r="DG102" i="14" s="1"/>
  <c r="DG103" i="14" s="1"/>
  <c r="DG104" i="14" s="1"/>
  <c r="DG105" i="14" s="1"/>
  <c r="DG106" i="14" s="1"/>
  <c r="DG107" i="14" s="1"/>
  <c r="DG108" i="14" s="1"/>
  <c r="DG109" i="14" s="1"/>
  <c r="DG110" i="14" s="1"/>
  <c r="DG111" i="14" s="1"/>
  <c r="DG112" i="14" s="1"/>
  <c r="DG113" i="14" s="1"/>
  <c r="DG114" i="14" s="1"/>
  <c r="DG115" i="14" s="1"/>
  <c r="DG116" i="14" s="1"/>
  <c r="DG117" i="14" s="1"/>
  <c r="DG118" i="14" s="1"/>
  <c r="DG119" i="14" s="1"/>
  <c r="DG120" i="14" s="1"/>
  <c r="DG121" i="14" s="1"/>
  <c r="DG122" i="14" s="1"/>
  <c r="DG123" i="14" s="1"/>
  <c r="DG124" i="14" s="1"/>
  <c r="I89" i="10"/>
  <c r="G60" i="14"/>
  <c r="G118" i="14"/>
  <c r="AT6" i="14"/>
  <c r="AT7" i="14" s="1"/>
  <c r="AT8" i="14" s="1"/>
  <c r="AT9" i="14" s="1"/>
  <c r="AT10" i="14" s="1"/>
  <c r="AT11" i="14" s="1"/>
  <c r="AT12" i="14" s="1"/>
  <c r="AT13" i="14" s="1"/>
  <c r="AT14" i="14" s="1"/>
  <c r="AT15" i="14" s="1"/>
  <c r="AT16" i="14" s="1"/>
  <c r="AT17" i="14" s="1"/>
  <c r="AT18" i="14" s="1"/>
  <c r="AT19" i="14" s="1"/>
  <c r="AT20" i="14" s="1"/>
  <c r="AT21" i="14" s="1"/>
  <c r="AT22" i="14" s="1"/>
  <c r="AT23" i="14" s="1"/>
  <c r="AT24" i="14" s="1"/>
  <c r="AT25" i="14" s="1"/>
  <c r="AT26" i="14" s="1"/>
  <c r="AT27" i="14" s="1"/>
  <c r="AT28" i="14" s="1"/>
  <c r="AT29" i="14" s="1"/>
  <c r="AT30" i="14" s="1"/>
  <c r="AT31" i="14" s="1"/>
  <c r="AT32" i="14" s="1"/>
  <c r="AT33" i="14" s="1"/>
  <c r="AT34" i="14" s="1"/>
  <c r="AT35" i="14" s="1"/>
  <c r="AT36" i="14" s="1"/>
  <c r="AT37" i="14" s="1"/>
  <c r="AT38" i="14" s="1"/>
  <c r="AT39" i="14" s="1"/>
  <c r="AT40" i="14" s="1"/>
  <c r="AT41" i="14" s="1"/>
  <c r="AT42" i="14" s="1"/>
  <c r="AT43" i="14" s="1"/>
  <c r="AT44" i="14" s="1"/>
  <c r="AT45" i="14" s="1"/>
  <c r="AT46" i="14" s="1"/>
  <c r="AT47" i="14" s="1"/>
  <c r="AT48" i="14" s="1"/>
  <c r="AT49" i="14" s="1"/>
  <c r="AT50" i="14" s="1"/>
  <c r="AT51" i="14" s="1"/>
  <c r="AT52" i="14" s="1"/>
  <c r="AT53" i="14" s="1"/>
  <c r="AT54" i="14" s="1"/>
  <c r="AT55" i="14" s="1"/>
  <c r="AT56" i="14" s="1"/>
  <c r="AT57" i="14" s="1"/>
  <c r="AT58" i="14" s="1"/>
  <c r="AT59" i="14" s="1"/>
  <c r="AT60" i="14" s="1"/>
  <c r="AT61" i="14" s="1"/>
  <c r="AT62" i="14" s="1"/>
  <c r="AT63" i="14" s="1"/>
  <c r="AT64" i="14" s="1"/>
  <c r="AT65" i="14" s="1"/>
  <c r="AT66" i="14" s="1"/>
  <c r="AT67" i="14" s="1"/>
  <c r="AT68" i="14" s="1"/>
  <c r="AT69" i="14" s="1"/>
  <c r="AT70" i="14" s="1"/>
  <c r="AT71" i="14" s="1"/>
  <c r="AT72" i="14" s="1"/>
  <c r="AT73" i="14" s="1"/>
  <c r="AT74" i="14" s="1"/>
  <c r="AT75" i="14" s="1"/>
  <c r="AT76" i="14" s="1"/>
  <c r="AT77" i="14" s="1"/>
  <c r="AT78" i="14" s="1"/>
  <c r="AT79" i="14" s="1"/>
  <c r="AT80" i="14" s="1"/>
  <c r="AT81" i="14" s="1"/>
  <c r="AT82" i="14" s="1"/>
  <c r="AT83" i="14" s="1"/>
  <c r="AT84" i="14" s="1"/>
  <c r="AT85" i="14" s="1"/>
  <c r="AT86" i="14" s="1"/>
  <c r="AT87" i="14" s="1"/>
  <c r="AT88" i="14" s="1"/>
  <c r="AT89" i="14" s="1"/>
  <c r="AT90" i="14" s="1"/>
  <c r="AT91" i="14" s="1"/>
  <c r="AT92" i="14" s="1"/>
  <c r="AT93" i="14" s="1"/>
  <c r="AT94" i="14" s="1"/>
  <c r="AT95" i="14" s="1"/>
  <c r="AT96" i="14" s="1"/>
  <c r="AT97" i="14" s="1"/>
  <c r="AT98" i="14" s="1"/>
  <c r="AT99" i="14" s="1"/>
  <c r="AT100" i="14" s="1"/>
  <c r="AT101" i="14" s="1"/>
  <c r="AT102" i="14" s="1"/>
  <c r="AT103" i="14" s="1"/>
  <c r="AT104" i="14" s="1"/>
  <c r="AT105" i="14" s="1"/>
  <c r="AT106" i="14" s="1"/>
  <c r="AT107" i="14" s="1"/>
  <c r="AT108" i="14" s="1"/>
  <c r="AT109" i="14" s="1"/>
  <c r="AT110" i="14" s="1"/>
  <c r="AT111" i="14" s="1"/>
  <c r="AT112" i="14" s="1"/>
  <c r="AT113" i="14" s="1"/>
  <c r="AT114" i="14" s="1"/>
  <c r="AT115" i="14" s="1"/>
  <c r="AT116" i="14" s="1"/>
  <c r="AT117" i="14" s="1"/>
  <c r="AT118" i="14" s="1"/>
  <c r="AT119" i="14" s="1"/>
  <c r="AT120" i="14" s="1"/>
  <c r="AT121" i="14" s="1"/>
  <c r="AT122" i="14" s="1"/>
  <c r="AT123" i="14" s="1"/>
  <c r="AT124" i="14" s="1"/>
  <c r="AA6" i="14"/>
  <c r="AA7" i="14" s="1"/>
  <c r="AA8" i="14" s="1"/>
  <c r="AA9" i="14" s="1"/>
  <c r="AA10" i="14" s="1"/>
  <c r="AA11" i="14" s="1"/>
  <c r="AA12" i="14" s="1"/>
  <c r="AA13" i="14" s="1"/>
  <c r="AA14" i="14" s="1"/>
  <c r="AA15" i="14" s="1"/>
  <c r="AA16" i="14" s="1"/>
  <c r="AA17" i="14" s="1"/>
  <c r="AA18" i="14" s="1"/>
  <c r="AA19" i="14" s="1"/>
  <c r="AA20" i="14" s="1"/>
  <c r="AA21" i="14" s="1"/>
  <c r="AA22" i="14" s="1"/>
  <c r="AA23" i="14" s="1"/>
  <c r="AA24" i="14" s="1"/>
  <c r="AA25" i="14" s="1"/>
  <c r="AA26" i="14" s="1"/>
  <c r="AA27" i="14" s="1"/>
  <c r="AA28" i="14" s="1"/>
  <c r="AA29" i="14" s="1"/>
  <c r="AA30" i="14" s="1"/>
  <c r="AA31" i="14" s="1"/>
  <c r="AA32" i="14" s="1"/>
  <c r="AA33" i="14" s="1"/>
  <c r="AA34" i="14" s="1"/>
  <c r="AA35" i="14" s="1"/>
  <c r="AA36" i="14" s="1"/>
  <c r="AA37" i="14" s="1"/>
  <c r="AA38" i="14" s="1"/>
  <c r="AA39" i="14" s="1"/>
  <c r="AA40" i="14" s="1"/>
  <c r="AA41" i="14" s="1"/>
  <c r="AA42" i="14" s="1"/>
  <c r="AA43" i="14" s="1"/>
  <c r="AA44" i="14" s="1"/>
  <c r="AA45" i="14" s="1"/>
  <c r="AA46" i="14" s="1"/>
  <c r="AA47" i="14" s="1"/>
  <c r="AA48" i="14" s="1"/>
  <c r="AA49" i="14" s="1"/>
  <c r="AA50" i="14" s="1"/>
  <c r="AA51" i="14" s="1"/>
  <c r="AA52" i="14" s="1"/>
  <c r="AA53" i="14" s="1"/>
  <c r="AA54" i="14" s="1"/>
  <c r="AA55" i="14" s="1"/>
  <c r="AA56" i="14" s="1"/>
  <c r="AA57" i="14" s="1"/>
  <c r="AA58" i="14" s="1"/>
  <c r="AA59" i="14" s="1"/>
  <c r="AA60" i="14" s="1"/>
  <c r="AA61" i="14" s="1"/>
  <c r="AA62" i="14" s="1"/>
  <c r="AA63" i="14" s="1"/>
  <c r="AA64" i="14" s="1"/>
  <c r="AA65" i="14" s="1"/>
  <c r="AA66" i="14" s="1"/>
  <c r="AA67" i="14" s="1"/>
  <c r="AA68" i="14" s="1"/>
  <c r="AA69" i="14" s="1"/>
  <c r="AA70" i="14" s="1"/>
  <c r="AA71" i="14" s="1"/>
  <c r="AA72" i="14" s="1"/>
  <c r="AA73" i="14" s="1"/>
  <c r="AA74" i="14" s="1"/>
  <c r="AA75" i="14" s="1"/>
  <c r="AA76" i="14" s="1"/>
  <c r="AA77" i="14" s="1"/>
  <c r="AA78" i="14" s="1"/>
  <c r="AA79" i="14" s="1"/>
  <c r="AA80" i="14" s="1"/>
  <c r="AA81" i="14" s="1"/>
  <c r="AA82" i="14" s="1"/>
  <c r="AA83" i="14" s="1"/>
  <c r="AA84" i="14" s="1"/>
  <c r="AA85" i="14" s="1"/>
  <c r="AA86" i="14" s="1"/>
  <c r="AA87" i="14" s="1"/>
  <c r="AA88" i="14" s="1"/>
  <c r="AA89" i="14" s="1"/>
  <c r="AA90" i="14" s="1"/>
  <c r="AA91" i="14" s="1"/>
  <c r="AA92" i="14" s="1"/>
  <c r="AA93" i="14" s="1"/>
  <c r="AA94" i="14" s="1"/>
  <c r="AA95" i="14" s="1"/>
  <c r="AA96" i="14" s="1"/>
  <c r="AA97" i="14" s="1"/>
  <c r="AA98" i="14" s="1"/>
  <c r="AA99" i="14" s="1"/>
  <c r="AA100" i="14" s="1"/>
  <c r="AA101" i="14" s="1"/>
  <c r="AA102" i="14" s="1"/>
  <c r="AA103" i="14" s="1"/>
  <c r="AA104" i="14" s="1"/>
  <c r="AA105" i="14" s="1"/>
  <c r="AA106" i="14" s="1"/>
  <c r="AA107" i="14" s="1"/>
  <c r="AA108" i="14" s="1"/>
  <c r="AA109" i="14" s="1"/>
  <c r="AA110" i="14" s="1"/>
  <c r="AA111" i="14" s="1"/>
  <c r="AA112" i="14" s="1"/>
  <c r="AA113" i="14" s="1"/>
  <c r="AA114" i="14" s="1"/>
  <c r="AA115" i="14" s="1"/>
  <c r="AA116" i="14" s="1"/>
  <c r="AA117" i="14" s="1"/>
  <c r="AA118" i="14" s="1"/>
  <c r="AA119" i="14" s="1"/>
  <c r="AA120" i="14" s="1"/>
  <c r="AA121" i="14" s="1"/>
  <c r="AA122" i="14" s="1"/>
  <c r="AA123" i="14" s="1"/>
  <c r="AA124" i="14" s="1"/>
  <c r="BO6" i="14"/>
  <c r="BO7" i="14" s="1"/>
  <c r="BO8" i="14" s="1"/>
  <c r="BO9" i="14" s="1"/>
  <c r="BO10" i="14" s="1"/>
  <c r="BO11" i="14" s="1"/>
  <c r="BO12" i="14" s="1"/>
  <c r="BO13" i="14" s="1"/>
  <c r="BO14" i="14" s="1"/>
  <c r="BO15" i="14" s="1"/>
  <c r="BO16" i="14" s="1"/>
  <c r="BO17" i="14" s="1"/>
  <c r="BO18" i="14" s="1"/>
  <c r="BO19" i="14" s="1"/>
  <c r="BO20" i="14" s="1"/>
  <c r="BO21" i="14" s="1"/>
  <c r="BO22" i="14" s="1"/>
  <c r="BO23" i="14" s="1"/>
  <c r="BO24" i="14" s="1"/>
  <c r="BO25" i="14" s="1"/>
  <c r="BO26" i="14" s="1"/>
  <c r="BO27" i="14" s="1"/>
  <c r="BO28" i="14" s="1"/>
  <c r="BO29" i="14" s="1"/>
  <c r="BO30" i="14" s="1"/>
  <c r="BO31" i="14" s="1"/>
  <c r="BO32" i="14" s="1"/>
  <c r="BO33" i="14" s="1"/>
  <c r="BO34" i="14" s="1"/>
  <c r="BO35" i="14" s="1"/>
  <c r="BO36" i="14" s="1"/>
  <c r="BO37" i="14" s="1"/>
  <c r="BO38" i="14" s="1"/>
  <c r="BO39" i="14" s="1"/>
  <c r="BO40" i="14" s="1"/>
  <c r="BO41" i="14" s="1"/>
  <c r="BO42" i="14" s="1"/>
  <c r="BO43" i="14" s="1"/>
  <c r="BO44" i="14" s="1"/>
  <c r="BO45" i="14" s="1"/>
  <c r="BO46" i="14" s="1"/>
  <c r="BO47" i="14" s="1"/>
  <c r="BO48" i="14" s="1"/>
  <c r="BO49" i="14" s="1"/>
  <c r="BO50" i="14" s="1"/>
  <c r="BO51" i="14" s="1"/>
  <c r="BO52" i="14" s="1"/>
  <c r="BO53" i="14" s="1"/>
  <c r="BO54" i="14" s="1"/>
  <c r="BO55" i="14" s="1"/>
  <c r="BO56" i="14" s="1"/>
  <c r="BO57" i="14" s="1"/>
  <c r="BO58" i="14" s="1"/>
  <c r="BO59" i="14" s="1"/>
  <c r="BO60" i="14" s="1"/>
  <c r="BO61" i="14" s="1"/>
  <c r="BO62" i="14" s="1"/>
  <c r="BO63" i="14" s="1"/>
  <c r="BO64" i="14" s="1"/>
  <c r="BO65" i="14" s="1"/>
  <c r="BO66" i="14" s="1"/>
  <c r="BO67" i="14" s="1"/>
  <c r="BO68" i="14" s="1"/>
  <c r="BO69" i="14" s="1"/>
  <c r="BO70" i="14" s="1"/>
  <c r="BO71" i="14" s="1"/>
  <c r="BO72" i="14" s="1"/>
  <c r="BO73" i="14" s="1"/>
  <c r="BO74" i="14" s="1"/>
  <c r="BO75" i="14" s="1"/>
  <c r="BO76" i="14" s="1"/>
  <c r="BO77" i="14" s="1"/>
  <c r="BO78" i="14" s="1"/>
  <c r="BO79" i="14" s="1"/>
  <c r="BO80" i="14" s="1"/>
  <c r="BO81" i="14" s="1"/>
  <c r="BO82" i="14" s="1"/>
  <c r="BO83" i="14" s="1"/>
  <c r="BO84" i="14" s="1"/>
  <c r="BO85" i="14" s="1"/>
  <c r="BO86" i="14" s="1"/>
  <c r="BO87" i="14" s="1"/>
  <c r="BO88" i="14" s="1"/>
  <c r="BO89" i="14" s="1"/>
  <c r="BO90" i="14" s="1"/>
  <c r="BO91" i="14" s="1"/>
  <c r="BO92" i="14" s="1"/>
  <c r="BO93" i="14" s="1"/>
  <c r="BO94" i="14" s="1"/>
  <c r="BO95" i="14" s="1"/>
  <c r="BO96" i="14" s="1"/>
  <c r="BO97" i="14" s="1"/>
  <c r="BO98" i="14" s="1"/>
  <c r="BO99" i="14" s="1"/>
  <c r="BO100" i="14" s="1"/>
  <c r="BO101" i="14" s="1"/>
  <c r="BO102" i="14" s="1"/>
  <c r="BO103" i="14" s="1"/>
  <c r="BO104" i="14" s="1"/>
  <c r="BO105" i="14" s="1"/>
  <c r="BO106" i="14" s="1"/>
  <c r="BO107" i="14" s="1"/>
  <c r="BO108" i="14" s="1"/>
  <c r="BO109" i="14" s="1"/>
  <c r="BO110" i="14" s="1"/>
  <c r="BO111" i="14" s="1"/>
  <c r="BO112" i="14" s="1"/>
  <c r="BO113" i="14" s="1"/>
  <c r="BO114" i="14" s="1"/>
  <c r="BO115" i="14" s="1"/>
  <c r="BO116" i="14" s="1"/>
  <c r="BO117" i="14" s="1"/>
  <c r="BO118" i="14" s="1"/>
  <c r="BO119" i="14" s="1"/>
  <c r="BO120" i="14" s="1"/>
  <c r="BO121" i="14" s="1"/>
  <c r="BO122" i="14" s="1"/>
  <c r="BO123" i="14" s="1"/>
  <c r="BO124" i="14" s="1"/>
  <c r="G32" i="14"/>
  <c r="AL6" i="14"/>
  <c r="AL7" i="14" s="1"/>
  <c r="AL8" i="14" s="1"/>
  <c r="AL9" i="14" s="1"/>
  <c r="AL10" i="14" s="1"/>
  <c r="AL11" i="14" s="1"/>
  <c r="AL12" i="14" s="1"/>
  <c r="AL13" i="14" s="1"/>
  <c r="AL14" i="14" s="1"/>
  <c r="AL15" i="14" s="1"/>
  <c r="AL16" i="14" s="1"/>
  <c r="AL17" i="14" s="1"/>
  <c r="AL18" i="14" s="1"/>
  <c r="AL19" i="14" s="1"/>
  <c r="AL20" i="14" s="1"/>
  <c r="AL21" i="14" s="1"/>
  <c r="AL22" i="14" s="1"/>
  <c r="AL23" i="14" s="1"/>
  <c r="AL24" i="14" s="1"/>
  <c r="AL25" i="14" s="1"/>
  <c r="AL26" i="14" s="1"/>
  <c r="AL27" i="14" s="1"/>
  <c r="AL28" i="14" s="1"/>
  <c r="AL29" i="14" s="1"/>
  <c r="AL30" i="14" s="1"/>
  <c r="AL31" i="14" s="1"/>
  <c r="AL32" i="14" s="1"/>
  <c r="AL33" i="14" s="1"/>
  <c r="AL34" i="14" s="1"/>
  <c r="AL35" i="14" s="1"/>
  <c r="AL36" i="14" s="1"/>
  <c r="AL37" i="14" s="1"/>
  <c r="AL38" i="14" s="1"/>
  <c r="AL39" i="14" s="1"/>
  <c r="AL40" i="14" s="1"/>
  <c r="AL41" i="14" s="1"/>
  <c r="AL42" i="14" s="1"/>
  <c r="AL43" i="14" s="1"/>
  <c r="AL44" i="14" s="1"/>
  <c r="AL45" i="14" s="1"/>
  <c r="AL46" i="14" s="1"/>
  <c r="AL47" i="14" s="1"/>
  <c r="AL48" i="14" s="1"/>
  <c r="AL49" i="14" s="1"/>
  <c r="AL50" i="14" s="1"/>
  <c r="AL51" i="14" s="1"/>
  <c r="AL52" i="14" s="1"/>
  <c r="AL53" i="14" s="1"/>
  <c r="AL54" i="14" s="1"/>
  <c r="AL55" i="14" s="1"/>
  <c r="AL56" i="14" s="1"/>
  <c r="AL57" i="14" s="1"/>
  <c r="AL58" i="14" s="1"/>
  <c r="AL59" i="14" s="1"/>
  <c r="AL60" i="14" s="1"/>
  <c r="AL61" i="14" s="1"/>
  <c r="AL62" i="14" s="1"/>
  <c r="AL63" i="14" s="1"/>
  <c r="AL64" i="14" s="1"/>
  <c r="AL65" i="14" s="1"/>
  <c r="AL66" i="14" s="1"/>
  <c r="AL67" i="14" s="1"/>
  <c r="AL68" i="14" s="1"/>
  <c r="AL69" i="14" s="1"/>
  <c r="AL70" i="14" s="1"/>
  <c r="AL71" i="14" s="1"/>
  <c r="AL72" i="14" s="1"/>
  <c r="AL73" i="14" s="1"/>
  <c r="AL74" i="14" s="1"/>
  <c r="AL75" i="14" s="1"/>
  <c r="AL76" i="14" s="1"/>
  <c r="AL77" i="14" s="1"/>
  <c r="AL78" i="14" s="1"/>
  <c r="AL79" i="14" s="1"/>
  <c r="AL80" i="14" s="1"/>
  <c r="AL81" i="14" s="1"/>
  <c r="AL82" i="14" s="1"/>
  <c r="AL83" i="14" s="1"/>
  <c r="AL84" i="14" s="1"/>
  <c r="AL85" i="14" s="1"/>
  <c r="AL86" i="14" s="1"/>
  <c r="AL87" i="14" s="1"/>
  <c r="AL88" i="14" s="1"/>
  <c r="AL89" i="14" s="1"/>
  <c r="AL90" i="14" s="1"/>
  <c r="AL91" i="14" s="1"/>
  <c r="AL92" i="14" s="1"/>
  <c r="AL93" i="14" s="1"/>
  <c r="AL94" i="14" s="1"/>
  <c r="AL95" i="14" s="1"/>
  <c r="AL96" i="14" s="1"/>
  <c r="AL97" i="14" s="1"/>
  <c r="AL98" i="14" s="1"/>
  <c r="AL99" i="14" s="1"/>
  <c r="AL100" i="14" s="1"/>
  <c r="AL101" i="14" s="1"/>
  <c r="AL102" i="14" s="1"/>
  <c r="AL103" i="14" s="1"/>
  <c r="AL104" i="14" s="1"/>
  <c r="AL105" i="14" s="1"/>
  <c r="AL106" i="14" s="1"/>
  <c r="AL107" i="14" s="1"/>
  <c r="AL108" i="14" s="1"/>
  <c r="AL109" i="14" s="1"/>
  <c r="AL110" i="14" s="1"/>
  <c r="AL111" i="14" s="1"/>
  <c r="AL112" i="14" s="1"/>
  <c r="AL113" i="14" s="1"/>
  <c r="AL114" i="14" s="1"/>
  <c r="AL115" i="14" s="1"/>
  <c r="AL116" i="14" s="1"/>
  <c r="AL117" i="14" s="1"/>
  <c r="AL118" i="14" s="1"/>
  <c r="AL119" i="14" s="1"/>
  <c r="AL120" i="14" s="1"/>
  <c r="AL121" i="14" s="1"/>
  <c r="AL122" i="14" s="1"/>
  <c r="AL123" i="14" s="1"/>
  <c r="AL124" i="14" s="1"/>
  <c r="CJ6" i="14"/>
  <c r="CJ7" i="14" s="1"/>
  <c r="CJ8" i="14" s="1"/>
  <c r="CJ9" i="14" s="1"/>
  <c r="CJ10" i="14" s="1"/>
  <c r="CJ11" i="14" s="1"/>
  <c r="CJ12" i="14" s="1"/>
  <c r="CJ13" i="14" s="1"/>
  <c r="CJ14" i="14" s="1"/>
  <c r="CJ15" i="14" s="1"/>
  <c r="CJ16" i="14" s="1"/>
  <c r="CJ17" i="14" s="1"/>
  <c r="CJ18" i="14" s="1"/>
  <c r="CJ19" i="14" s="1"/>
  <c r="CJ20" i="14" s="1"/>
  <c r="CJ21" i="14" s="1"/>
  <c r="CJ22" i="14" s="1"/>
  <c r="CJ23" i="14" s="1"/>
  <c r="CJ24" i="14" s="1"/>
  <c r="CJ25" i="14" s="1"/>
  <c r="CJ26" i="14" s="1"/>
  <c r="CJ27" i="14" s="1"/>
  <c r="CJ28" i="14" s="1"/>
  <c r="CJ29" i="14" s="1"/>
  <c r="CJ30" i="14" s="1"/>
  <c r="CJ31" i="14" s="1"/>
  <c r="CJ32" i="14" s="1"/>
  <c r="CJ33" i="14" s="1"/>
  <c r="CJ34" i="14" s="1"/>
  <c r="CJ35" i="14" s="1"/>
  <c r="CJ36" i="14" s="1"/>
  <c r="CJ37" i="14" s="1"/>
  <c r="CJ38" i="14" s="1"/>
  <c r="CJ39" i="14" s="1"/>
  <c r="CJ40" i="14" s="1"/>
  <c r="CJ41" i="14" s="1"/>
  <c r="CJ42" i="14" s="1"/>
  <c r="CJ43" i="14" s="1"/>
  <c r="CJ44" i="14" s="1"/>
  <c r="CJ45" i="14" s="1"/>
  <c r="CJ46" i="14" s="1"/>
  <c r="CJ47" i="14" s="1"/>
  <c r="CJ48" i="14" s="1"/>
  <c r="CJ49" i="14" s="1"/>
  <c r="CJ50" i="14" s="1"/>
  <c r="CJ51" i="14" s="1"/>
  <c r="CJ52" i="14" s="1"/>
  <c r="CJ53" i="14" s="1"/>
  <c r="CJ54" i="14" s="1"/>
  <c r="CJ55" i="14" s="1"/>
  <c r="CJ56" i="14" s="1"/>
  <c r="CJ57" i="14" s="1"/>
  <c r="CJ58" i="14" s="1"/>
  <c r="CJ59" i="14" s="1"/>
  <c r="CJ60" i="14" s="1"/>
  <c r="CJ61" i="14" s="1"/>
  <c r="CJ62" i="14" s="1"/>
  <c r="CJ63" i="14" s="1"/>
  <c r="CJ64" i="14" s="1"/>
  <c r="CJ65" i="14" s="1"/>
  <c r="CJ66" i="14" s="1"/>
  <c r="CJ67" i="14" s="1"/>
  <c r="CJ68" i="14" s="1"/>
  <c r="CJ69" i="14" s="1"/>
  <c r="CJ70" i="14" s="1"/>
  <c r="CJ71" i="14" s="1"/>
  <c r="CJ72" i="14" s="1"/>
  <c r="CJ73" i="14" s="1"/>
  <c r="CJ74" i="14" s="1"/>
  <c r="CJ75" i="14" s="1"/>
  <c r="CJ76" i="14" s="1"/>
  <c r="CJ77" i="14" s="1"/>
  <c r="CJ78" i="14" s="1"/>
  <c r="CJ79" i="14" s="1"/>
  <c r="CJ80" i="14" s="1"/>
  <c r="CJ81" i="14" s="1"/>
  <c r="CJ82" i="14" s="1"/>
  <c r="CJ83" i="14" s="1"/>
  <c r="CJ84" i="14" s="1"/>
  <c r="CJ85" i="14" s="1"/>
  <c r="CJ86" i="14" s="1"/>
  <c r="CJ87" i="14" s="1"/>
  <c r="CJ88" i="14" s="1"/>
  <c r="CJ89" i="14" s="1"/>
  <c r="CJ90" i="14" s="1"/>
  <c r="CJ91" i="14" s="1"/>
  <c r="CJ92" i="14" s="1"/>
  <c r="CJ93" i="14" s="1"/>
  <c r="CJ94" i="14" s="1"/>
  <c r="CJ95" i="14" s="1"/>
  <c r="CJ96" i="14" s="1"/>
  <c r="CJ97" i="14" s="1"/>
  <c r="CJ98" i="14" s="1"/>
  <c r="CJ99" i="14" s="1"/>
  <c r="CJ100" i="14" s="1"/>
  <c r="CJ101" i="14" s="1"/>
  <c r="CJ102" i="14" s="1"/>
  <c r="CJ103" i="14" s="1"/>
  <c r="CJ104" i="14" s="1"/>
  <c r="CJ105" i="14" s="1"/>
  <c r="CJ106" i="14" s="1"/>
  <c r="CJ107" i="14" s="1"/>
  <c r="CJ108" i="14" s="1"/>
  <c r="CJ109" i="14" s="1"/>
  <c r="CJ110" i="14" s="1"/>
  <c r="CJ111" i="14" s="1"/>
  <c r="CJ112" i="14" s="1"/>
  <c r="CJ113" i="14" s="1"/>
  <c r="CJ114" i="14" s="1"/>
  <c r="CJ115" i="14" s="1"/>
  <c r="CJ116" i="14" s="1"/>
  <c r="CJ117" i="14" s="1"/>
  <c r="CJ118" i="14" s="1"/>
  <c r="CJ119" i="14" s="1"/>
  <c r="CJ120" i="14" s="1"/>
  <c r="CJ121" i="14" s="1"/>
  <c r="CJ122" i="14" s="1"/>
  <c r="CJ123" i="14" s="1"/>
  <c r="CJ124" i="14" s="1"/>
  <c r="G27" i="14"/>
  <c r="V6" i="14"/>
  <c r="V7" i="14" s="1"/>
  <c r="V8" i="14" s="1"/>
  <c r="V9" i="14" s="1"/>
  <c r="V10" i="14" s="1"/>
  <c r="V11" i="14" s="1"/>
  <c r="V12" i="14" s="1"/>
  <c r="V13" i="14" s="1"/>
  <c r="V14" i="14" s="1"/>
  <c r="V15" i="14" s="1"/>
  <c r="V16" i="14" s="1"/>
  <c r="V17" i="14" s="1"/>
  <c r="V18" i="14" s="1"/>
  <c r="V19" i="14" s="1"/>
  <c r="V20" i="14" s="1"/>
  <c r="V21" i="14" s="1"/>
  <c r="V22" i="14" s="1"/>
  <c r="V23" i="14" s="1"/>
  <c r="V24" i="14" s="1"/>
  <c r="V25" i="14" s="1"/>
  <c r="V26" i="14" s="1"/>
  <c r="V27" i="14" s="1"/>
  <c r="V28" i="14" s="1"/>
  <c r="V29" i="14" s="1"/>
  <c r="V30" i="14" s="1"/>
  <c r="V31" i="14" s="1"/>
  <c r="V32" i="14" s="1"/>
  <c r="V33" i="14" s="1"/>
  <c r="V34" i="14" s="1"/>
  <c r="V35" i="14" s="1"/>
  <c r="V36" i="14" s="1"/>
  <c r="V37" i="14" s="1"/>
  <c r="V38" i="14" s="1"/>
  <c r="V39" i="14" s="1"/>
  <c r="V40" i="14" s="1"/>
  <c r="V41" i="14" s="1"/>
  <c r="V42" i="14" s="1"/>
  <c r="V43" i="14" s="1"/>
  <c r="V44" i="14" s="1"/>
  <c r="V45" i="14" s="1"/>
  <c r="V46" i="14" s="1"/>
  <c r="V47" i="14" s="1"/>
  <c r="V48" i="14" s="1"/>
  <c r="V49" i="14" s="1"/>
  <c r="V50" i="14" s="1"/>
  <c r="V51" i="14" s="1"/>
  <c r="V52" i="14" s="1"/>
  <c r="V53" i="14" s="1"/>
  <c r="V54" i="14" s="1"/>
  <c r="V55" i="14" s="1"/>
  <c r="V56" i="14" s="1"/>
  <c r="V57" i="14" s="1"/>
  <c r="V58" i="14" s="1"/>
  <c r="V59" i="14" s="1"/>
  <c r="V60" i="14" s="1"/>
  <c r="V61" i="14" s="1"/>
  <c r="V62" i="14" s="1"/>
  <c r="V63" i="14" s="1"/>
  <c r="V64" i="14" s="1"/>
  <c r="V65" i="14" s="1"/>
  <c r="V66" i="14" s="1"/>
  <c r="V67" i="14" s="1"/>
  <c r="V68" i="14" s="1"/>
  <c r="V69" i="14" s="1"/>
  <c r="V70" i="14" s="1"/>
  <c r="V71" i="14" s="1"/>
  <c r="V72" i="14" s="1"/>
  <c r="V73" i="14" s="1"/>
  <c r="V74" i="14" s="1"/>
  <c r="V75" i="14" s="1"/>
  <c r="V76" i="14" s="1"/>
  <c r="V77" i="14" s="1"/>
  <c r="V78" i="14" s="1"/>
  <c r="V79" i="14" s="1"/>
  <c r="V80" i="14" s="1"/>
  <c r="V81" i="14" s="1"/>
  <c r="V82" i="14" s="1"/>
  <c r="V83" i="14" s="1"/>
  <c r="V84" i="14" s="1"/>
  <c r="V85" i="14" s="1"/>
  <c r="V86" i="14" s="1"/>
  <c r="V87" i="14" s="1"/>
  <c r="V88" i="14" s="1"/>
  <c r="V89" i="14" s="1"/>
  <c r="V90" i="14" s="1"/>
  <c r="V91" i="14" s="1"/>
  <c r="V92" i="14" s="1"/>
  <c r="V93" i="14" s="1"/>
  <c r="V94" i="14" s="1"/>
  <c r="V95" i="14" s="1"/>
  <c r="V96" i="14" s="1"/>
  <c r="V97" i="14" s="1"/>
  <c r="V98" i="14" s="1"/>
  <c r="V99" i="14" s="1"/>
  <c r="V100" i="14" s="1"/>
  <c r="V101" i="14" s="1"/>
  <c r="V102" i="14" s="1"/>
  <c r="V103" i="14" s="1"/>
  <c r="V104" i="14" s="1"/>
  <c r="V105" i="14" s="1"/>
  <c r="V106" i="14" s="1"/>
  <c r="V107" i="14" s="1"/>
  <c r="V108" i="14" s="1"/>
  <c r="V109" i="14" s="1"/>
  <c r="V110" i="14" s="1"/>
  <c r="V111" i="14" s="1"/>
  <c r="V112" i="14" s="1"/>
  <c r="V113" i="14" s="1"/>
  <c r="V114" i="14" s="1"/>
  <c r="V115" i="14" s="1"/>
  <c r="V116" i="14" s="1"/>
  <c r="V117" i="14" s="1"/>
  <c r="V118" i="14" s="1"/>
  <c r="V119" i="14" s="1"/>
  <c r="V120" i="14" s="1"/>
  <c r="V121" i="14" s="1"/>
  <c r="V122" i="14" s="1"/>
  <c r="V123" i="14" s="1"/>
  <c r="V124" i="14" s="1"/>
  <c r="AF6" i="14"/>
  <c r="AF7" i="14" s="1"/>
  <c r="AF8" i="14" s="1"/>
  <c r="AF9" i="14" s="1"/>
  <c r="AF10" i="14" s="1"/>
  <c r="AF11" i="14" s="1"/>
  <c r="AF12" i="14" s="1"/>
  <c r="AF13" i="14" s="1"/>
  <c r="AF14" i="14" s="1"/>
  <c r="AF15" i="14" s="1"/>
  <c r="AF16" i="14" s="1"/>
  <c r="AF17" i="14" s="1"/>
  <c r="AF18" i="14" s="1"/>
  <c r="AF19" i="14" s="1"/>
  <c r="AF20" i="14" s="1"/>
  <c r="AF21" i="14" s="1"/>
  <c r="AF22" i="14" s="1"/>
  <c r="AF23" i="14" s="1"/>
  <c r="AF24" i="14" s="1"/>
  <c r="AF25" i="14" s="1"/>
  <c r="AF26" i="14" s="1"/>
  <c r="AF27" i="14" s="1"/>
  <c r="AF28" i="14" s="1"/>
  <c r="AF29" i="14" s="1"/>
  <c r="AF30" i="14" s="1"/>
  <c r="AF31" i="14" s="1"/>
  <c r="AF32" i="14" s="1"/>
  <c r="AF33" i="14" s="1"/>
  <c r="AF34" i="14" s="1"/>
  <c r="AF35" i="14" s="1"/>
  <c r="AF36" i="14" s="1"/>
  <c r="AF37" i="14" s="1"/>
  <c r="AF38" i="14" s="1"/>
  <c r="AF39" i="14" s="1"/>
  <c r="AF40" i="14" s="1"/>
  <c r="AF41" i="14" s="1"/>
  <c r="AF42" i="14" s="1"/>
  <c r="AF43" i="14" s="1"/>
  <c r="AF44" i="14" s="1"/>
  <c r="AF45" i="14" s="1"/>
  <c r="AF46" i="14" s="1"/>
  <c r="AF47" i="14" s="1"/>
  <c r="AF48" i="14" s="1"/>
  <c r="AF49" i="14" s="1"/>
  <c r="AF50" i="14" s="1"/>
  <c r="AF51" i="14" s="1"/>
  <c r="AF52" i="14" s="1"/>
  <c r="AF53" i="14" s="1"/>
  <c r="AF54" i="14" s="1"/>
  <c r="AF55" i="14" s="1"/>
  <c r="AF56" i="14" s="1"/>
  <c r="AF57" i="14" s="1"/>
  <c r="AF58" i="14" s="1"/>
  <c r="AF59" i="14" s="1"/>
  <c r="AF60" i="14" s="1"/>
  <c r="AF61" i="14" s="1"/>
  <c r="AF62" i="14" s="1"/>
  <c r="AF63" i="14" s="1"/>
  <c r="AF64" i="14" s="1"/>
  <c r="AF65" i="14" s="1"/>
  <c r="AF66" i="14" s="1"/>
  <c r="AF67" i="14" s="1"/>
  <c r="AF68" i="14" s="1"/>
  <c r="AF69" i="14" s="1"/>
  <c r="AF70" i="14" s="1"/>
  <c r="AF71" i="14" s="1"/>
  <c r="AF72" i="14" s="1"/>
  <c r="AF73" i="14" s="1"/>
  <c r="AF74" i="14" s="1"/>
  <c r="AF75" i="14" s="1"/>
  <c r="AF76" i="14" s="1"/>
  <c r="AF77" i="14" s="1"/>
  <c r="AF78" i="14" s="1"/>
  <c r="AF79" i="14" s="1"/>
  <c r="AF80" i="14" s="1"/>
  <c r="AF81" i="14" s="1"/>
  <c r="AF82" i="14" s="1"/>
  <c r="AF83" i="14" s="1"/>
  <c r="AF84" i="14" s="1"/>
  <c r="AF85" i="14" s="1"/>
  <c r="AF86" i="14" s="1"/>
  <c r="AF87" i="14" s="1"/>
  <c r="AF88" i="14" s="1"/>
  <c r="AF89" i="14" s="1"/>
  <c r="AF90" i="14" s="1"/>
  <c r="AF91" i="14" s="1"/>
  <c r="AF92" i="14" s="1"/>
  <c r="AF93" i="14" s="1"/>
  <c r="AF94" i="14" s="1"/>
  <c r="AF95" i="14" s="1"/>
  <c r="AF96" i="14" s="1"/>
  <c r="AF97" i="14" s="1"/>
  <c r="AF98" i="14" s="1"/>
  <c r="AF99" i="14" s="1"/>
  <c r="AF100" i="14" s="1"/>
  <c r="AF101" i="14" s="1"/>
  <c r="AF102" i="14" s="1"/>
  <c r="AF103" i="14" s="1"/>
  <c r="AF104" i="14" s="1"/>
  <c r="AF105" i="14" s="1"/>
  <c r="AF106" i="14" s="1"/>
  <c r="AF107" i="14" s="1"/>
  <c r="AF108" i="14" s="1"/>
  <c r="AF109" i="14" s="1"/>
  <c r="AF110" i="14" s="1"/>
  <c r="AF111" i="14" s="1"/>
  <c r="AF112" i="14" s="1"/>
  <c r="AF113" i="14" s="1"/>
  <c r="AF114" i="14" s="1"/>
  <c r="AF115" i="14" s="1"/>
  <c r="AF116" i="14" s="1"/>
  <c r="AF117" i="14" s="1"/>
  <c r="AF118" i="14" s="1"/>
  <c r="AF119" i="14" s="1"/>
  <c r="AF120" i="14" s="1"/>
  <c r="AF121" i="14" s="1"/>
  <c r="AF122" i="14" s="1"/>
  <c r="AF123" i="14" s="1"/>
  <c r="AF124" i="14" s="1"/>
  <c r="AP6" i="14"/>
  <c r="AP7" i="14" s="1"/>
  <c r="AP8" i="14" s="1"/>
  <c r="AP9" i="14" s="1"/>
  <c r="AP10" i="14" s="1"/>
  <c r="AP11" i="14" s="1"/>
  <c r="AP12" i="14" s="1"/>
  <c r="AP13" i="14" s="1"/>
  <c r="AP14" i="14" s="1"/>
  <c r="AP15" i="14" s="1"/>
  <c r="AP16" i="14" s="1"/>
  <c r="AP17" i="14" s="1"/>
  <c r="AP18" i="14" s="1"/>
  <c r="AP19" i="14" s="1"/>
  <c r="AP20" i="14" s="1"/>
  <c r="AP21" i="14" s="1"/>
  <c r="AP22" i="14" s="1"/>
  <c r="AP23" i="14" s="1"/>
  <c r="AP24" i="14" s="1"/>
  <c r="AP25" i="14" s="1"/>
  <c r="AP26" i="14" s="1"/>
  <c r="AP27" i="14" s="1"/>
  <c r="AP28" i="14" s="1"/>
  <c r="AP29" i="14" s="1"/>
  <c r="AP30" i="14" s="1"/>
  <c r="AP31" i="14" s="1"/>
  <c r="AP32" i="14" s="1"/>
  <c r="AP33" i="14" s="1"/>
  <c r="AP34" i="14" s="1"/>
  <c r="AP35" i="14" s="1"/>
  <c r="AP36" i="14" s="1"/>
  <c r="AP37" i="14" s="1"/>
  <c r="AP38" i="14" s="1"/>
  <c r="AP39" i="14" s="1"/>
  <c r="AP40" i="14" s="1"/>
  <c r="AP41" i="14" s="1"/>
  <c r="AP42" i="14" s="1"/>
  <c r="AP43" i="14" s="1"/>
  <c r="AP44" i="14" s="1"/>
  <c r="AP45" i="14" s="1"/>
  <c r="AP46" i="14" s="1"/>
  <c r="AP47" i="14" s="1"/>
  <c r="AP48" i="14" s="1"/>
  <c r="AP49" i="14" s="1"/>
  <c r="AP50" i="14" s="1"/>
  <c r="AP51" i="14" s="1"/>
  <c r="AP52" i="14" s="1"/>
  <c r="AP53" i="14" s="1"/>
  <c r="AP54" i="14" s="1"/>
  <c r="AP55" i="14" s="1"/>
  <c r="AP56" i="14" s="1"/>
  <c r="AP57" i="14" s="1"/>
  <c r="AP58" i="14" s="1"/>
  <c r="AP59" i="14" s="1"/>
  <c r="AP60" i="14" s="1"/>
  <c r="AP61" i="14" s="1"/>
  <c r="AP62" i="14" s="1"/>
  <c r="AP63" i="14" s="1"/>
  <c r="AP64" i="14" s="1"/>
  <c r="AP65" i="14" s="1"/>
  <c r="AP66" i="14" s="1"/>
  <c r="AP67" i="14" s="1"/>
  <c r="AP68" i="14" s="1"/>
  <c r="AP69" i="14" s="1"/>
  <c r="AP70" i="14" s="1"/>
  <c r="AP71" i="14" s="1"/>
  <c r="AP72" i="14" s="1"/>
  <c r="AP73" i="14" s="1"/>
  <c r="AP74" i="14" s="1"/>
  <c r="AP75" i="14" s="1"/>
  <c r="AP76" i="14" s="1"/>
  <c r="AP77" i="14" s="1"/>
  <c r="AP78" i="14" s="1"/>
  <c r="AP79" i="14" s="1"/>
  <c r="AP80" i="14" s="1"/>
  <c r="AP81" i="14" s="1"/>
  <c r="AP82" i="14" s="1"/>
  <c r="AP83" i="14" s="1"/>
  <c r="AP84" i="14" s="1"/>
  <c r="AP85" i="14" s="1"/>
  <c r="AP86" i="14" s="1"/>
  <c r="AP87" i="14" s="1"/>
  <c r="AP88" i="14" s="1"/>
  <c r="AP89" i="14" s="1"/>
  <c r="AP90" i="14" s="1"/>
  <c r="AP91" i="14" s="1"/>
  <c r="AP92" i="14" s="1"/>
  <c r="AP93" i="14" s="1"/>
  <c r="AP94" i="14" s="1"/>
  <c r="AP95" i="14" s="1"/>
  <c r="AP96" i="14" s="1"/>
  <c r="AP97" i="14" s="1"/>
  <c r="AP98" i="14" s="1"/>
  <c r="AP99" i="14" s="1"/>
  <c r="AP100" i="14" s="1"/>
  <c r="AP101" i="14" s="1"/>
  <c r="AP102" i="14" s="1"/>
  <c r="AP103" i="14" s="1"/>
  <c r="AP104" i="14" s="1"/>
  <c r="AP105" i="14" s="1"/>
  <c r="AP106" i="14" s="1"/>
  <c r="AP107" i="14" s="1"/>
  <c r="AP108" i="14" s="1"/>
  <c r="AP109" i="14" s="1"/>
  <c r="AP110" i="14" s="1"/>
  <c r="AP111" i="14" s="1"/>
  <c r="AP112" i="14" s="1"/>
  <c r="AP113" i="14" s="1"/>
  <c r="AP114" i="14" s="1"/>
  <c r="AP115" i="14" s="1"/>
  <c r="AP116" i="14" s="1"/>
  <c r="AP117" i="14" s="1"/>
  <c r="AP118" i="14" s="1"/>
  <c r="AP119" i="14" s="1"/>
  <c r="AP120" i="14" s="1"/>
  <c r="AP121" i="14" s="1"/>
  <c r="AP122" i="14" s="1"/>
  <c r="AP123" i="14" s="1"/>
  <c r="AP124" i="14" s="1"/>
  <c r="AZ6" i="14"/>
  <c r="AZ7" i="14" s="1"/>
  <c r="AZ8" i="14" s="1"/>
  <c r="AZ9" i="14" s="1"/>
  <c r="AZ10" i="14" s="1"/>
  <c r="AZ11" i="14" s="1"/>
  <c r="AZ12" i="14" s="1"/>
  <c r="AZ13" i="14" s="1"/>
  <c r="AZ14" i="14" s="1"/>
  <c r="AZ15" i="14" s="1"/>
  <c r="AZ16" i="14" s="1"/>
  <c r="AZ17" i="14" s="1"/>
  <c r="AZ18" i="14" s="1"/>
  <c r="AZ19" i="14" s="1"/>
  <c r="AZ20" i="14" s="1"/>
  <c r="AZ21" i="14" s="1"/>
  <c r="AZ22" i="14" s="1"/>
  <c r="AZ23" i="14" s="1"/>
  <c r="AZ24" i="14" s="1"/>
  <c r="AZ25" i="14" s="1"/>
  <c r="AZ26" i="14" s="1"/>
  <c r="AZ27" i="14" s="1"/>
  <c r="AZ28" i="14" s="1"/>
  <c r="AZ29" i="14" s="1"/>
  <c r="AZ30" i="14" s="1"/>
  <c r="AZ31" i="14" s="1"/>
  <c r="AZ32" i="14" s="1"/>
  <c r="AZ33" i="14" s="1"/>
  <c r="AZ34" i="14" s="1"/>
  <c r="AZ35" i="14" s="1"/>
  <c r="AZ36" i="14" s="1"/>
  <c r="AZ37" i="14" s="1"/>
  <c r="AZ38" i="14" s="1"/>
  <c r="AZ39" i="14" s="1"/>
  <c r="AZ40" i="14" s="1"/>
  <c r="AZ41" i="14" s="1"/>
  <c r="AZ42" i="14" s="1"/>
  <c r="AZ43" i="14" s="1"/>
  <c r="AZ44" i="14" s="1"/>
  <c r="AZ45" i="14" s="1"/>
  <c r="AZ46" i="14" s="1"/>
  <c r="AZ47" i="14" s="1"/>
  <c r="AZ48" i="14" s="1"/>
  <c r="AZ49" i="14" s="1"/>
  <c r="AZ50" i="14" s="1"/>
  <c r="AZ51" i="14" s="1"/>
  <c r="AZ52" i="14" s="1"/>
  <c r="AZ53" i="14" s="1"/>
  <c r="AZ54" i="14" s="1"/>
  <c r="AZ55" i="14" s="1"/>
  <c r="AZ56" i="14" s="1"/>
  <c r="AZ57" i="14" s="1"/>
  <c r="AZ58" i="14" s="1"/>
  <c r="AZ59" i="14" s="1"/>
  <c r="AZ60" i="14" s="1"/>
  <c r="AZ61" i="14" s="1"/>
  <c r="AZ62" i="14" s="1"/>
  <c r="AZ63" i="14" s="1"/>
  <c r="AZ64" i="14" s="1"/>
  <c r="AZ65" i="14" s="1"/>
  <c r="AZ66" i="14" s="1"/>
  <c r="AZ67" i="14" s="1"/>
  <c r="AZ68" i="14" s="1"/>
  <c r="AZ69" i="14" s="1"/>
  <c r="AZ70" i="14" s="1"/>
  <c r="AZ71" i="14" s="1"/>
  <c r="AZ72" i="14" s="1"/>
  <c r="AZ73" i="14" s="1"/>
  <c r="AZ74" i="14" s="1"/>
  <c r="AZ75" i="14" s="1"/>
  <c r="AZ76" i="14" s="1"/>
  <c r="AZ77" i="14" s="1"/>
  <c r="AZ78" i="14" s="1"/>
  <c r="AZ79" i="14" s="1"/>
  <c r="AZ80" i="14" s="1"/>
  <c r="AZ81" i="14" s="1"/>
  <c r="AZ82" i="14" s="1"/>
  <c r="AZ83" i="14" s="1"/>
  <c r="AZ84" i="14" s="1"/>
  <c r="AZ85" i="14" s="1"/>
  <c r="AZ86" i="14" s="1"/>
  <c r="AZ87" i="14" s="1"/>
  <c r="AZ88" i="14" s="1"/>
  <c r="AZ89" i="14" s="1"/>
  <c r="AZ90" i="14" s="1"/>
  <c r="AZ91" i="14" s="1"/>
  <c r="AZ92" i="14" s="1"/>
  <c r="AZ93" i="14" s="1"/>
  <c r="AZ94" i="14" s="1"/>
  <c r="AZ95" i="14" s="1"/>
  <c r="AZ96" i="14" s="1"/>
  <c r="AZ97" i="14" s="1"/>
  <c r="AZ98" i="14" s="1"/>
  <c r="AZ99" i="14" s="1"/>
  <c r="AZ100" i="14" s="1"/>
  <c r="AZ101" i="14" s="1"/>
  <c r="AZ102" i="14" s="1"/>
  <c r="AZ103" i="14" s="1"/>
  <c r="AZ104" i="14" s="1"/>
  <c r="AZ105" i="14" s="1"/>
  <c r="AZ106" i="14" s="1"/>
  <c r="AZ107" i="14" s="1"/>
  <c r="AZ108" i="14" s="1"/>
  <c r="AZ109" i="14" s="1"/>
  <c r="AZ110" i="14" s="1"/>
  <c r="AZ111" i="14" s="1"/>
  <c r="AZ112" i="14" s="1"/>
  <c r="AZ113" i="14" s="1"/>
  <c r="AZ114" i="14" s="1"/>
  <c r="AZ115" i="14" s="1"/>
  <c r="AZ116" i="14" s="1"/>
  <c r="AZ117" i="14" s="1"/>
  <c r="AZ118" i="14" s="1"/>
  <c r="AZ119" i="14" s="1"/>
  <c r="AZ120" i="14" s="1"/>
  <c r="AZ121" i="14" s="1"/>
  <c r="AZ122" i="14" s="1"/>
  <c r="AZ123" i="14" s="1"/>
  <c r="AZ124" i="14" s="1"/>
  <c r="BJ6" i="14"/>
  <c r="BJ7" i="14" s="1"/>
  <c r="BJ8" i="14" s="1"/>
  <c r="BJ9" i="14" s="1"/>
  <c r="BJ10" i="14" s="1"/>
  <c r="BJ11" i="14" s="1"/>
  <c r="BJ12" i="14" s="1"/>
  <c r="BJ13" i="14" s="1"/>
  <c r="BJ14" i="14" s="1"/>
  <c r="BJ15" i="14" s="1"/>
  <c r="BJ16" i="14" s="1"/>
  <c r="BJ17" i="14" s="1"/>
  <c r="BJ18" i="14" s="1"/>
  <c r="BJ19" i="14" s="1"/>
  <c r="BJ20" i="14" s="1"/>
  <c r="BJ21" i="14" s="1"/>
  <c r="BJ22" i="14" s="1"/>
  <c r="BJ23" i="14" s="1"/>
  <c r="BJ24" i="14" s="1"/>
  <c r="BJ25" i="14" s="1"/>
  <c r="BJ26" i="14" s="1"/>
  <c r="BJ27" i="14" s="1"/>
  <c r="BJ28" i="14" s="1"/>
  <c r="BJ29" i="14" s="1"/>
  <c r="BJ30" i="14" s="1"/>
  <c r="BJ31" i="14" s="1"/>
  <c r="BJ32" i="14" s="1"/>
  <c r="BJ33" i="14" s="1"/>
  <c r="BJ34" i="14" s="1"/>
  <c r="BJ35" i="14" s="1"/>
  <c r="BJ36" i="14" s="1"/>
  <c r="BJ37" i="14" s="1"/>
  <c r="BJ38" i="14" s="1"/>
  <c r="BJ39" i="14" s="1"/>
  <c r="BJ40" i="14" s="1"/>
  <c r="BJ41" i="14" s="1"/>
  <c r="BJ42" i="14" s="1"/>
  <c r="BJ43" i="14" s="1"/>
  <c r="BJ44" i="14" s="1"/>
  <c r="BJ45" i="14" s="1"/>
  <c r="BJ46" i="14" s="1"/>
  <c r="BJ47" i="14" s="1"/>
  <c r="BJ48" i="14" s="1"/>
  <c r="BJ49" i="14" s="1"/>
  <c r="BJ50" i="14" s="1"/>
  <c r="BJ51" i="14" s="1"/>
  <c r="BJ52" i="14" s="1"/>
  <c r="BJ53" i="14" s="1"/>
  <c r="BJ54" i="14" s="1"/>
  <c r="BJ55" i="14" s="1"/>
  <c r="BJ56" i="14" s="1"/>
  <c r="BJ57" i="14" s="1"/>
  <c r="BJ58" i="14" s="1"/>
  <c r="BJ59" i="14" s="1"/>
  <c r="BJ60" i="14" s="1"/>
  <c r="BJ61" i="14" s="1"/>
  <c r="BJ62" i="14" s="1"/>
  <c r="BJ63" i="14" s="1"/>
  <c r="BJ64" i="14" s="1"/>
  <c r="BJ65" i="14" s="1"/>
  <c r="BJ66" i="14" s="1"/>
  <c r="BJ67" i="14" s="1"/>
  <c r="BJ68" i="14" s="1"/>
  <c r="BJ69" i="14" s="1"/>
  <c r="BJ70" i="14" s="1"/>
  <c r="BJ71" i="14" s="1"/>
  <c r="BJ72" i="14" s="1"/>
  <c r="BJ73" i="14" s="1"/>
  <c r="BJ74" i="14" s="1"/>
  <c r="BJ75" i="14" s="1"/>
  <c r="BJ76" i="14" s="1"/>
  <c r="BJ77" i="14" s="1"/>
  <c r="BJ78" i="14" s="1"/>
  <c r="BJ79" i="14" s="1"/>
  <c r="BJ80" i="14" s="1"/>
  <c r="BJ81" i="14" s="1"/>
  <c r="BJ82" i="14" s="1"/>
  <c r="BJ83" i="14" s="1"/>
  <c r="BJ84" i="14" s="1"/>
  <c r="BJ85" i="14" s="1"/>
  <c r="BJ86" i="14" s="1"/>
  <c r="BJ87" i="14" s="1"/>
  <c r="BJ88" i="14" s="1"/>
  <c r="BJ89" i="14" s="1"/>
  <c r="BJ90" i="14" s="1"/>
  <c r="BJ91" i="14" s="1"/>
  <c r="BJ92" i="14" s="1"/>
  <c r="BJ93" i="14" s="1"/>
  <c r="BJ94" i="14" s="1"/>
  <c r="BJ95" i="14" s="1"/>
  <c r="BJ96" i="14" s="1"/>
  <c r="BJ97" i="14" s="1"/>
  <c r="BJ98" i="14" s="1"/>
  <c r="BJ99" i="14" s="1"/>
  <c r="BJ100" i="14" s="1"/>
  <c r="BJ101" i="14" s="1"/>
  <c r="BJ102" i="14" s="1"/>
  <c r="BJ103" i="14" s="1"/>
  <c r="BJ104" i="14" s="1"/>
  <c r="BJ105" i="14" s="1"/>
  <c r="BJ106" i="14" s="1"/>
  <c r="BJ107" i="14" s="1"/>
  <c r="BJ108" i="14" s="1"/>
  <c r="BJ109" i="14" s="1"/>
  <c r="BJ110" i="14" s="1"/>
  <c r="BJ111" i="14" s="1"/>
  <c r="BJ112" i="14" s="1"/>
  <c r="BJ113" i="14" s="1"/>
  <c r="BJ114" i="14" s="1"/>
  <c r="BJ115" i="14" s="1"/>
  <c r="BJ116" i="14" s="1"/>
  <c r="BJ117" i="14" s="1"/>
  <c r="BJ118" i="14" s="1"/>
  <c r="BJ119" i="14" s="1"/>
  <c r="BJ120" i="14" s="1"/>
  <c r="BJ121" i="14" s="1"/>
  <c r="BJ122" i="14" s="1"/>
  <c r="BJ123" i="14" s="1"/>
  <c r="BJ124" i="14" s="1"/>
  <c r="BT6" i="14"/>
  <c r="BT7" i="14" s="1"/>
  <c r="BT8" i="14" s="1"/>
  <c r="BT9" i="14" s="1"/>
  <c r="BT10" i="14" s="1"/>
  <c r="BT11" i="14" s="1"/>
  <c r="BT12" i="14" s="1"/>
  <c r="BT13" i="14" s="1"/>
  <c r="BT14" i="14" s="1"/>
  <c r="BT15" i="14" s="1"/>
  <c r="BT16" i="14" s="1"/>
  <c r="BT17" i="14" s="1"/>
  <c r="BT18" i="14" s="1"/>
  <c r="BT19" i="14" s="1"/>
  <c r="BT20" i="14" s="1"/>
  <c r="BT21" i="14" s="1"/>
  <c r="BT22" i="14" s="1"/>
  <c r="BT23" i="14" s="1"/>
  <c r="BT24" i="14" s="1"/>
  <c r="BT25" i="14" s="1"/>
  <c r="BT26" i="14" s="1"/>
  <c r="BT27" i="14" s="1"/>
  <c r="BT28" i="14" s="1"/>
  <c r="BT29" i="14" s="1"/>
  <c r="BT30" i="14" s="1"/>
  <c r="BT31" i="14" s="1"/>
  <c r="BT32" i="14" s="1"/>
  <c r="BT33" i="14" s="1"/>
  <c r="BT34" i="14" s="1"/>
  <c r="BT35" i="14" s="1"/>
  <c r="BT36" i="14" s="1"/>
  <c r="BT37" i="14" s="1"/>
  <c r="BT38" i="14" s="1"/>
  <c r="BT39" i="14" s="1"/>
  <c r="BT40" i="14" s="1"/>
  <c r="BT41" i="14" s="1"/>
  <c r="BT42" i="14" s="1"/>
  <c r="BT43" i="14" s="1"/>
  <c r="BT44" i="14" s="1"/>
  <c r="BT45" i="14" s="1"/>
  <c r="BT46" i="14" s="1"/>
  <c r="BT47" i="14" s="1"/>
  <c r="BT48" i="14" s="1"/>
  <c r="BT49" i="14" s="1"/>
  <c r="BT50" i="14" s="1"/>
  <c r="BT51" i="14" s="1"/>
  <c r="BT52" i="14" s="1"/>
  <c r="BT53" i="14" s="1"/>
  <c r="BT54" i="14" s="1"/>
  <c r="BT55" i="14" s="1"/>
  <c r="BT56" i="14" s="1"/>
  <c r="BT57" i="14" s="1"/>
  <c r="BT58" i="14" s="1"/>
  <c r="BT59" i="14" s="1"/>
  <c r="BT60" i="14" s="1"/>
  <c r="BT61" i="14" s="1"/>
  <c r="BT62" i="14" s="1"/>
  <c r="BT63" i="14" s="1"/>
  <c r="BT64" i="14" s="1"/>
  <c r="BT65" i="14" s="1"/>
  <c r="BT66" i="14" s="1"/>
  <c r="BT67" i="14" s="1"/>
  <c r="BT68" i="14" s="1"/>
  <c r="BT69" i="14" s="1"/>
  <c r="BT70" i="14" s="1"/>
  <c r="BT71" i="14" s="1"/>
  <c r="BT72" i="14" s="1"/>
  <c r="BT73" i="14" s="1"/>
  <c r="BT74" i="14" s="1"/>
  <c r="BT75" i="14" s="1"/>
  <c r="BT76" i="14" s="1"/>
  <c r="BT77" i="14" s="1"/>
  <c r="BT78" i="14" s="1"/>
  <c r="BT79" i="14" s="1"/>
  <c r="BT80" i="14" s="1"/>
  <c r="BT81" i="14" s="1"/>
  <c r="BT82" i="14" s="1"/>
  <c r="BT83" i="14" s="1"/>
  <c r="BT84" i="14" s="1"/>
  <c r="BT85" i="14" s="1"/>
  <c r="BT86" i="14" s="1"/>
  <c r="BT87" i="14" s="1"/>
  <c r="BT88" i="14" s="1"/>
  <c r="BT89" i="14" s="1"/>
  <c r="BT90" i="14" s="1"/>
  <c r="BT91" i="14" s="1"/>
  <c r="BT92" i="14" s="1"/>
  <c r="BT93" i="14" s="1"/>
  <c r="BT94" i="14" s="1"/>
  <c r="BT95" i="14" s="1"/>
  <c r="BT96" i="14" s="1"/>
  <c r="BT97" i="14" s="1"/>
  <c r="BT98" i="14" s="1"/>
  <c r="BT99" i="14" s="1"/>
  <c r="BT100" i="14" s="1"/>
  <c r="BT101" i="14" s="1"/>
  <c r="BT102" i="14" s="1"/>
  <c r="BT103" i="14" s="1"/>
  <c r="BT104" i="14" s="1"/>
  <c r="BT105" i="14" s="1"/>
  <c r="BT106" i="14" s="1"/>
  <c r="BT107" i="14" s="1"/>
  <c r="BT108" i="14" s="1"/>
  <c r="BT109" i="14" s="1"/>
  <c r="BT110" i="14" s="1"/>
  <c r="BT111" i="14" s="1"/>
  <c r="BT112" i="14" s="1"/>
  <c r="BT113" i="14" s="1"/>
  <c r="BT114" i="14" s="1"/>
  <c r="BT115" i="14" s="1"/>
  <c r="BT116" i="14" s="1"/>
  <c r="BT117" i="14" s="1"/>
  <c r="BT118" i="14" s="1"/>
  <c r="BT119" i="14" s="1"/>
  <c r="BT120" i="14" s="1"/>
  <c r="BT121" i="14" s="1"/>
  <c r="BT122" i="14" s="1"/>
  <c r="BT123" i="14" s="1"/>
  <c r="BT124" i="14" s="1"/>
  <c r="CD6" i="14"/>
  <c r="CD7" i="14" s="1"/>
  <c r="CD8" i="14" s="1"/>
  <c r="CD9" i="14" s="1"/>
  <c r="CD10" i="14" s="1"/>
  <c r="CD11" i="14" s="1"/>
  <c r="CD12" i="14" s="1"/>
  <c r="CD13" i="14" s="1"/>
  <c r="CD14" i="14" s="1"/>
  <c r="CD15" i="14" s="1"/>
  <c r="CD16" i="14" s="1"/>
  <c r="CD17" i="14" s="1"/>
  <c r="CD18" i="14" s="1"/>
  <c r="CD19" i="14" s="1"/>
  <c r="CD20" i="14" s="1"/>
  <c r="CD21" i="14" s="1"/>
  <c r="CD22" i="14" s="1"/>
  <c r="CD23" i="14" s="1"/>
  <c r="CD24" i="14" s="1"/>
  <c r="CD25" i="14" s="1"/>
  <c r="CD26" i="14" s="1"/>
  <c r="CD27" i="14" s="1"/>
  <c r="CD28" i="14" s="1"/>
  <c r="CD29" i="14" s="1"/>
  <c r="CD30" i="14" s="1"/>
  <c r="CD31" i="14" s="1"/>
  <c r="CD32" i="14" s="1"/>
  <c r="CD33" i="14" s="1"/>
  <c r="CD34" i="14" s="1"/>
  <c r="CD35" i="14" s="1"/>
  <c r="CD36" i="14" s="1"/>
  <c r="CD37" i="14" s="1"/>
  <c r="CD38" i="14" s="1"/>
  <c r="CD39" i="14" s="1"/>
  <c r="CD40" i="14" s="1"/>
  <c r="CD41" i="14" s="1"/>
  <c r="CD42" i="14" s="1"/>
  <c r="CD43" i="14" s="1"/>
  <c r="CD44" i="14" s="1"/>
  <c r="CD45" i="14" s="1"/>
  <c r="CD46" i="14" s="1"/>
  <c r="CD47" i="14" s="1"/>
  <c r="CD48" i="14" s="1"/>
  <c r="CD49" i="14" s="1"/>
  <c r="CD50" i="14" s="1"/>
  <c r="CD51" i="14" s="1"/>
  <c r="CD52" i="14" s="1"/>
  <c r="CD53" i="14" s="1"/>
  <c r="CD54" i="14" s="1"/>
  <c r="CD55" i="14" s="1"/>
  <c r="CD56" i="14" s="1"/>
  <c r="CD57" i="14" s="1"/>
  <c r="CD58" i="14" s="1"/>
  <c r="CD59" i="14" s="1"/>
  <c r="CD60" i="14" s="1"/>
  <c r="CD61" i="14" s="1"/>
  <c r="CD62" i="14" s="1"/>
  <c r="CD63" i="14" s="1"/>
  <c r="CD64" i="14" s="1"/>
  <c r="CD65" i="14" s="1"/>
  <c r="CD66" i="14" s="1"/>
  <c r="CD67" i="14" s="1"/>
  <c r="CD68" i="14" s="1"/>
  <c r="CD69" i="14" s="1"/>
  <c r="CD70" i="14" s="1"/>
  <c r="CD71" i="14" s="1"/>
  <c r="CD72" i="14" s="1"/>
  <c r="CD73" i="14" s="1"/>
  <c r="CD74" i="14" s="1"/>
  <c r="CD75" i="14" s="1"/>
  <c r="CD76" i="14" s="1"/>
  <c r="CD77" i="14" s="1"/>
  <c r="CD78" i="14" s="1"/>
  <c r="CD79" i="14" s="1"/>
  <c r="CD80" i="14" s="1"/>
  <c r="CD81" i="14" s="1"/>
  <c r="CD82" i="14" s="1"/>
  <c r="CD83" i="14" s="1"/>
  <c r="CD84" i="14" s="1"/>
  <c r="CD85" i="14" s="1"/>
  <c r="CD86" i="14" s="1"/>
  <c r="CD87" i="14" s="1"/>
  <c r="CD88" i="14" s="1"/>
  <c r="CD89" i="14" s="1"/>
  <c r="CD90" i="14" s="1"/>
  <c r="CD91" i="14" s="1"/>
  <c r="CD92" i="14" s="1"/>
  <c r="CD93" i="14" s="1"/>
  <c r="CD94" i="14" s="1"/>
  <c r="CD95" i="14" s="1"/>
  <c r="CD96" i="14" s="1"/>
  <c r="CD97" i="14" s="1"/>
  <c r="CD98" i="14" s="1"/>
  <c r="CD99" i="14" s="1"/>
  <c r="CD100" i="14" s="1"/>
  <c r="CD101" i="14" s="1"/>
  <c r="CD102" i="14" s="1"/>
  <c r="CD103" i="14" s="1"/>
  <c r="CD104" i="14" s="1"/>
  <c r="CD105" i="14" s="1"/>
  <c r="CD106" i="14" s="1"/>
  <c r="CD107" i="14" s="1"/>
  <c r="CD108" i="14" s="1"/>
  <c r="CD109" i="14" s="1"/>
  <c r="CD110" i="14" s="1"/>
  <c r="CD111" i="14" s="1"/>
  <c r="CD112" i="14" s="1"/>
  <c r="CD113" i="14" s="1"/>
  <c r="CD114" i="14" s="1"/>
  <c r="CD115" i="14" s="1"/>
  <c r="CD116" i="14" s="1"/>
  <c r="CD117" i="14" s="1"/>
  <c r="CD118" i="14" s="1"/>
  <c r="CD119" i="14" s="1"/>
  <c r="CD120" i="14" s="1"/>
  <c r="CD121" i="14" s="1"/>
  <c r="CD122" i="14" s="1"/>
  <c r="CD123" i="14" s="1"/>
  <c r="CD124" i="14" s="1"/>
  <c r="CN6" i="14"/>
  <c r="CN7" i="14" s="1"/>
  <c r="CN8" i="14" s="1"/>
  <c r="CN9" i="14" s="1"/>
  <c r="CN10" i="14" s="1"/>
  <c r="CN11" i="14" s="1"/>
  <c r="CN12" i="14" s="1"/>
  <c r="CN13" i="14" s="1"/>
  <c r="CN14" i="14" s="1"/>
  <c r="CN15" i="14" s="1"/>
  <c r="CN16" i="14" s="1"/>
  <c r="CN17" i="14" s="1"/>
  <c r="CN18" i="14" s="1"/>
  <c r="CN19" i="14" s="1"/>
  <c r="CN20" i="14" s="1"/>
  <c r="CN21" i="14" s="1"/>
  <c r="CN22" i="14" s="1"/>
  <c r="CN23" i="14" s="1"/>
  <c r="CN24" i="14" s="1"/>
  <c r="CN25" i="14" s="1"/>
  <c r="CN26" i="14" s="1"/>
  <c r="CN27" i="14" s="1"/>
  <c r="CN28" i="14" s="1"/>
  <c r="CN29" i="14" s="1"/>
  <c r="CN30" i="14" s="1"/>
  <c r="CN31" i="14" s="1"/>
  <c r="CN32" i="14" s="1"/>
  <c r="CN33" i="14" s="1"/>
  <c r="CN34" i="14" s="1"/>
  <c r="CN35" i="14" s="1"/>
  <c r="CN36" i="14" s="1"/>
  <c r="CN37" i="14" s="1"/>
  <c r="CN38" i="14" s="1"/>
  <c r="CN39" i="14" s="1"/>
  <c r="CN40" i="14" s="1"/>
  <c r="CN41" i="14" s="1"/>
  <c r="CN42" i="14" s="1"/>
  <c r="CN43" i="14" s="1"/>
  <c r="CN44" i="14" s="1"/>
  <c r="CN45" i="14" s="1"/>
  <c r="CN46" i="14" s="1"/>
  <c r="CN47" i="14" s="1"/>
  <c r="CN48" i="14" s="1"/>
  <c r="CN49" i="14" s="1"/>
  <c r="CN50" i="14" s="1"/>
  <c r="CN51" i="14" s="1"/>
  <c r="CN52" i="14" s="1"/>
  <c r="CN53" i="14" s="1"/>
  <c r="CN54" i="14" s="1"/>
  <c r="CN55" i="14" s="1"/>
  <c r="CN56" i="14" s="1"/>
  <c r="CN57" i="14" s="1"/>
  <c r="CN58" i="14" s="1"/>
  <c r="CN59" i="14" s="1"/>
  <c r="CN60" i="14" s="1"/>
  <c r="CN61" i="14" s="1"/>
  <c r="CN62" i="14" s="1"/>
  <c r="CN63" i="14" s="1"/>
  <c r="CN64" i="14" s="1"/>
  <c r="CN65" i="14" s="1"/>
  <c r="CN66" i="14" s="1"/>
  <c r="CN67" i="14" s="1"/>
  <c r="CN68" i="14" s="1"/>
  <c r="CN69" i="14" s="1"/>
  <c r="CN70" i="14" s="1"/>
  <c r="CN71" i="14" s="1"/>
  <c r="CN72" i="14" s="1"/>
  <c r="CN73" i="14" s="1"/>
  <c r="CN74" i="14" s="1"/>
  <c r="CN75" i="14" s="1"/>
  <c r="CN76" i="14" s="1"/>
  <c r="CN77" i="14" s="1"/>
  <c r="CN78" i="14" s="1"/>
  <c r="CN79" i="14" s="1"/>
  <c r="CN80" i="14" s="1"/>
  <c r="CN81" i="14" s="1"/>
  <c r="CN82" i="14" s="1"/>
  <c r="CN83" i="14" s="1"/>
  <c r="CN84" i="14" s="1"/>
  <c r="CN85" i="14" s="1"/>
  <c r="CN86" i="14" s="1"/>
  <c r="CN87" i="14" s="1"/>
  <c r="CN88" i="14" s="1"/>
  <c r="CN89" i="14" s="1"/>
  <c r="CN90" i="14" s="1"/>
  <c r="CN91" i="14" s="1"/>
  <c r="CN92" i="14" s="1"/>
  <c r="CN93" i="14" s="1"/>
  <c r="CN94" i="14" s="1"/>
  <c r="CN95" i="14" s="1"/>
  <c r="CN96" i="14" s="1"/>
  <c r="CN97" i="14" s="1"/>
  <c r="CN98" i="14" s="1"/>
  <c r="CN99" i="14" s="1"/>
  <c r="CN100" i="14" s="1"/>
  <c r="CN101" i="14" s="1"/>
  <c r="CN102" i="14" s="1"/>
  <c r="CN103" i="14" s="1"/>
  <c r="CN104" i="14" s="1"/>
  <c r="CN105" i="14" s="1"/>
  <c r="CN106" i="14" s="1"/>
  <c r="CN107" i="14" s="1"/>
  <c r="CN108" i="14" s="1"/>
  <c r="CN109" i="14" s="1"/>
  <c r="CN110" i="14" s="1"/>
  <c r="CN111" i="14" s="1"/>
  <c r="CN112" i="14" s="1"/>
  <c r="CN113" i="14" s="1"/>
  <c r="CN114" i="14" s="1"/>
  <c r="CN115" i="14" s="1"/>
  <c r="CN116" i="14" s="1"/>
  <c r="CN117" i="14" s="1"/>
  <c r="CN118" i="14" s="1"/>
  <c r="CN119" i="14" s="1"/>
  <c r="CN120" i="14" s="1"/>
  <c r="CN121" i="14" s="1"/>
  <c r="CN122" i="14" s="1"/>
  <c r="CN123" i="14" s="1"/>
  <c r="CN124" i="14" s="1"/>
  <c r="CX6" i="14"/>
  <c r="CX7" i="14" s="1"/>
  <c r="CX8" i="14" s="1"/>
  <c r="CX9" i="14" s="1"/>
  <c r="CX10" i="14" s="1"/>
  <c r="CX11" i="14" s="1"/>
  <c r="CX12" i="14" s="1"/>
  <c r="CX13" i="14" s="1"/>
  <c r="CX14" i="14" s="1"/>
  <c r="CX15" i="14" s="1"/>
  <c r="CX16" i="14" s="1"/>
  <c r="CX17" i="14" s="1"/>
  <c r="CX18" i="14" s="1"/>
  <c r="CX19" i="14" s="1"/>
  <c r="CX20" i="14" s="1"/>
  <c r="CX21" i="14" s="1"/>
  <c r="CX22" i="14" s="1"/>
  <c r="CX23" i="14" s="1"/>
  <c r="CX24" i="14" s="1"/>
  <c r="CX25" i="14" s="1"/>
  <c r="CX26" i="14" s="1"/>
  <c r="CX27" i="14" s="1"/>
  <c r="CX28" i="14" s="1"/>
  <c r="CX29" i="14" s="1"/>
  <c r="CX30" i="14" s="1"/>
  <c r="CX31" i="14" s="1"/>
  <c r="CX32" i="14" s="1"/>
  <c r="CX33" i="14" s="1"/>
  <c r="CX34" i="14" s="1"/>
  <c r="CX35" i="14" s="1"/>
  <c r="CX36" i="14" s="1"/>
  <c r="CX37" i="14" s="1"/>
  <c r="CX38" i="14" s="1"/>
  <c r="CX39" i="14" s="1"/>
  <c r="CX40" i="14" s="1"/>
  <c r="CX41" i="14" s="1"/>
  <c r="CX42" i="14" s="1"/>
  <c r="CX43" i="14" s="1"/>
  <c r="CX44" i="14" s="1"/>
  <c r="CX45" i="14" s="1"/>
  <c r="CX46" i="14" s="1"/>
  <c r="CX47" i="14" s="1"/>
  <c r="CX48" i="14" s="1"/>
  <c r="CX49" i="14" s="1"/>
  <c r="CX50" i="14" s="1"/>
  <c r="CX51" i="14" s="1"/>
  <c r="CX52" i="14" s="1"/>
  <c r="CX53" i="14" s="1"/>
  <c r="CX54" i="14" s="1"/>
  <c r="CX55" i="14" s="1"/>
  <c r="CX56" i="14" s="1"/>
  <c r="CX57" i="14" s="1"/>
  <c r="CX58" i="14" s="1"/>
  <c r="CX59" i="14" s="1"/>
  <c r="CX60" i="14" s="1"/>
  <c r="CX61" i="14" s="1"/>
  <c r="CX62" i="14" s="1"/>
  <c r="CX63" i="14" s="1"/>
  <c r="CX64" i="14" s="1"/>
  <c r="CX65" i="14" s="1"/>
  <c r="CX66" i="14" s="1"/>
  <c r="CX67" i="14" s="1"/>
  <c r="CX68" i="14" s="1"/>
  <c r="CX69" i="14" s="1"/>
  <c r="CX70" i="14" s="1"/>
  <c r="CX71" i="14" s="1"/>
  <c r="CX72" i="14" s="1"/>
  <c r="CX73" i="14" s="1"/>
  <c r="CX74" i="14" s="1"/>
  <c r="CX75" i="14" s="1"/>
  <c r="CX76" i="14" s="1"/>
  <c r="CX77" i="14" s="1"/>
  <c r="CX78" i="14" s="1"/>
  <c r="CX79" i="14" s="1"/>
  <c r="CX80" i="14" s="1"/>
  <c r="CX81" i="14" s="1"/>
  <c r="CX82" i="14" s="1"/>
  <c r="CX83" i="14" s="1"/>
  <c r="CX84" i="14" s="1"/>
  <c r="CX85" i="14" s="1"/>
  <c r="CX86" i="14" s="1"/>
  <c r="CX87" i="14" s="1"/>
  <c r="CX88" i="14" s="1"/>
  <c r="CX89" i="14" s="1"/>
  <c r="CX90" i="14" s="1"/>
  <c r="CX91" i="14" s="1"/>
  <c r="CX92" i="14" s="1"/>
  <c r="CX93" i="14" s="1"/>
  <c r="CX94" i="14" s="1"/>
  <c r="CX95" i="14" s="1"/>
  <c r="CX96" i="14" s="1"/>
  <c r="CX97" i="14" s="1"/>
  <c r="CX98" i="14" s="1"/>
  <c r="CX99" i="14" s="1"/>
  <c r="CX100" i="14" s="1"/>
  <c r="CX101" i="14" s="1"/>
  <c r="CX102" i="14" s="1"/>
  <c r="CX103" i="14" s="1"/>
  <c r="CX104" i="14" s="1"/>
  <c r="CX105" i="14" s="1"/>
  <c r="CX106" i="14" s="1"/>
  <c r="CX107" i="14" s="1"/>
  <c r="CX108" i="14" s="1"/>
  <c r="CX109" i="14" s="1"/>
  <c r="CX110" i="14" s="1"/>
  <c r="CX111" i="14" s="1"/>
  <c r="CX112" i="14" s="1"/>
  <c r="CX113" i="14" s="1"/>
  <c r="CX114" i="14" s="1"/>
  <c r="CX115" i="14" s="1"/>
  <c r="CX116" i="14" s="1"/>
  <c r="CX117" i="14" s="1"/>
  <c r="CX118" i="14" s="1"/>
  <c r="CX119" i="14" s="1"/>
  <c r="CX120" i="14" s="1"/>
  <c r="CX121" i="14" s="1"/>
  <c r="CX122" i="14" s="1"/>
  <c r="CX123" i="14" s="1"/>
  <c r="CX124" i="14" s="1"/>
  <c r="DH6" i="14"/>
  <c r="DH7" i="14" s="1"/>
  <c r="DH8" i="14" s="1"/>
  <c r="DH9" i="14" s="1"/>
  <c r="DH10" i="14" s="1"/>
  <c r="DH11" i="14" s="1"/>
  <c r="DH12" i="14" s="1"/>
  <c r="DH13" i="14" s="1"/>
  <c r="DH14" i="14" s="1"/>
  <c r="DH15" i="14" s="1"/>
  <c r="DH16" i="14" s="1"/>
  <c r="DH17" i="14" s="1"/>
  <c r="DH18" i="14" s="1"/>
  <c r="DH19" i="14" s="1"/>
  <c r="DH20" i="14" s="1"/>
  <c r="DH21" i="14" s="1"/>
  <c r="DH22" i="14" s="1"/>
  <c r="DH23" i="14" s="1"/>
  <c r="DH24" i="14" s="1"/>
  <c r="DH25" i="14" s="1"/>
  <c r="DH26" i="14" s="1"/>
  <c r="DH27" i="14" s="1"/>
  <c r="DH28" i="14" s="1"/>
  <c r="DH29" i="14" s="1"/>
  <c r="DH30" i="14" s="1"/>
  <c r="DH31" i="14" s="1"/>
  <c r="DH32" i="14" s="1"/>
  <c r="DH33" i="14" s="1"/>
  <c r="DH34" i="14" s="1"/>
  <c r="DH35" i="14" s="1"/>
  <c r="DH36" i="14" s="1"/>
  <c r="DH37" i="14" s="1"/>
  <c r="DH38" i="14" s="1"/>
  <c r="DH39" i="14" s="1"/>
  <c r="DH40" i="14" s="1"/>
  <c r="DH41" i="14" s="1"/>
  <c r="DH42" i="14" s="1"/>
  <c r="DH43" i="14" s="1"/>
  <c r="DH44" i="14" s="1"/>
  <c r="DH45" i="14" s="1"/>
  <c r="DH46" i="14" s="1"/>
  <c r="DH47" i="14" s="1"/>
  <c r="DH48" i="14" s="1"/>
  <c r="DH49" i="14" s="1"/>
  <c r="DH50" i="14" s="1"/>
  <c r="DH51" i="14" s="1"/>
  <c r="DH52" i="14" s="1"/>
  <c r="DH53" i="14" s="1"/>
  <c r="DH54" i="14" s="1"/>
  <c r="DH55" i="14" s="1"/>
  <c r="DH56" i="14" s="1"/>
  <c r="DH57" i="14" s="1"/>
  <c r="DH58" i="14" s="1"/>
  <c r="DH59" i="14" s="1"/>
  <c r="DH60" i="14" s="1"/>
  <c r="DH61" i="14" s="1"/>
  <c r="DH62" i="14" s="1"/>
  <c r="DH63" i="14" s="1"/>
  <c r="DH64" i="14" s="1"/>
  <c r="DH65" i="14" s="1"/>
  <c r="DH66" i="14" s="1"/>
  <c r="DH67" i="14" s="1"/>
  <c r="DH68" i="14" s="1"/>
  <c r="DH69" i="14" s="1"/>
  <c r="DH70" i="14" s="1"/>
  <c r="DH71" i="14" s="1"/>
  <c r="DH72" i="14" s="1"/>
  <c r="DH73" i="14" s="1"/>
  <c r="DH74" i="14" s="1"/>
  <c r="DH75" i="14" s="1"/>
  <c r="DH76" i="14" s="1"/>
  <c r="DH77" i="14" s="1"/>
  <c r="DH78" i="14" s="1"/>
  <c r="DH79" i="14" s="1"/>
  <c r="DH80" i="14" s="1"/>
  <c r="DH81" i="14" s="1"/>
  <c r="DH82" i="14" s="1"/>
  <c r="DH83" i="14" s="1"/>
  <c r="DH84" i="14" s="1"/>
  <c r="DH85" i="14" s="1"/>
  <c r="DH86" i="14" s="1"/>
  <c r="DH87" i="14" s="1"/>
  <c r="DH88" i="14" s="1"/>
  <c r="DH89" i="14" s="1"/>
  <c r="DH90" i="14" s="1"/>
  <c r="DH91" i="14" s="1"/>
  <c r="DH92" i="14" s="1"/>
  <c r="DH93" i="14" s="1"/>
  <c r="DH94" i="14" s="1"/>
  <c r="DH95" i="14" s="1"/>
  <c r="DH96" i="14" s="1"/>
  <c r="DH97" i="14" s="1"/>
  <c r="DH98" i="14" s="1"/>
  <c r="DH99" i="14" s="1"/>
  <c r="DH100" i="14" s="1"/>
  <c r="DH101" i="14" s="1"/>
  <c r="DH102" i="14" s="1"/>
  <c r="DH103" i="14" s="1"/>
  <c r="DH104" i="14" s="1"/>
  <c r="DH105" i="14" s="1"/>
  <c r="DH106" i="14" s="1"/>
  <c r="DH107" i="14" s="1"/>
  <c r="DH108" i="14" s="1"/>
  <c r="DH109" i="14" s="1"/>
  <c r="DH110" i="14" s="1"/>
  <c r="DH111" i="14" s="1"/>
  <c r="DH112" i="14" s="1"/>
  <c r="DH113" i="14" s="1"/>
  <c r="DH114" i="14" s="1"/>
  <c r="DH115" i="14" s="1"/>
  <c r="DH116" i="14" s="1"/>
  <c r="DH117" i="14" s="1"/>
  <c r="DH118" i="14" s="1"/>
  <c r="DH119" i="14" s="1"/>
  <c r="DH120" i="14" s="1"/>
  <c r="DH121" i="14" s="1"/>
  <c r="DH122" i="14" s="1"/>
  <c r="DH123" i="14" s="1"/>
  <c r="DH124" i="14" s="1"/>
  <c r="I79" i="10"/>
  <c r="G55" i="14"/>
  <c r="G93" i="14"/>
  <c r="B39" i="5"/>
  <c r="C40" i="5" s="1"/>
  <c r="B68" i="5"/>
  <c r="C69" i="5" s="1"/>
  <c r="B58" i="5"/>
  <c r="B20" i="5"/>
  <c r="C20" i="5" s="1"/>
  <c r="B87" i="5"/>
  <c r="B21" i="5"/>
  <c r="B31" i="5"/>
  <c r="B41" i="5"/>
  <c r="B59" i="5"/>
  <c r="B69" i="5"/>
  <c r="B88" i="5"/>
  <c r="C89" i="5" s="1"/>
  <c r="B97" i="5"/>
  <c r="B105" i="5"/>
  <c r="B114" i="5"/>
  <c r="B124" i="5"/>
  <c r="B104" i="5"/>
  <c r="B67" i="5"/>
  <c r="B86" i="5"/>
  <c r="B95" i="5"/>
  <c r="B112" i="5"/>
  <c r="B132" i="5"/>
  <c r="B77" i="5"/>
  <c r="C78" i="5" s="1"/>
  <c r="B14" i="5"/>
  <c r="B24" i="5"/>
  <c r="B34" i="5"/>
  <c r="C34" i="5" s="1"/>
  <c r="B44" i="5"/>
  <c r="B53" i="5"/>
  <c r="B62" i="5"/>
  <c r="B72" i="5"/>
  <c r="C72" i="5" s="1"/>
  <c r="B81" i="5"/>
  <c r="B100" i="5"/>
  <c r="B107" i="5"/>
  <c r="C107" i="5" s="1"/>
  <c r="B117" i="5"/>
  <c r="B127" i="5"/>
  <c r="B15" i="5"/>
  <c r="C16" i="5" s="1"/>
  <c r="B25" i="5"/>
  <c r="B35" i="5"/>
  <c r="B45" i="5"/>
  <c r="B54" i="5"/>
  <c r="C54" i="5" s="1"/>
  <c r="B63" i="5"/>
  <c r="B73" i="5"/>
  <c r="B82" i="5"/>
  <c r="C82" i="5" s="1"/>
  <c r="B91" i="5"/>
  <c r="B108" i="5"/>
  <c r="B118" i="5"/>
  <c r="B128" i="5"/>
  <c r="B50" i="5"/>
  <c r="B123" i="5"/>
  <c r="B78" i="5"/>
  <c r="B22" i="5"/>
  <c r="B32" i="5"/>
  <c r="C33" i="5" s="1"/>
  <c r="B42" i="5"/>
  <c r="C42" i="5" s="1"/>
  <c r="B51" i="5"/>
  <c r="C51" i="5" s="1"/>
  <c r="B60" i="5"/>
  <c r="C61" i="5" s="1"/>
  <c r="B70" i="5"/>
  <c r="B79" i="5"/>
  <c r="B89" i="5"/>
  <c r="B98" i="5"/>
  <c r="B106" i="5"/>
  <c r="B115" i="5"/>
  <c r="B125" i="5"/>
  <c r="B13" i="5"/>
  <c r="C13" i="5" s="1"/>
  <c r="B23" i="5"/>
  <c r="B33" i="5"/>
  <c r="B43" i="5"/>
  <c r="C44" i="5" s="1"/>
  <c r="B52" i="5"/>
  <c r="B61" i="5"/>
  <c r="B71" i="5"/>
  <c r="B80" i="5"/>
  <c r="B90" i="5"/>
  <c r="C90" i="5" s="1"/>
  <c r="B99" i="5"/>
  <c r="B116" i="5"/>
  <c r="B126" i="5"/>
  <c r="B16" i="5"/>
  <c r="B26" i="5"/>
  <c r="C26" i="5" s="1"/>
  <c r="B36" i="5"/>
  <c r="B46" i="5"/>
  <c r="B55" i="5"/>
  <c r="C56" i="5" s="1"/>
  <c r="B64" i="5"/>
  <c r="C65" i="5" s="1"/>
  <c r="B74" i="5"/>
  <c r="B83" i="5"/>
  <c r="B92" i="5"/>
  <c r="B101" i="5"/>
  <c r="B109" i="5"/>
  <c r="C109" i="5" s="1"/>
  <c r="B119" i="5"/>
  <c r="C120" i="5" s="1"/>
  <c r="B129" i="5"/>
  <c r="C129" i="5" s="1"/>
  <c r="B19" i="5"/>
  <c r="B29" i="5"/>
  <c r="B49" i="5"/>
  <c r="B122" i="5"/>
  <c r="B30" i="5"/>
  <c r="C31" i="5" s="1"/>
  <c r="B96" i="5"/>
  <c r="C96" i="5" s="1"/>
  <c r="B17" i="5"/>
  <c r="B27" i="5"/>
  <c r="B37" i="5"/>
  <c r="C37" i="5" s="1"/>
  <c r="B47" i="5"/>
  <c r="B56" i="5"/>
  <c r="B65" i="5"/>
  <c r="B75" i="5"/>
  <c r="B84" i="5"/>
  <c r="B93" i="5"/>
  <c r="C94" i="5" s="1"/>
  <c r="B102" i="5"/>
  <c r="C103" i="5" s="1"/>
  <c r="B110" i="5"/>
  <c r="B120" i="5"/>
  <c r="B130" i="5"/>
  <c r="C130" i="5" s="1"/>
  <c r="B40" i="5"/>
  <c r="B113" i="5"/>
  <c r="B18" i="5"/>
  <c r="B28" i="5"/>
  <c r="B38" i="5"/>
  <c r="B48" i="5"/>
  <c r="C48" i="5" s="1"/>
  <c r="B57" i="5"/>
  <c r="B66" i="5"/>
  <c r="C67" i="5" s="1"/>
  <c r="B76" i="5"/>
  <c r="B85" i="5"/>
  <c r="B94" i="5"/>
  <c r="B103" i="5"/>
  <c r="B111" i="5"/>
  <c r="B121" i="5"/>
  <c r="B131" i="5"/>
  <c r="C47" i="5"/>
  <c r="C114" i="5"/>
  <c r="A12" i="6"/>
  <c r="A25" i="6"/>
  <c r="B25" i="6"/>
  <c r="B12" i="6"/>
  <c r="I93" i="10"/>
  <c r="I88" i="10"/>
  <c r="I121" i="10"/>
  <c r="I85" i="10"/>
  <c r="I97" i="10"/>
  <c r="I26" i="10"/>
  <c r="I57" i="10"/>
  <c r="B13" i="6"/>
  <c r="C12" i="6"/>
  <c r="I28" i="10"/>
  <c r="I78" i="10"/>
  <c r="I49" i="10"/>
  <c r="I5" i="10"/>
  <c r="I40" i="10"/>
  <c r="I37" i="10"/>
  <c r="I104" i="10"/>
  <c r="I73" i="10"/>
  <c r="I105" i="10"/>
  <c r="I62" i="10"/>
  <c r="I75" i="10"/>
  <c r="I91" i="10"/>
  <c r="I39" i="10"/>
  <c r="I77" i="10"/>
  <c r="I118" i="10"/>
  <c r="I24" i="10"/>
  <c r="I30" i="10"/>
  <c r="I27" i="10"/>
  <c r="I84" i="10"/>
  <c r="I63" i="10"/>
  <c r="I65" i="10"/>
  <c r="I52" i="10"/>
  <c r="I45" i="10"/>
  <c r="I81" i="10"/>
  <c r="I117" i="10"/>
  <c r="I69" i="10"/>
  <c r="I87" i="10"/>
  <c r="I120" i="10"/>
  <c r="I20" i="10"/>
  <c r="I17" i="10"/>
  <c r="I64" i="10"/>
  <c r="I53" i="10"/>
  <c r="I35" i="10"/>
  <c r="I42" i="10"/>
  <c r="I15" i="10"/>
  <c r="I71" i="10"/>
  <c r="I38" i="10"/>
  <c r="I68" i="10"/>
  <c r="I48" i="10"/>
  <c r="I110" i="10"/>
  <c r="I10" i="10"/>
  <c r="I7" i="10"/>
  <c r="I54" i="10"/>
  <c r="I43" i="10"/>
  <c r="I34" i="10"/>
  <c r="I32" i="10"/>
  <c r="I4" i="10"/>
  <c r="J5" i="10" s="1"/>
  <c r="I61" i="10"/>
  <c r="I107" i="10"/>
  <c r="I67" i="10"/>
  <c r="I100" i="10"/>
  <c r="I19" i="10"/>
  <c r="I74" i="10"/>
  <c r="I14" i="10"/>
  <c r="I33" i="10"/>
  <c r="I122" i="10"/>
  <c r="I22" i="10"/>
  <c r="I51" i="10"/>
  <c r="I11" i="10"/>
  <c r="I16" i="10"/>
  <c r="I59" i="10"/>
  <c r="I106" i="10"/>
  <c r="I90" i="10"/>
  <c r="I9" i="10"/>
  <c r="I86" i="10"/>
  <c r="I123" i="10"/>
  <c r="I23" i="10"/>
  <c r="I112" i="10"/>
  <c r="I12" i="10"/>
  <c r="I94" i="10"/>
  <c r="I41" i="10"/>
  <c r="I98" i="10"/>
  <c r="I58" i="10"/>
  <c r="I56" i="10"/>
  <c r="I80" i="10"/>
  <c r="I18" i="10"/>
  <c r="I46" i="10"/>
  <c r="I113" i="10"/>
  <c r="I13" i="10"/>
  <c r="I102" i="10"/>
  <c r="I116" i="10"/>
  <c r="I44" i="10"/>
  <c r="I31" i="10"/>
  <c r="I109" i="10"/>
  <c r="I99" i="10"/>
  <c r="I119" i="10"/>
  <c r="I55" i="10"/>
  <c r="I50" i="10"/>
  <c r="I47" i="10"/>
  <c r="I114" i="10"/>
  <c r="I83" i="10"/>
  <c r="I36" i="10"/>
  <c r="I72" i="10"/>
  <c r="I115" i="10"/>
  <c r="I101" i="10"/>
  <c r="I76" i="10"/>
  <c r="I8" i="10"/>
  <c r="I29" i="10"/>
  <c r="J2" i="7"/>
  <c r="O5" i="7" s="1"/>
  <c r="I82" i="10"/>
  <c r="I60" i="10"/>
  <c r="I92" i="10"/>
  <c r="I70" i="10"/>
  <c r="I66" i="10"/>
  <c r="I95" i="10"/>
  <c r="I96" i="10"/>
  <c r="I6" i="10"/>
  <c r="G87" i="14"/>
  <c r="G37" i="14"/>
  <c r="G115" i="14"/>
  <c r="G65" i="14"/>
  <c r="G15" i="14"/>
  <c r="G104" i="14"/>
  <c r="G69" i="14"/>
  <c r="G98" i="14"/>
  <c r="G9" i="14"/>
  <c r="G72" i="14"/>
  <c r="G22" i="14"/>
  <c r="G100" i="14"/>
  <c r="G50" i="14"/>
  <c r="G106" i="14"/>
  <c r="G54" i="14"/>
  <c r="G19" i="14"/>
  <c r="G28" i="14"/>
  <c r="G63" i="14"/>
  <c r="G117" i="14"/>
  <c r="G67" i="14"/>
  <c r="G17" i="14"/>
  <c r="G95" i="14"/>
  <c r="G45" i="14"/>
  <c r="G89" i="14"/>
  <c r="G38" i="14"/>
  <c r="G5" i="14"/>
  <c r="G96" i="14"/>
  <c r="G33" i="14"/>
  <c r="G112" i="14"/>
  <c r="G62" i="14"/>
  <c r="G12" i="14"/>
  <c r="G90" i="14"/>
  <c r="G40" i="14"/>
  <c r="G73" i="14"/>
  <c r="G21" i="14"/>
  <c r="G99" i="14"/>
  <c r="G66" i="14"/>
  <c r="G107" i="14"/>
  <c r="G57" i="14"/>
  <c r="G7" i="14"/>
  <c r="G85" i="14"/>
  <c r="G35" i="14"/>
  <c r="G56" i="14"/>
  <c r="G6" i="14"/>
  <c r="G78" i="14"/>
  <c r="G41" i="14"/>
  <c r="G102" i="14"/>
  <c r="G52" i="14"/>
  <c r="G80" i="14"/>
  <c r="G30" i="14"/>
  <c r="G39" i="14"/>
  <c r="G119" i="14"/>
  <c r="G51" i="14"/>
  <c r="G11" i="14"/>
  <c r="G97" i="14"/>
  <c r="G47" i="14"/>
  <c r="G4" i="14"/>
  <c r="H5" i="14" s="1"/>
  <c r="G75" i="14"/>
  <c r="G25" i="14"/>
  <c r="G23" i="14"/>
  <c r="G103" i="14"/>
  <c r="G29" i="14"/>
  <c r="G122" i="14"/>
  <c r="G31" i="14"/>
  <c r="G79" i="14"/>
  <c r="G83" i="14"/>
  <c r="G116" i="14"/>
  <c r="G44" i="14"/>
  <c r="G114" i="14"/>
  <c r="G81" i="14"/>
  <c r="G46" i="14"/>
  <c r="G84" i="14"/>
  <c r="G43" i="14"/>
  <c r="G13" i="14"/>
  <c r="G48" i="14"/>
  <c r="G91" i="14"/>
  <c r="G14" i="14"/>
  <c r="G58" i="14"/>
  <c r="G101" i="14"/>
  <c r="G16" i="14"/>
  <c r="G59" i="14"/>
  <c r="G108" i="14"/>
  <c r="G18" i="14"/>
  <c r="G113" i="14"/>
  <c r="G61" i="14"/>
  <c r="G109" i="14"/>
  <c r="G68" i="14"/>
  <c r="G34" i="14"/>
  <c r="G111" i="14"/>
  <c r="G26" i="14"/>
  <c r="G74" i="14"/>
  <c r="G24" i="14"/>
  <c r="X6" i="14"/>
  <c r="X7" i="14" s="1"/>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AH6" i="14"/>
  <c r="AH7" i="14" s="1"/>
  <c r="AH8" i="14" s="1"/>
  <c r="AH9" i="14" s="1"/>
  <c r="AH10" i="14" s="1"/>
  <c r="AH11" i="14" s="1"/>
  <c r="AH12" i="14" s="1"/>
  <c r="AH13" i="14" s="1"/>
  <c r="AH14" i="14" s="1"/>
  <c r="AH15" i="14" s="1"/>
  <c r="AH16" i="14" s="1"/>
  <c r="AH17" i="14" s="1"/>
  <c r="AH18" i="14" s="1"/>
  <c r="AH19" i="14" s="1"/>
  <c r="AH20" i="14" s="1"/>
  <c r="AH21" i="14" s="1"/>
  <c r="AH22" i="14" s="1"/>
  <c r="AH23" i="14" s="1"/>
  <c r="AH24" i="14" s="1"/>
  <c r="AH25" i="14" s="1"/>
  <c r="AH26" i="14" s="1"/>
  <c r="AH27" i="14" s="1"/>
  <c r="AH28" i="14" s="1"/>
  <c r="AH29" i="14" s="1"/>
  <c r="AH30" i="14" s="1"/>
  <c r="AH31" i="14" s="1"/>
  <c r="AH32" i="14" s="1"/>
  <c r="AH33" i="14" s="1"/>
  <c r="AH34" i="14" s="1"/>
  <c r="AH35" i="14" s="1"/>
  <c r="AH36" i="14" s="1"/>
  <c r="AH37" i="14" s="1"/>
  <c r="AH38" i="14" s="1"/>
  <c r="AH39" i="14" s="1"/>
  <c r="AH40" i="14" s="1"/>
  <c r="AH41" i="14" s="1"/>
  <c r="AH42" i="14" s="1"/>
  <c r="AH43" i="14" s="1"/>
  <c r="AH44" i="14" s="1"/>
  <c r="AH45" i="14" s="1"/>
  <c r="AH46" i="14" s="1"/>
  <c r="AH47" i="14" s="1"/>
  <c r="AH48" i="14" s="1"/>
  <c r="AH49" i="14" s="1"/>
  <c r="AH50" i="14" s="1"/>
  <c r="AH51" i="14" s="1"/>
  <c r="AH52" i="14" s="1"/>
  <c r="AH53" i="14" s="1"/>
  <c r="AH54" i="14" s="1"/>
  <c r="AH55" i="14" s="1"/>
  <c r="AH56" i="14" s="1"/>
  <c r="AH57" i="14" s="1"/>
  <c r="AH58" i="14" s="1"/>
  <c r="AH59" i="14" s="1"/>
  <c r="AH60" i="14" s="1"/>
  <c r="AH61" i="14" s="1"/>
  <c r="AH62" i="14" s="1"/>
  <c r="AH63" i="14" s="1"/>
  <c r="AH64" i="14" s="1"/>
  <c r="AH65" i="14" s="1"/>
  <c r="AH66" i="14" s="1"/>
  <c r="AH67" i="14" s="1"/>
  <c r="AH68" i="14" s="1"/>
  <c r="AH69" i="14" s="1"/>
  <c r="AH70" i="14" s="1"/>
  <c r="AH71" i="14" s="1"/>
  <c r="AH72" i="14" s="1"/>
  <c r="AH73" i="14" s="1"/>
  <c r="AH74" i="14" s="1"/>
  <c r="AH75" i="14" s="1"/>
  <c r="AH76" i="14" s="1"/>
  <c r="AH77" i="14" s="1"/>
  <c r="AH78" i="14" s="1"/>
  <c r="AH79" i="14" s="1"/>
  <c r="AH80" i="14" s="1"/>
  <c r="AH81" i="14" s="1"/>
  <c r="AH82" i="14" s="1"/>
  <c r="AH83" i="14" s="1"/>
  <c r="AH84" i="14" s="1"/>
  <c r="AH85" i="14" s="1"/>
  <c r="AH86" i="14" s="1"/>
  <c r="AH87" i="14" s="1"/>
  <c r="AH88" i="14" s="1"/>
  <c r="AH89" i="14" s="1"/>
  <c r="AH90" i="14" s="1"/>
  <c r="AH91" i="14" s="1"/>
  <c r="AH92" i="14" s="1"/>
  <c r="AH93" i="14" s="1"/>
  <c r="AH94" i="14" s="1"/>
  <c r="AH95" i="14" s="1"/>
  <c r="AH96" i="14" s="1"/>
  <c r="AH97" i="14" s="1"/>
  <c r="AH98" i="14" s="1"/>
  <c r="AH99" i="14" s="1"/>
  <c r="AH100" i="14" s="1"/>
  <c r="AH101" i="14" s="1"/>
  <c r="AH102" i="14" s="1"/>
  <c r="AH103" i="14" s="1"/>
  <c r="AH104" i="14" s="1"/>
  <c r="AH105" i="14" s="1"/>
  <c r="AH106" i="14" s="1"/>
  <c r="AH107" i="14" s="1"/>
  <c r="AH108" i="14" s="1"/>
  <c r="AH109" i="14" s="1"/>
  <c r="AH110" i="14" s="1"/>
  <c r="AH111" i="14" s="1"/>
  <c r="AH112" i="14" s="1"/>
  <c r="AH113" i="14" s="1"/>
  <c r="AH114" i="14" s="1"/>
  <c r="AH115" i="14" s="1"/>
  <c r="AH116" i="14" s="1"/>
  <c r="AH117" i="14" s="1"/>
  <c r="AH118" i="14" s="1"/>
  <c r="AH119" i="14" s="1"/>
  <c r="AH120" i="14" s="1"/>
  <c r="AH121" i="14" s="1"/>
  <c r="AH122" i="14" s="1"/>
  <c r="AH123" i="14" s="1"/>
  <c r="AH124" i="14" s="1"/>
  <c r="AR6" i="14"/>
  <c r="AR7" i="14" s="1"/>
  <c r="AR8" i="14" s="1"/>
  <c r="AR9" i="14" s="1"/>
  <c r="AR10" i="14" s="1"/>
  <c r="AR11" i="14" s="1"/>
  <c r="AR12" i="14" s="1"/>
  <c r="AR13" i="14" s="1"/>
  <c r="AR14" i="14" s="1"/>
  <c r="AR15" i="14" s="1"/>
  <c r="AR16" i="14" s="1"/>
  <c r="AR17" i="14" s="1"/>
  <c r="AR18" i="14" s="1"/>
  <c r="AR19" i="14" s="1"/>
  <c r="AR20" i="14" s="1"/>
  <c r="AR21" i="14" s="1"/>
  <c r="AR22" i="14" s="1"/>
  <c r="AR23" i="14" s="1"/>
  <c r="AR24" i="14" s="1"/>
  <c r="AR25" i="14" s="1"/>
  <c r="AR26" i="14" s="1"/>
  <c r="AR27" i="14" s="1"/>
  <c r="AR28" i="14" s="1"/>
  <c r="AR29" i="14" s="1"/>
  <c r="AR30" i="14" s="1"/>
  <c r="AR31" i="14" s="1"/>
  <c r="AR32" i="14" s="1"/>
  <c r="AR33" i="14" s="1"/>
  <c r="AR34" i="14" s="1"/>
  <c r="AR35" i="14" s="1"/>
  <c r="AR36" i="14" s="1"/>
  <c r="AR37" i="14" s="1"/>
  <c r="AR38" i="14" s="1"/>
  <c r="AR39" i="14" s="1"/>
  <c r="AR40" i="14" s="1"/>
  <c r="AR41" i="14" s="1"/>
  <c r="AR42" i="14" s="1"/>
  <c r="AR43" i="14" s="1"/>
  <c r="AR44" i="14" s="1"/>
  <c r="AR45" i="14" s="1"/>
  <c r="AR46" i="14" s="1"/>
  <c r="AR47" i="14" s="1"/>
  <c r="AR48" i="14" s="1"/>
  <c r="AR49" i="14" s="1"/>
  <c r="AR50" i="14" s="1"/>
  <c r="AR51" i="14" s="1"/>
  <c r="AR52" i="14" s="1"/>
  <c r="AR53" i="14" s="1"/>
  <c r="AR54" i="14" s="1"/>
  <c r="AR55" i="14" s="1"/>
  <c r="AR56" i="14" s="1"/>
  <c r="AR57" i="14" s="1"/>
  <c r="AR58" i="14" s="1"/>
  <c r="AR59" i="14" s="1"/>
  <c r="AR60" i="14" s="1"/>
  <c r="AR61" i="14" s="1"/>
  <c r="AR62" i="14" s="1"/>
  <c r="AR63" i="14" s="1"/>
  <c r="AR64" i="14" s="1"/>
  <c r="AR65" i="14" s="1"/>
  <c r="AR66" i="14" s="1"/>
  <c r="AR67" i="14" s="1"/>
  <c r="AR68" i="14" s="1"/>
  <c r="AR69" i="14" s="1"/>
  <c r="AR70" i="14" s="1"/>
  <c r="AR71" i="14" s="1"/>
  <c r="AR72" i="14" s="1"/>
  <c r="AR73" i="14" s="1"/>
  <c r="AR74" i="14" s="1"/>
  <c r="AR75" i="14" s="1"/>
  <c r="AR76" i="14" s="1"/>
  <c r="AR77" i="14" s="1"/>
  <c r="AR78" i="14" s="1"/>
  <c r="AR79" i="14" s="1"/>
  <c r="AR80" i="14" s="1"/>
  <c r="AR81" i="14" s="1"/>
  <c r="AR82" i="14" s="1"/>
  <c r="AR83" i="14" s="1"/>
  <c r="AR84" i="14" s="1"/>
  <c r="AR85" i="14" s="1"/>
  <c r="AR86" i="14" s="1"/>
  <c r="AR87" i="14" s="1"/>
  <c r="AR88" i="14" s="1"/>
  <c r="AR89" i="14" s="1"/>
  <c r="AR90" i="14" s="1"/>
  <c r="AR91" i="14" s="1"/>
  <c r="AR92" i="14" s="1"/>
  <c r="AR93" i="14" s="1"/>
  <c r="AR94" i="14" s="1"/>
  <c r="AR95" i="14" s="1"/>
  <c r="AR96" i="14" s="1"/>
  <c r="AR97" i="14" s="1"/>
  <c r="AR98" i="14" s="1"/>
  <c r="AR99" i="14" s="1"/>
  <c r="AR100" i="14" s="1"/>
  <c r="AR101" i="14" s="1"/>
  <c r="AR102" i="14" s="1"/>
  <c r="AR103" i="14" s="1"/>
  <c r="AR104" i="14" s="1"/>
  <c r="AR105" i="14" s="1"/>
  <c r="AR106" i="14" s="1"/>
  <c r="AR107" i="14" s="1"/>
  <c r="AR108" i="14" s="1"/>
  <c r="AR109" i="14" s="1"/>
  <c r="AR110" i="14" s="1"/>
  <c r="AR111" i="14" s="1"/>
  <c r="AR112" i="14" s="1"/>
  <c r="AR113" i="14" s="1"/>
  <c r="AR114" i="14" s="1"/>
  <c r="AR115" i="14" s="1"/>
  <c r="AR116" i="14" s="1"/>
  <c r="AR117" i="14" s="1"/>
  <c r="AR118" i="14" s="1"/>
  <c r="AR119" i="14" s="1"/>
  <c r="AR120" i="14" s="1"/>
  <c r="AR121" i="14" s="1"/>
  <c r="AR122" i="14" s="1"/>
  <c r="AR123" i="14" s="1"/>
  <c r="AR124" i="14" s="1"/>
  <c r="BB6" i="14"/>
  <c r="BB7" i="14" s="1"/>
  <c r="BB8" i="14" s="1"/>
  <c r="BB9" i="14" s="1"/>
  <c r="BB10" i="14" s="1"/>
  <c r="BB11" i="14" s="1"/>
  <c r="BB12" i="14" s="1"/>
  <c r="BB13" i="14" s="1"/>
  <c r="BB14" i="14" s="1"/>
  <c r="BB15" i="14" s="1"/>
  <c r="BB16" i="14" s="1"/>
  <c r="BB17" i="14" s="1"/>
  <c r="BB18" i="14" s="1"/>
  <c r="BB19" i="14" s="1"/>
  <c r="BB20" i="14" s="1"/>
  <c r="BB21" i="14" s="1"/>
  <c r="BB22" i="14" s="1"/>
  <c r="BB23" i="14" s="1"/>
  <c r="BB24" i="14" s="1"/>
  <c r="BB25" i="14" s="1"/>
  <c r="BB26" i="14" s="1"/>
  <c r="BB27" i="14" s="1"/>
  <c r="BB28" i="14" s="1"/>
  <c r="BB29" i="14" s="1"/>
  <c r="BB30" i="14" s="1"/>
  <c r="BB31" i="14" s="1"/>
  <c r="BB32" i="14" s="1"/>
  <c r="BB33" i="14" s="1"/>
  <c r="BB34" i="14" s="1"/>
  <c r="BB35" i="14" s="1"/>
  <c r="BB36" i="14" s="1"/>
  <c r="BB37" i="14" s="1"/>
  <c r="BB38" i="14" s="1"/>
  <c r="BB39" i="14" s="1"/>
  <c r="BB40" i="14" s="1"/>
  <c r="BB41" i="14" s="1"/>
  <c r="BB42" i="14" s="1"/>
  <c r="BB43" i="14" s="1"/>
  <c r="BB44" i="14" s="1"/>
  <c r="BB45" i="14" s="1"/>
  <c r="BB46" i="14" s="1"/>
  <c r="BB47" i="14" s="1"/>
  <c r="BB48" i="14" s="1"/>
  <c r="BB49" i="14" s="1"/>
  <c r="BB50" i="14" s="1"/>
  <c r="BB51" i="14" s="1"/>
  <c r="BB52" i="14" s="1"/>
  <c r="BB53" i="14" s="1"/>
  <c r="BB54" i="14" s="1"/>
  <c r="BB55" i="14" s="1"/>
  <c r="BB56" i="14" s="1"/>
  <c r="BB57" i="14" s="1"/>
  <c r="BB58" i="14" s="1"/>
  <c r="BB59" i="14" s="1"/>
  <c r="BB60" i="14" s="1"/>
  <c r="BB61" i="14" s="1"/>
  <c r="BB62" i="14" s="1"/>
  <c r="BB63" i="14" s="1"/>
  <c r="BB64" i="14" s="1"/>
  <c r="BB65" i="14" s="1"/>
  <c r="BB66" i="14" s="1"/>
  <c r="BB67" i="14" s="1"/>
  <c r="BB68" i="14" s="1"/>
  <c r="BB69" i="14" s="1"/>
  <c r="BB70" i="14" s="1"/>
  <c r="BB71" i="14" s="1"/>
  <c r="BB72" i="14" s="1"/>
  <c r="BB73" i="14" s="1"/>
  <c r="BB74" i="14" s="1"/>
  <c r="BB75" i="14" s="1"/>
  <c r="BB76" i="14" s="1"/>
  <c r="BB77" i="14" s="1"/>
  <c r="BB78" i="14" s="1"/>
  <c r="BB79" i="14" s="1"/>
  <c r="BB80" i="14" s="1"/>
  <c r="BB81" i="14" s="1"/>
  <c r="BB82" i="14" s="1"/>
  <c r="BB83" i="14" s="1"/>
  <c r="BB84" i="14" s="1"/>
  <c r="BB85" i="14" s="1"/>
  <c r="BB86" i="14" s="1"/>
  <c r="BB87" i="14" s="1"/>
  <c r="BB88" i="14" s="1"/>
  <c r="BB89" i="14" s="1"/>
  <c r="BB90" i="14" s="1"/>
  <c r="BB91" i="14" s="1"/>
  <c r="BB92" i="14" s="1"/>
  <c r="BB93" i="14" s="1"/>
  <c r="BB94" i="14" s="1"/>
  <c r="BB95" i="14" s="1"/>
  <c r="BB96" i="14" s="1"/>
  <c r="BB97" i="14" s="1"/>
  <c r="BB98" i="14" s="1"/>
  <c r="BB99" i="14" s="1"/>
  <c r="BB100" i="14" s="1"/>
  <c r="BB101" i="14" s="1"/>
  <c r="BB102" i="14" s="1"/>
  <c r="BB103" i="14" s="1"/>
  <c r="BB104" i="14" s="1"/>
  <c r="BB105" i="14" s="1"/>
  <c r="BB106" i="14" s="1"/>
  <c r="BB107" i="14" s="1"/>
  <c r="BB108" i="14" s="1"/>
  <c r="BB109" i="14" s="1"/>
  <c r="BB110" i="14" s="1"/>
  <c r="BB111" i="14" s="1"/>
  <c r="BB112" i="14" s="1"/>
  <c r="BB113" i="14" s="1"/>
  <c r="BB114" i="14" s="1"/>
  <c r="BB115" i="14" s="1"/>
  <c r="BB116" i="14" s="1"/>
  <c r="BB117" i="14" s="1"/>
  <c r="BB118" i="14" s="1"/>
  <c r="BB119" i="14" s="1"/>
  <c r="BB120" i="14" s="1"/>
  <c r="BB121" i="14" s="1"/>
  <c r="BB122" i="14" s="1"/>
  <c r="BB123" i="14" s="1"/>
  <c r="BB124" i="14" s="1"/>
  <c r="BL6" i="14"/>
  <c r="BL7" i="14" s="1"/>
  <c r="BL8" i="14" s="1"/>
  <c r="BL9" i="14" s="1"/>
  <c r="BL10" i="14" s="1"/>
  <c r="BL11" i="14" s="1"/>
  <c r="BL12" i="14" s="1"/>
  <c r="BL13" i="14" s="1"/>
  <c r="BL14" i="14" s="1"/>
  <c r="BL15" i="14" s="1"/>
  <c r="BL16" i="14" s="1"/>
  <c r="BL17" i="14" s="1"/>
  <c r="BL18" i="14" s="1"/>
  <c r="BL19" i="14" s="1"/>
  <c r="BL20" i="14" s="1"/>
  <c r="BL21" i="14" s="1"/>
  <c r="BL22" i="14" s="1"/>
  <c r="BL23" i="14" s="1"/>
  <c r="BL24" i="14" s="1"/>
  <c r="BL25" i="14" s="1"/>
  <c r="BL26" i="14" s="1"/>
  <c r="BL27" i="14" s="1"/>
  <c r="BL28" i="14" s="1"/>
  <c r="BL29" i="14" s="1"/>
  <c r="BL30" i="14" s="1"/>
  <c r="BL31" i="14" s="1"/>
  <c r="BL32" i="14" s="1"/>
  <c r="BL33" i="14" s="1"/>
  <c r="BL34" i="14" s="1"/>
  <c r="BL35" i="14" s="1"/>
  <c r="BL36" i="14" s="1"/>
  <c r="BL37" i="14" s="1"/>
  <c r="BL38" i="14" s="1"/>
  <c r="BL39" i="14" s="1"/>
  <c r="BL40" i="14" s="1"/>
  <c r="BL41" i="14" s="1"/>
  <c r="BL42" i="14" s="1"/>
  <c r="BL43" i="14" s="1"/>
  <c r="BL44" i="14" s="1"/>
  <c r="BL45" i="14" s="1"/>
  <c r="BL46" i="14" s="1"/>
  <c r="BL47" i="14" s="1"/>
  <c r="BL48" i="14" s="1"/>
  <c r="BL49" i="14" s="1"/>
  <c r="BL50" i="14" s="1"/>
  <c r="BL51" i="14" s="1"/>
  <c r="BL52" i="14" s="1"/>
  <c r="BL53" i="14" s="1"/>
  <c r="BL54" i="14" s="1"/>
  <c r="BL55" i="14" s="1"/>
  <c r="BL56" i="14" s="1"/>
  <c r="BL57" i="14" s="1"/>
  <c r="BL58" i="14" s="1"/>
  <c r="BL59" i="14" s="1"/>
  <c r="BL60" i="14" s="1"/>
  <c r="BL61" i="14" s="1"/>
  <c r="BL62" i="14" s="1"/>
  <c r="BL63" i="14" s="1"/>
  <c r="BL64" i="14" s="1"/>
  <c r="BL65" i="14" s="1"/>
  <c r="BL66" i="14" s="1"/>
  <c r="BL67" i="14" s="1"/>
  <c r="BL68" i="14" s="1"/>
  <c r="BL69" i="14" s="1"/>
  <c r="BL70" i="14" s="1"/>
  <c r="BL71" i="14" s="1"/>
  <c r="BL72" i="14" s="1"/>
  <c r="BL73" i="14" s="1"/>
  <c r="BL74" i="14" s="1"/>
  <c r="BL75" i="14" s="1"/>
  <c r="BL76" i="14" s="1"/>
  <c r="BL77" i="14" s="1"/>
  <c r="BL78" i="14" s="1"/>
  <c r="BL79" i="14" s="1"/>
  <c r="BL80" i="14" s="1"/>
  <c r="BL81" i="14" s="1"/>
  <c r="BL82" i="14" s="1"/>
  <c r="BL83" i="14" s="1"/>
  <c r="BL84" i="14" s="1"/>
  <c r="BL85" i="14" s="1"/>
  <c r="BL86" i="14" s="1"/>
  <c r="BL87" i="14" s="1"/>
  <c r="BL88" i="14" s="1"/>
  <c r="BL89" i="14" s="1"/>
  <c r="BL90" i="14" s="1"/>
  <c r="BL91" i="14" s="1"/>
  <c r="BL92" i="14" s="1"/>
  <c r="BL93" i="14" s="1"/>
  <c r="BL94" i="14" s="1"/>
  <c r="BL95" i="14" s="1"/>
  <c r="BL96" i="14" s="1"/>
  <c r="BL97" i="14" s="1"/>
  <c r="BL98" i="14" s="1"/>
  <c r="BL99" i="14" s="1"/>
  <c r="BL100" i="14" s="1"/>
  <c r="BL101" i="14" s="1"/>
  <c r="BL102" i="14" s="1"/>
  <c r="BL103" i="14" s="1"/>
  <c r="BL104" i="14" s="1"/>
  <c r="BL105" i="14" s="1"/>
  <c r="BL106" i="14" s="1"/>
  <c r="BL107" i="14" s="1"/>
  <c r="BL108" i="14" s="1"/>
  <c r="BL109" i="14" s="1"/>
  <c r="BL110" i="14" s="1"/>
  <c r="BL111" i="14" s="1"/>
  <c r="BL112" i="14" s="1"/>
  <c r="BL113" i="14" s="1"/>
  <c r="BL114" i="14" s="1"/>
  <c r="BL115" i="14" s="1"/>
  <c r="BL116" i="14" s="1"/>
  <c r="BL117" i="14" s="1"/>
  <c r="BL118" i="14" s="1"/>
  <c r="BL119" i="14" s="1"/>
  <c r="BL120" i="14" s="1"/>
  <c r="BL121" i="14" s="1"/>
  <c r="BL122" i="14" s="1"/>
  <c r="BL123" i="14" s="1"/>
  <c r="BL124" i="14" s="1"/>
  <c r="BV6" i="14"/>
  <c r="BV7" i="14" s="1"/>
  <c r="BV8" i="14" s="1"/>
  <c r="BV9" i="14" s="1"/>
  <c r="BV10" i="14" s="1"/>
  <c r="BV11" i="14" s="1"/>
  <c r="BV12" i="14" s="1"/>
  <c r="BV13" i="14" s="1"/>
  <c r="BV14" i="14" s="1"/>
  <c r="BV15" i="14" s="1"/>
  <c r="BV16" i="14" s="1"/>
  <c r="BV17" i="14" s="1"/>
  <c r="BV18" i="14" s="1"/>
  <c r="BV19" i="14" s="1"/>
  <c r="BV20" i="14" s="1"/>
  <c r="BV21" i="14" s="1"/>
  <c r="BV22" i="14" s="1"/>
  <c r="BV23" i="14" s="1"/>
  <c r="BV24" i="14" s="1"/>
  <c r="BV25" i="14" s="1"/>
  <c r="BV26" i="14" s="1"/>
  <c r="BV27" i="14" s="1"/>
  <c r="BV28" i="14" s="1"/>
  <c r="BV29" i="14" s="1"/>
  <c r="BV30" i="14" s="1"/>
  <c r="BV31" i="14" s="1"/>
  <c r="BV32" i="14" s="1"/>
  <c r="BV33" i="14" s="1"/>
  <c r="BV34" i="14" s="1"/>
  <c r="BV35" i="14" s="1"/>
  <c r="BV36" i="14" s="1"/>
  <c r="BV37" i="14" s="1"/>
  <c r="BV38" i="14" s="1"/>
  <c r="BV39" i="14" s="1"/>
  <c r="BV40" i="14" s="1"/>
  <c r="BV41" i="14" s="1"/>
  <c r="BV42" i="14" s="1"/>
  <c r="BV43" i="14" s="1"/>
  <c r="BV44" i="14" s="1"/>
  <c r="BV45" i="14" s="1"/>
  <c r="BV46" i="14" s="1"/>
  <c r="BV47" i="14" s="1"/>
  <c r="BV48" i="14" s="1"/>
  <c r="BV49" i="14" s="1"/>
  <c r="BV50" i="14" s="1"/>
  <c r="BV51" i="14" s="1"/>
  <c r="BV52" i="14" s="1"/>
  <c r="BV53" i="14" s="1"/>
  <c r="BV54" i="14" s="1"/>
  <c r="BV55" i="14" s="1"/>
  <c r="BV56" i="14" s="1"/>
  <c r="BV57" i="14" s="1"/>
  <c r="BV58" i="14" s="1"/>
  <c r="BV59" i="14" s="1"/>
  <c r="BV60" i="14" s="1"/>
  <c r="BV61" i="14" s="1"/>
  <c r="BV62" i="14" s="1"/>
  <c r="BV63" i="14" s="1"/>
  <c r="BV64" i="14" s="1"/>
  <c r="BV65" i="14" s="1"/>
  <c r="BV66" i="14" s="1"/>
  <c r="BV67" i="14" s="1"/>
  <c r="BV68" i="14" s="1"/>
  <c r="BV69" i="14" s="1"/>
  <c r="BV70" i="14" s="1"/>
  <c r="BV71" i="14" s="1"/>
  <c r="BV72" i="14" s="1"/>
  <c r="BV73" i="14" s="1"/>
  <c r="BV74" i="14" s="1"/>
  <c r="BV75" i="14" s="1"/>
  <c r="BV76" i="14" s="1"/>
  <c r="BV77" i="14" s="1"/>
  <c r="BV78" i="14" s="1"/>
  <c r="BV79" i="14" s="1"/>
  <c r="BV80" i="14" s="1"/>
  <c r="BV81" i="14" s="1"/>
  <c r="BV82" i="14" s="1"/>
  <c r="BV83" i="14" s="1"/>
  <c r="BV84" i="14" s="1"/>
  <c r="BV85" i="14" s="1"/>
  <c r="BV86" i="14" s="1"/>
  <c r="BV87" i="14" s="1"/>
  <c r="BV88" i="14" s="1"/>
  <c r="BV89" i="14" s="1"/>
  <c r="BV90" i="14" s="1"/>
  <c r="BV91" i="14" s="1"/>
  <c r="BV92" i="14" s="1"/>
  <c r="BV93" i="14" s="1"/>
  <c r="BV94" i="14" s="1"/>
  <c r="BV95" i="14" s="1"/>
  <c r="BV96" i="14" s="1"/>
  <c r="BV97" i="14" s="1"/>
  <c r="BV98" i="14" s="1"/>
  <c r="BV99" i="14" s="1"/>
  <c r="BV100" i="14" s="1"/>
  <c r="BV101" i="14" s="1"/>
  <c r="BV102" i="14" s="1"/>
  <c r="BV103" i="14" s="1"/>
  <c r="BV104" i="14" s="1"/>
  <c r="BV105" i="14" s="1"/>
  <c r="BV106" i="14" s="1"/>
  <c r="BV107" i="14" s="1"/>
  <c r="BV108" i="14" s="1"/>
  <c r="BV109" i="14" s="1"/>
  <c r="BV110" i="14" s="1"/>
  <c r="BV111" i="14" s="1"/>
  <c r="BV112" i="14" s="1"/>
  <c r="BV113" i="14" s="1"/>
  <c r="BV114" i="14" s="1"/>
  <c r="BV115" i="14" s="1"/>
  <c r="BV116" i="14" s="1"/>
  <c r="BV117" i="14" s="1"/>
  <c r="BV118" i="14" s="1"/>
  <c r="BV119" i="14" s="1"/>
  <c r="BV120" i="14" s="1"/>
  <c r="BV121" i="14" s="1"/>
  <c r="BV122" i="14" s="1"/>
  <c r="BV123" i="14" s="1"/>
  <c r="BV124" i="14" s="1"/>
  <c r="CF6" i="14"/>
  <c r="CF7" i="14" s="1"/>
  <c r="CF8" i="14" s="1"/>
  <c r="CF9" i="14" s="1"/>
  <c r="CF10" i="14" s="1"/>
  <c r="CF11" i="14" s="1"/>
  <c r="CF12" i="14" s="1"/>
  <c r="CF13" i="14" s="1"/>
  <c r="CF14" i="14" s="1"/>
  <c r="CF15" i="14" s="1"/>
  <c r="CF16" i="14" s="1"/>
  <c r="CF17" i="14" s="1"/>
  <c r="CF18" i="14" s="1"/>
  <c r="CF19" i="14" s="1"/>
  <c r="CF20" i="14" s="1"/>
  <c r="CF21" i="14" s="1"/>
  <c r="CF22" i="14" s="1"/>
  <c r="CF23" i="14" s="1"/>
  <c r="CF24" i="14" s="1"/>
  <c r="CF25" i="14" s="1"/>
  <c r="CF26" i="14" s="1"/>
  <c r="CF27" i="14" s="1"/>
  <c r="CF28" i="14" s="1"/>
  <c r="CF29" i="14" s="1"/>
  <c r="CF30" i="14" s="1"/>
  <c r="CF31" i="14" s="1"/>
  <c r="CF32" i="14" s="1"/>
  <c r="CF33" i="14" s="1"/>
  <c r="CF34" i="14" s="1"/>
  <c r="CF35" i="14" s="1"/>
  <c r="CF36" i="14" s="1"/>
  <c r="CF37" i="14" s="1"/>
  <c r="CF38" i="14" s="1"/>
  <c r="CF39" i="14" s="1"/>
  <c r="CF40" i="14" s="1"/>
  <c r="CF41" i="14" s="1"/>
  <c r="CF42" i="14" s="1"/>
  <c r="CF43" i="14" s="1"/>
  <c r="CF44" i="14" s="1"/>
  <c r="CF45" i="14" s="1"/>
  <c r="CF46" i="14" s="1"/>
  <c r="CF47" i="14" s="1"/>
  <c r="CF48" i="14" s="1"/>
  <c r="CF49" i="14" s="1"/>
  <c r="CF50" i="14" s="1"/>
  <c r="CF51" i="14" s="1"/>
  <c r="CF52" i="14" s="1"/>
  <c r="CF53" i="14" s="1"/>
  <c r="CF54" i="14" s="1"/>
  <c r="CF55" i="14" s="1"/>
  <c r="CF56" i="14" s="1"/>
  <c r="CF57" i="14" s="1"/>
  <c r="CF58" i="14" s="1"/>
  <c r="CF59" i="14" s="1"/>
  <c r="CF60" i="14" s="1"/>
  <c r="CF61" i="14" s="1"/>
  <c r="CF62" i="14" s="1"/>
  <c r="CF63" i="14" s="1"/>
  <c r="CF64" i="14" s="1"/>
  <c r="CF65" i="14" s="1"/>
  <c r="CF66" i="14" s="1"/>
  <c r="CF67" i="14" s="1"/>
  <c r="CF68" i="14" s="1"/>
  <c r="CF69" i="14" s="1"/>
  <c r="CF70" i="14" s="1"/>
  <c r="CF71" i="14" s="1"/>
  <c r="CF72" i="14" s="1"/>
  <c r="CF73" i="14" s="1"/>
  <c r="CF74" i="14" s="1"/>
  <c r="CF75" i="14" s="1"/>
  <c r="CF76" i="14" s="1"/>
  <c r="CF77" i="14" s="1"/>
  <c r="CF78" i="14" s="1"/>
  <c r="CF79" i="14" s="1"/>
  <c r="CF80" i="14" s="1"/>
  <c r="CF81" i="14" s="1"/>
  <c r="CF82" i="14" s="1"/>
  <c r="CF83" i="14" s="1"/>
  <c r="CF84" i="14" s="1"/>
  <c r="CF85" i="14" s="1"/>
  <c r="CF86" i="14" s="1"/>
  <c r="CF87" i="14" s="1"/>
  <c r="CF88" i="14" s="1"/>
  <c r="CF89" i="14" s="1"/>
  <c r="CF90" i="14" s="1"/>
  <c r="CF91" i="14" s="1"/>
  <c r="CF92" i="14" s="1"/>
  <c r="CF93" i="14" s="1"/>
  <c r="CF94" i="14" s="1"/>
  <c r="CF95" i="14" s="1"/>
  <c r="CF96" i="14" s="1"/>
  <c r="CF97" i="14" s="1"/>
  <c r="CF98" i="14" s="1"/>
  <c r="CF99" i="14" s="1"/>
  <c r="CF100" i="14" s="1"/>
  <c r="CF101" i="14" s="1"/>
  <c r="CF102" i="14" s="1"/>
  <c r="CF103" i="14" s="1"/>
  <c r="CF104" i="14" s="1"/>
  <c r="CF105" i="14" s="1"/>
  <c r="CF106" i="14" s="1"/>
  <c r="CF107" i="14" s="1"/>
  <c r="CF108" i="14" s="1"/>
  <c r="CF109" i="14" s="1"/>
  <c r="CF110" i="14" s="1"/>
  <c r="CF111" i="14" s="1"/>
  <c r="CF112" i="14" s="1"/>
  <c r="CF113" i="14" s="1"/>
  <c r="CF114" i="14" s="1"/>
  <c r="CF115" i="14" s="1"/>
  <c r="CF116" i="14" s="1"/>
  <c r="CF117" i="14" s="1"/>
  <c r="CF118" i="14" s="1"/>
  <c r="CF119" i="14" s="1"/>
  <c r="CF120" i="14" s="1"/>
  <c r="CF121" i="14" s="1"/>
  <c r="CF122" i="14" s="1"/>
  <c r="CF123" i="14" s="1"/>
  <c r="CF124" i="14" s="1"/>
  <c r="CP6" i="14"/>
  <c r="CP7" i="14" s="1"/>
  <c r="CP8" i="14" s="1"/>
  <c r="CP9" i="14" s="1"/>
  <c r="CP10" i="14" s="1"/>
  <c r="CP11" i="14" s="1"/>
  <c r="CP12" i="14" s="1"/>
  <c r="CP13" i="14" s="1"/>
  <c r="CP14" i="14" s="1"/>
  <c r="CP15" i="14" s="1"/>
  <c r="CP16" i="14" s="1"/>
  <c r="CP17" i="14" s="1"/>
  <c r="CP18" i="14" s="1"/>
  <c r="CP19" i="14" s="1"/>
  <c r="CP20" i="14" s="1"/>
  <c r="CP21" i="14" s="1"/>
  <c r="CP22" i="14" s="1"/>
  <c r="CP23" i="14" s="1"/>
  <c r="CP24" i="14" s="1"/>
  <c r="CP25" i="14" s="1"/>
  <c r="CP26" i="14" s="1"/>
  <c r="CP27" i="14" s="1"/>
  <c r="CP28" i="14" s="1"/>
  <c r="CP29" i="14" s="1"/>
  <c r="CP30" i="14" s="1"/>
  <c r="CP31" i="14" s="1"/>
  <c r="CP32" i="14" s="1"/>
  <c r="CP33" i="14" s="1"/>
  <c r="CP34" i="14" s="1"/>
  <c r="CP35" i="14" s="1"/>
  <c r="CP36" i="14" s="1"/>
  <c r="CP37" i="14" s="1"/>
  <c r="CP38" i="14" s="1"/>
  <c r="CP39" i="14" s="1"/>
  <c r="CP40" i="14" s="1"/>
  <c r="CP41" i="14" s="1"/>
  <c r="CP42" i="14" s="1"/>
  <c r="CP43" i="14" s="1"/>
  <c r="CP44" i="14" s="1"/>
  <c r="CP45" i="14" s="1"/>
  <c r="CP46" i="14" s="1"/>
  <c r="CP47" i="14" s="1"/>
  <c r="CP48" i="14" s="1"/>
  <c r="CP49" i="14" s="1"/>
  <c r="CP50" i="14" s="1"/>
  <c r="CP51" i="14" s="1"/>
  <c r="CP52" i="14" s="1"/>
  <c r="CP53" i="14" s="1"/>
  <c r="CP54" i="14" s="1"/>
  <c r="CP55" i="14" s="1"/>
  <c r="CP56" i="14" s="1"/>
  <c r="CP57" i="14" s="1"/>
  <c r="CP58" i="14" s="1"/>
  <c r="CP59" i="14" s="1"/>
  <c r="CP60" i="14" s="1"/>
  <c r="CP61" i="14" s="1"/>
  <c r="CP62" i="14" s="1"/>
  <c r="CP63" i="14" s="1"/>
  <c r="CP64" i="14" s="1"/>
  <c r="CP65" i="14" s="1"/>
  <c r="CP66" i="14" s="1"/>
  <c r="CP67" i="14" s="1"/>
  <c r="CP68" i="14" s="1"/>
  <c r="CP69" i="14" s="1"/>
  <c r="CP70" i="14" s="1"/>
  <c r="CP71" i="14" s="1"/>
  <c r="CP72" i="14" s="1"/>
  <c r="CP73" i="14" s="1"/>
  <c r="CP74" i="14" s="1"/>
  <c r="CP75" i="14" s="1"/>
  <c r="CP76" i="14" s="1"/>
  <c r="CP77" i="14" s="1"/>
  <c r="CP78" i="14" s="1"/>
  <c r="CP79" i="14" s="1"/>
  <c r="CP80" i="14" s="1"/>
  <c r="CP81" i="14" s="1"/>
  <c r="CP82" i="14" s="1"/>
  <c r="CP83" i="14" s="1"/>
  <c r="CP84" i="14" s="1"/>
  <c r="CP85" i="14" s="1"/>
  <c r="CP86" i="14" s="1"/>
  <c r="CP87" i="14" s="1"/>
  <c r="CP88" i="14" s="1"/>
  <c r="CP89" i="14" s="1"/>
  <c r="CP90" i="14" s="1"/>
  <c r="CP91" i="14" s="1"/>
  <c r="CP92" i="14" s="1"/>
  <c r="CP93" i="14" s="1"/>
  <c r="CP94" i="14" s="1"/>
  <c r="CP95" i="14" s="1"/>
  <c r="CP96" i="14" s="1"/>
  <c r="CP97" i="14" s="1"/>
  <c r="CP98" i="14" s="1"/>
  <c r="CP99" i="14" s="1"/>
  <c r="CP100" i="14" s="1"/>
  <c r="CP101" i="14" s="1"/>
  <c r="CP102" i="14" s="1"/>
  <c r="CP103" i="14" s="1"/>
  <c r="CP104" i="14" s="1"/>
  <c r="CP105" i="14" s="1"/>
  <c r="CP106" i="14" s="1"/>
  <c r="CP107" i="14" s="1"/>
  <c r="CP108" i="14" s="1"/>
  <c r="CP109" i="14" s="1"/>
  <c r="CP110" i="14" s="1"/>
  <c r="CP111" i="14" s="1"/>
  <c r="CP112" i="14" s="1"/>
  <c r="CP113" i="14" s="1"/>
  <c r="CP114" i="14" s="1"/>
  <c r="CP115" i="14" s="1"/>
  <c r="CP116" i="14" s="1"/>
  <c r="CP117" i="14" s="1"/>
  <c r="CP118" i="14" s="1"/>
  <c r="CP119" i="14" s="1"/>
  <c r="CP120" i="14" s="1"/>
  <c r="CP121" i="14" s="1"/>
  <c r="CP122" i="14" s="1"/>
  <c r="CP123" i="14" s="1"/>
  <c r="CP124" i="14" s="1"/>
  <c r="CZ6" i="14"/>
  <c r="CZ7" i="14" s="1"/>
  <c r="CZ8" i="14" s="1"/>
  <c r="CZ9" i="14" s="1"/>
  <c r="CZ10" i="14" s="1"/>
  <c r="CZ11" i="14" s="1"/>
  <c r="CZ12" i="14" s="1"/>
  <c r="CZ13" i="14" s="1"/>
  <c r="CZ14" i="14" s="1"/>
  <c r="CZ15" i="14" s="1"/>
  <c r="CZ16" i="14" s="1"/>
  <c r="CZ17" i="14" s="1"/>
  <c r="CZ18" i="14" s="1"/>
  <c r="CZ19" i="14" s="1"/>
  <c r="CZ20" i="14" s="1"/>
  <c r="CZ21" i="14" s="1"/>
  <c r="CZ22" i="14" s="1"/>
  <c r="CZ23" i="14" s="1"/>
  <c r="CZ24" i="14" s="1"/>
  <c r="CZ25" i="14" s="1"/>
  <c r="CZ26" i="14" s="1"/>
  <c r="CZ27" i="14" s="1"/>
  <c r="CZ28" i="14" s="1"/>
  <c r="CZ29" i="14" s="1"/>
  <c r="CZ30" i="14" s="1"/>
  <c r="CZ31" i="14" s="1"/>
  <c r="CZ32" i="14" s="1"/>
  <c r="CZ33" i="14" s="1"/>
  <c r="CZ34" i="14" s="1"/>
  <c r="CZ35" i="14" s="1"/>
  <c r="CZ36" i="14" s="1"/>
  <c r="CZ37" i="14" s="1"/>
  <c r="CZ38" i="14" s="1"/>
  <c r="CZ39" i="14" s="1"/>
  <c r="CZ40" i="14" s="1"/>
  <c r="CZ41" i="14" s="1"/>
  <c r="CZ42" i="14" s="1"/>
  <c r="CZ43" i="14" s="1"/>
  <c r="CZ44" i="14" s="1"/>
  <c r="CZ45" i="14" s="1"/>
  <c r="CZ46" i="14" s="1"/>
  <c r="CZ47" i="14" s="1"/>
  <c r="CZ48" i="14" s="1"/>
  <c r="CZ49" i="14" s="1"/>
  <c r="CZ50" i="14" s="1"/>
  <c r="CZ51" i="14" s="1"/>
  <c r="CZ52" i="14" s="1"/>
  <c r="CZ53" i="14" s="1"/>
  <c r="CZ54" i="14" s="1"/>
  <c r="CZ55" i="14" s="1"/>
  <c r="CZ56" i="14" s="1"/>
  <c r="CZ57" i="14" s="1"/>
  <c r="CZ58" i="14" s="1"/>
  <c r="CZ59" i="14" s="1"/>
  <c r="CZ60" i="14" s="1"/>
  <c r="CZ61" i="14" s="1"/>
  <c r="CZ62" i="14" s="1"/>
  <c r="CZ63" i="14" s="1"/>
  <c r="CZ64" i="14" s="1"/>
  <c r="CZ65" i="14" s="1"/>
  <c r="CZ66" i="14" s="1"/>
  <c r="CZ67" i="14" s="1"/>
  <c r="CZ68" i="14" s="1"/>
  <c r="CZ69" i="14" s="1"/>
  <c r="CZ70" i="14" s="1"/>
  <c r="CZ71" i="14" s="1"/>
  <c r="CZ72" i="14" s="1"/>
  <c r="CZ73" i="14" s="1"/>
  <c r="CZ74" i="14" s="1"/>
  <c r="CZ75" i="14" s="1"/>
  <c r="CZ76" i="14" s="1"/>
  <c r="CZ77" i="14" s="1"/>
  <c r="CZ78" i="14" s="1"/>
  <c r="CZ79" i="14" s="1"/>
  <c r="CZ80" i="14" s="1"/>
  <c r="CZ81" i="14" s="1"/>
  <c r="CZ82" i="14" s="1"/>
  <c r="CZ83" i="14" s="1"/>
  <c r="CZ84" i="14" s="1"/>
  <c r="CZ85" i="14" s="1"/>
  <c r="CZ86" i="14" s="1"/>
  <c r="CZ87" i="14" s="1"/>
  <c r="CZ88" i="14" s="1"/>
  <c r="CZ89" i="14" s="1"/>
  <c r="CZ90" i="14" s="1"/>
  <c r="CZ91" i="14" s="1"/>
  <c r="CZ92" i="14" s="1"/>
  <c r="CZ93" i="14" s="1"/>
  <c r="CZ94" i="14" s="1"/>
  <c r="CZ95" i="14" s="1"/>
  <c r="CZ96" i="14" s="1"/>
  <c r="CZ97" i="14" s="1"/>
  <c r="CZ98" i="14" s="1"/>
  <c r="CZ99" i="14" s="1"/>
  <c r="CZ100" i="14" s="1"/>
  <c r="CZ101" i="14" s="1"/>
  <c r="CZ102" i="14" s="1"/>
  <c r="CZ103" i="14" s="1"/>
  <c r="CZ104" i="14" s="1"/>
  <c r="CZ105" i="14" s="1"/>
  <c r="CZ106" i="14" s="1"/>
  <c r="CZ107" i="14" s="1"/>
  <c r="CZ108" i="14" s="1"/>
  <c r="CZ109" i="14" s="1"/>
  <c r="CZ110" i="14" s="1"/>
  <c r="CZ111" i="14" s="1"/>
  <c r="CZ112" i="14" s="1"/>
  <c r="CZ113" i="14" s="1"/>
  <c r="CZ114" i="14" s="1"/>
  <c r="CZ115" i="14" s="1"/>
  <c r="CZ116" i="14" s="1"/>
  <c r="CZ117" i="14" s="1"/>
  <c r="CZ118" i="14" s="1"/>
  <c r="CZ119" i="14" s="1"/>
  <c r="CZ120" i="14" s="1"/>
  <c r="CZ121" i="14" s="1"/>
  <c r="CZ122" i="14" s="1"/>
  <c r="CZ123" i="14" s="1"/>
  <c r="CZ124" i="14" s="1"/>
  <c r="DJ6" i="14"/>
  <c r="DJ7" i="14" s="1"/>
  <c r="DJ8" i="14" s="1"/>
  <c r="DJ9" i="14" s="1"/>
  <c r="DJ10" i="14" s="1"/>
  <c r="DJ11" i="14" s="1"/>
  <c r="DJ12" i="14" s="1"/>
  <c r="DJ13" i="14" s="1"/>
  <c r="DJ14" i="14" s="1"/>
  <c r="DJ15" i="14" s="1"/>
  <c r="DJ16" i="14" s="1"/>
  <c r="DJ17" i="14" s="1"/>
  <c r="DJ18" i="14" s="1"/>
  <c r="DJ19" i="14" s="1"/>
  <c r="DJ20" i="14" s="1"/>
  <c r="DJ21" i="14" s="1"/>
  <c r="DJ22" i="14" s="1"/>
  <c r="DJ23" i="14" s="1"/>
  <c r="DJ24" i="14" s="1"/>
  <c r="DJ25" i="14" s="1"/>
  <c r="DJ26" i="14" s="1"/>
  <c r="DJ27" i="14" s="1"/>
  <c r="DJ28" i="14" s="1"/>
  <c r="DJ29" i="14" s="1"/>
  <c r="DJ30" i="14" s="1"/>
  <c r="DJ31" i="14" s="1"/>
  <c r="DJ32" i="14" s="1"/>
  <c r="DJ33" i="14" s="1"/>
  <c r="DJ34" i="14" s="1"/>
  <c r="DJ35" i="14" s="1"/>
  <c r="DJ36" i="14" s="1"/>
  <c r="DJ37" i="14" s="1"/>
  <c r="DJ38" i="14" s="1"/>
  <c r="DJ39" i="14" s="1"/>
  <c r="DJ40" i="14" s="1"/>
  <c r="DJ41" i="14" s="1"/>
  <c r="DJ42" i="14" s="1"/>
  <c r="DJ43" i="14" s="1"/>
  <c r="DJ44" i="14" s="1"/>
  <c r="DJ45" i="14" s="1"/>
  <c r="DJ46" i="14" s="1"/>
  <c r="DJ47" i="14" s="1"/>
  <c r="DJ48" i="14" s="1"/>
  <c r="DJ49" i="14" s="1"/>
  <c r="DJ50" i="14" s="1"/>
  <c r="DJ51" i="14" s="1"/>
  <c r="DJ52" i="14" s="1"/>
  <c r="DJ53" i="14" s="1"/>
  <c r="DJ54" i="14" s="1"/>
  <c r="DJ55" i="14" s="1"/>
  <c r="DJ56" i="14" s="1"/>
  <c r="DJ57" i="14" s="1"/>
  <c r="DJ58" i="14" s="1"/>
  <c r="DJ59" i="14" s="1"/>
  <c r="DJ60" i="14" s="1"/>
  <c r="DJ61" i="14" s="1"/>
  <c r="DJ62" i="14" s="1"/>
  <c r="DJ63" i="14" s="1"/>
  <c r="DJ64" i="14" s="1"/>
  <c r="DJ65" i="14" s="1"/>
  <c r="DJ66" i="14" s="1"/>
  <c r="DJ67" i="14" s="1"/>
  <c r="DJ68" i="14" s="1"/>
  <c r="DJ69" i="14" s="1"/>
  <c r="DJ70" i="14" s="1"/>
  <c r="DJ71" i="14" s="1"/>
  <c r="DJ72" i="14" s="1"/>
  <c r="DJ73" i="14" s="1"/>
  <c r="DJ74" i="14" s="1"/>
  <c r="DJ75" i="14" s="1"/>
  <c r="DJ76" i="14" s="1"/>
  <c r="DJ77" i="14" s="1"/>
  <c r="DJ78" i="14" s="1"/>
  <c r="DJ79" i="14" s="1"/>
  <c r="DJ80" i="14" s="1"/>
  <c r="DJ81" i="14" s="1"/>
  <c r="DJ82" i="14" s="1"/>
  <c r="DJ83" i="14" s="1"/>
  <c r="DJ84" i="14" s="1"/>
  <c r="DJ85" i="14" s="1"/>
  <c r="DJ86" i="14" s="1"/>
  <c r="DJ87" i="14" s="1"/>
  <c r="DJ88" i="14" s="1"/>
  <c r="DJ89" i="14" s="1"/>
  <c r="DJ90" i="14" s="1"/>
  <c r="DJ91" i="14" s="1"/>
  <c r="DJ92" i="14" s="1"/>
  <c r="DJ93" i="14" s="1"/>
  <c r="DJ94" i="14" s="1"/>
  <c r="DJ95" i="14" s="1"/>
  <c r="DJ96" i="14" s="1"/>
  <c r="DJ97" i="14" s="1"/>
  <c r="DJ98" i="14" s="1"/>
  <c r="DJ99" i="14" s="1"/>
  <c r="DJ100" i="14" s="1"/>
  <c r="DJ101" i="14" s="1"/>
  <c r="DJ102" i="14" s="1"/>
  <c r="DJ103" i="14" s="1"/>
  <c r="DJ104" i="14" s="1"/>
  <c r="DJ105" i="14" s="1"/>
  <c r="DJ106" i="14" s="1"/>
  <c r="DJ107" i="14" s="1"/>
  <c r="DJ108" i="14" s="1"/>
  <c r="DJ109" i="14" s="1"/>
  <c r="DJ110" i="14" s="1"/>
  <c r="DJ111" i="14" s="1"/>
  <c r="DJ112" i="14" s="1"/>
  <c r="DJ113" i="14" s="1"/>
  <c r="DJ114" i="14" s="1"/>
  <c r="DJ115" i="14" s="1"/>
  <c r="DJ116" i="14" s="1"/>
  <c r="DJ117" i="14" s="1"/>
  <c r="DJ118" i="14" s="1"/>
  <c r="DJ119" i="14" s="1"/>
  <c r="DJ120" i="14" s="1"/>
  <c r="DJ121" i="14" s="1"/>
  <c r="DJ122" i="14" s="1"/>
  <c r="DJ123" i="14" s="1"/>
  <c r="DJ124" i="14" s="1"/>
  <c r="G92" i="14"/>
  <c r="G42" i="14"/>
  <c r="G120" i="14"/>
  <c r="G70" i="14"/>
  <c r="G20" i="14"/>
  <c r="G121" i="14"/>
  <c r="G86" i="14"/>
  <c r="G8" i="14"/>
  <c r="G64" i="14"/>
  <c r="C124" i="5" l="1"/>
  <c r="C87" i="5"/>
  <c r="C121" i="5"/>
  <c r="C28" i="5"/>
  <c r="C36" i="5"/>
  <c r="C53" i="5"/>
  <c r="C104" i="5"/>
  <c r="C93" i="5"/>
  <c r="C81" i="5"/>
  <c r="C75" i="5"/>
  <c r="C123" i="5"/>
  <c r="C63" i="5"/>
  <c r="C70" i="5"/>
  <c r="A29" i="6"/>
  <c r="M46" i="1" s="1"/>
  <c r="C85" i="5"/>
  <c r="C110" i="5"/>
  <c r="C17" i="5"/>
  <c r="C127" i="5"/>
  <c r="C24" i="5"/>
  <c r="C91" i="5"/>
  <c r="C105" i="5"/>
  <c r="C128" i="5"/>
  <c r="C45" i="5"/>
  <c r="C41" i="5"/>
  <c r="C112" i="5"/>
  <c r="C113" i="5"/>
  <c r="C15" i="5"/>
  <c r="C30" i="5"/>
  <c r="C58" i="5"/>
  <c r="C97" i="5"/>
  <c r="C80" i="5"/>
  <c r="C83" i="5"/>
  <c r="C125" i="5"/>
  <c r="C73" i="5"/>
  <c r="C100" i="5"/>
  <c r="C22" i="5"/>
  <c r="C23" i="5"/>
  <c r="C59" i="5"/>
  <c r="C86" i="5"/>
  <c r="C119" i="5"/>
  <c r="C88" i="5"/>
  <c r="C55" i="5"/>
  <c r="C76" i="5"/>
  <c r="C27" i="5"/>
  <c r="C60" i="5"/>
  <c r="C108" i="5"/>
  <c r="C77" i="5"/>
  <c r="C14" i="5"/>
  <c r="C49" i="5"/>
  <c r="C57" i="5"/>
  <c r="C101" i="5"/>
  <c r="C118" i="5"/>
  <c r="C106" i="5"/>
  <c r="C132" i="5"/>
  <c r="C39" i="5"/>
  <c r="C84" i="5"/>
  <c r="C122" i="5"/>
  <c r="C74" i="5"/>
  <c r="C115" i="5"/>
  <c r="C64" i="5"/>
  <c r="C98" i="5"/>
  <c r="C43" i="5"/>
  <c r="C18" i="5"/>
  <c r="C29" i="5"/>
  <c r="C99" i="5"/>
  <c r="C102" i="5"/>
  <c r="C19" i="5"/>
  <c r="C46" i="5"/>
  <c r="C62" i="5"/>
  <c r="C50" i="5"/>
  <c r="C35" i="5"/>
  <c r="C68" i="5"/>
  <c r="C32" i="5"/>
  <c r="C52" i="5"/>
  <c r="C126" i="5"/>
  <c r="C131" i="5"/>
  <c r="C95" i="5"/>
  <c r="C79" i="5"/>
  <c r="C25" i="5"/>
  <c r="C21" i="5"/>
  <c r="C66" i="5"/>
  <c r="C117" i="5"/>
  <c r="C111" i="5"/>
  <c r="C71" i="5"/>
  <c r="C116" i="5"/>
  <c r="C92" i="5"/>
  <c r="C38" i="5"/>
  <c r="H6" i="14"/>
  <c r="I10" i="2"/>
  <c r="J6" i="10"/>
  <c r="H7" i="14" l="1"/>
  <c r="J7" i="10"/>
  <c r="I11" i="2"/>
  <c r="I12" i="2" s="1"/>
  <c r="I13" i="2" s="1"/>
  <c r="I14" i="2" s="1"/>
  <c r="I15" i="2" s="1"/>
  <c r="I16" i="2" s="1"/>
  <c r="I17" i="2" s="1"/>
  <c r="H8" i="14" l="1"/>
  <c r="B16" i="2"/>
  <c r="I18" i="2"/>
  <c r="J8" i="10"/>
  <c r="I19" i="2" l="1"/>
  <c r="I20" i="2" s="1"/>
  <c r="I21" i="2" s="1"/>
  <c r="I22" i="2" s="1"/>
  <c r="I23" i="2" s="1"/>
  <c r="I24" i="2" s="1"/>
  <c r="I25" i="2" s="1"/>
  <c r="I26" i="2" s="1"/>
  <c r="I27" i="2" s="1"/>
  <c r="I28" i="2" s="1"/>
  <c r="I29" i="2" s="1"/>
  <c r="J9" i="10"/>
  <c r="H9" i="14"/>
  <c r="H10" i="14" l="1"/>
  <c r="J10" i="10"/>
  <c r="B17" i="2"/>
  <c r="I30" i="2"/>
  <c r="I31" i="2" l="1"/>
  <c r="I32" i="2" s="1"/>
  <c r="I33" i="2" s="1"/>
  <c r="I34" i="2" s="1"/>
  <c r="I35" i="2" s="1"/>
  <c r="I36" i="2" s="1"/>
  <c r="I37" i="2" s="1"/>
  <c r="I38" i="2" s="1"/>
  <c r="I39" i="2" s="1"/>
  <c r="I40" i="2" s="1"/>
  <c r="I41" i="2" s="1"/>
  <c r="J11" i="10"/>
  <c r="H11" i="14"/>
  <c r="H12" i="14" l="1"/>
  <c r="J12" i="10"/>
  <c r="B18" i="2"/>
  <c r="I42" i="2"/>
  <c r="I43" i="2" l="1"/>
  <c r="I44" i="2" s="1"/>
  <c r="I45" i="2" s="1"/>
  <c r="I46" i="2" s="1"/>
  <c r="I47" i="2" s="1"/>
  <c r="I48" i="2" s="1"/>
  <c r="I49" i="2" s="1"/>
  <c r="I50" i="2" s="1"/>
  <c r="I51" i="2" s="1"/>
  <c r="I52" i="2" s="1"/>
  <c r="I53" i="2" s="1"/>
  <c r="J13" i="10"/>
  <c r="H13" i="14"/>
  <c r="J14" i="10" l="1"/>
  <c r="B19" i="2"/>
  <c r="I54" i="2"/>
  <c r="I55" i="2" s="1"/>
  <c r="I56" i="2" s="1"/>
  <c r="I57" i="2" s="1"/>
  <c r="I58" i="2" s="1"/>
  <c r="I59" i="2" s="1"/>
  <c r="I60" i="2" s="1"/>
  <c r="I61" i="2" s="1"/>
  <c r="I62" i="2" s="1"/>
  <c r="I63" i="2" s="1"/>
  <c r="I64" i="2" s="1"/>
  <c r="I65" i="2" s="1"/>
  <c r="H14" i="14"/>
  <c r="B20" i="2" l="1"/>
  <c r="I66" i="2"/>
  <c r="I67" i="2" s="1"/>
  <c r="I68" i="2" s="1"/>
  <c r="I69" i="2" s="1"/>
  <c r="I70" i="2" s="1"/>
  <c r="I71" i="2" s="1"/>
  <c r="I72" i="2" s="1"/>
  <c r="I73" i="2" s="1"/>
  <c r="I74" i="2" s="1"/>
  <c r="I75" i="2" s="1"/>
  <c r="I76" i="2" s="1"/>
  <c r="I77" i="2" s="1"/>
  <c r="J15" i="10"/>
  <c r="H15" i="14"/>
  <c r="H16" i="14" l="1"/>
  <c r="B21" i="2"/>
  <c r="I78" i="2"/>
  <c r="I79" i="2" s="1"/>
  <c r="I80" i="2" s="1"/>
  <c r="I81" i="2" s="1"/>
  <c r="I82" i="2" s="1"/>
  <c r="I83" i="2" s="1"/>
  <c r="I84" i="2" s="1"/>
  <c r="I85" i="2" s="1"/>
  <c r="I86" i="2" s="1"/>
  <c r="I87" i="2" s="1"/>
  <c r="I88" i="2" s="1"/>
  <c r="I89" i="2" s="1"/>
  <c r="J16" i="10"/>
  <c r="J17" i="10" l="1"/>
  <c r="B22" i="2"/>
  <c r="I90" i="2"/>
  <c r="I91" i="2" s="1"/>
  <c r="I92" i="2" s="1"/>
  <c r="I93" i="2" s="1"/>
  <c r="I94" i="2" s="1"/>
  <c r="I95" i="2" s="1"/>
  <c r="I96" i="2" s="1"/>
  <c r="I97" i="2" s="1"/>
  <c r="I98" i="2" s="1"/>
  <c r="I99" i="2" s="1"/>
  <c r="I100" i="2" s="1"/>
  <c r="I101" i="2" s="1"/>
  <c r="H17" i="14"/>
  <c r="H18" i="14" l="1"/>
  <c r="B23" i="2"/>
  <c r="I102" i="2"/>
  <c r="I103" i="2" s="1"/>
  <c r="I104" i="2" s="1"/>
  <c r="I105" i="2" s="1"/>
  <c r="I106" i="2" s="1"/>
  <c r="I107" i="2" s="1"/>
  <c r="I108" i="2" s="1"/>
  <c r="I109" i="2" s="1"/>
  <c r="I110" i="2" s="1"/>
  <c r="I111" i="2" s="1"/>
  <c r="I112" i="2" s="1"/>
  <c r="I113" i="2" s="1"/>
  <c r="J18" i="10"/>
  <c r="J19" i="10" l="1"/>
  <c r="B24" i="2"/>
  <c r="C9" i="1" s="1" a="1"/>
  <c r="I114" i="2"/>
  <c r="I115" i="2" s="1"/>
  <c r="I116" i="2" s="1"/>
  <c r="I117" i="2" s="1"/>
  <c r="I118" i="2" s="1"/>
  <c r="I119" i="2" s="1"/>
  <c r="I120" i="2" s="1"/>
  <c r="I121" i="2" s="1"/>
  <c r="I122" i="2" s="1"/>
  <c r="I123" i="2" s="1"/>
  <c r="I124" i="2" s="1"/>
  <c r="H19" i="14"/>
  <c r="H20" i="14" l="1"/>
  <c r="F4" i="14" a="1"/>
  <c r="F4" i="14" s="1"/>
  <c r="I4" i="14" s="1"/>
  <c r="I5" i="14" s="1"/>
  <c r="I6" i="14" s="1"/>
  <c r="I7" i="14" s="1"/>
  <c r="I8" i="14" s="1"/>
  <c r="I9" i="14" s="1"/>
  <c r="I10" i="14" s="1"/>
  <c r="I11" i="14" s="1"/>
  <c r="I12" i="14" s="1"/>
  <c r="I13" i="14" s="1"/>
  <c r="I14" i="14" s="1"/>
  <c r="I15" i="14" s="1"/>
  <c r="I16" i="14" s="1"/>
  <c r="I17" i="14" s="1"/>
  <c r="I18" i="14" s="1"/>
  <c r="I19" i="14" s="1"/>
  <c r="K6" i="7" a="1"/>
  <c r="D4" i="10" a="1"/>
  <c r="D4" i="10" s="1"/>
  <c r="E17" i="1"/>
  <c r="E16" i="1"/>
  <c r="E10" i="1"/>
  <c r="E15" i="1"/>
  <c r="E14" i="1"/>
  <c r="E13" i="1"/>
  <c r="E12" i="1"/>
  <c r="E11" i="1"/>
  <c r="E18" i="1"/>
  <c r="C9" i="1"/>
  <c r="E19" i="1"/>
  <c r="J20" i="10"/>
  <c r="K126" i="7" l="1"/>
  <c r="K6" i="7"/>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L67" i="7" s="1"/>
  <c r="L68" i="7" s="1"/>
  <c r="L69" i="7" s="1"/>
  <c r="L70" i="7" s="1"/>
  <c r="L71" i="7" s="1"/>
  <c r="L72" i="7" s="1"/>
  <c r="L73" i="7" s="1"/>
  <c r="L74" i="7" s="1"/>
  <c r="L75" i="7" s="1"/>
  <c r="L76" i="7" s="1"/>
  <c r="L77" i="7" s="1"/>
  <c r="L78" i="7" s="1"/>
  <c r="L79" i="7" s="1"/>
  <c r="L80" i="7" s="1"/>
  <c r="L81" i="7" s="1"/>
  <c r="L82" i="7" s="1"/>
  <c r="L83" i="7" s="1"/>
  <c r="L84" i="7" s="1"/>
  <c r="L85" i="7" s="1"/>
  <c r="L86" i="7" s="1"/>
  <c r="L87" i="7" s="1"/>
  <c r="L88" i="7" s="1"/>
  <c r="L89" i="7" s="1"/>
  <c r="L90" i="7" s="1"/>
  <c r="L91" i="7" s="1"/>
  <c r="L92" i="7" s="1"/>
  <c r="L93" i="7" s="1"/>
  <c r="L94" i="7" s="1"/>
  <c r="L95" i="7" s="1"/>
  <c r="L96" i="7" s="1"/>
  <c r="L97" i="7" s="1"/>
  <c r="L98" i="7" s="1"/>
  <c r="L99" i="7" s="1"/>
  <c r="L100" i="7" s="1"/>
  <c r="L101" i="7" s="1"/>
  <c r="L102" i="7" s="1"/>
  <c r="L103" i="7" s="1"/>
  <c r="L104" i="7" s="1"/>
  <c r="L105" i="7" s="1"/>
  <c r="L106" i="7" s="1"/>
  <c r="L107" i="7" s="1"/>
  <c r="L108" i="7" s="1"/>
  <c r="L109" i="7" s="1"/>
  <c r="L110" i="7" s="1"/>
  <c r="L111" i="7" s="1"/>
  <c r="L112" i="7" s="1"/>
  <c r="L113" i="7" s="1"/>
  <c r="L114" i="7" s="1"/>
  <c r="L115" i="7" s="1"/>
  <c r="L116" i="7" s="1"/>
  <c r="L117" i="7" s="1"/>
  <c r="L118" i="7" s="1"/>
  <c r="L119" i="7" s="1"/>
  <c r="L120" i="7" s="1"/>
  <c r="L121" i="7" s="1"/>
  <c r="L122" i="7" s="1"/>
  <c r="L123" i="7" s="1"/>
  <c r="L124" i="7" s="1"/>
  <c r="L125" i="7" s="1"/>
  <c r="L126" i="7" s="1"/>
  <c r="P5" i="7" s="1"/>
  <c r="H21" i="14"/>
  <c r="I20" i="14"/>
  <c r="J21" i="10"/>
  <c r="K4" i="10"/>
  <c r="K5" i="10" s="1"/>
  <c r="K6" i="10" s="1"/>
  <c r="K7" i="10" s="1"/>
  <c r="K8" i="10" s="1"/>
  <c r="K9" i="10" s="1"/>
  <c r="K10" i="10" s="1"/>
  <c r="K11" i="10" s="1"/>
  <c r="K12" i="10" s="1"/>
  <c r="K13" i="10" s="1"/>
  <c r="K14" i="10" s="1"/>
  <c r="K15" i="10" s="1"/>
  <c r="K16" i="10" s="1"/>
  <c r="K17" i="10" s="1"/>
  <c r="K18" i="10" s="1"/>
  <c r="K19" i="10" s="1"/>
  <c r="K20" i="10" s="1"/>
  <c r="F4" i="10"/>
  <c r="F5" i="10" s="1"/>
  <c r="F6" i="10" s="1"/>
  <c r="F7" i="10" s="1"/>
  <c r="F8" i="10" s="1"/>
  <c r="F9" i="10" s="1"/>
  <c r="F10" i="10" s="1"/>
  <c r="F11" i="10" s="1"/>
  <c r="F12" i="10" s="1"/>
  <c r="F13" i="10" s="1"/>
  <c r="F14" i="10" s="1"/>
  <c r="F15" i="10" s="1"/>
  <c r="F16" i="10" s="1"/>
  <c r="F17" i="10" s="1"/>
  <c r="F18" i="10" s="1"/>
  <c r="F19" i="10" s="1"/>
  <c r="F20" i="10" s="1"/>
  <c r="F21" i="10" s="1"/>
  <c r="F22" i="10" s="1"/>
  <c r="F23" i="10" s="1"/>
  <c r="F24" i="10" s="1"/>
  <c r="F25" i="10" s="1"/>
  <c r="F26" i="10" s="1"/>
  <c r="F27" i="10" s="1"/>
  <c r="F28" i="10" s="1"/>
  <c r="F29" i="10" s="1"/>
  <c r="F30" i="10" s="1"/>
  <c r="F31" i="10" s="1"/>
  <c r="F32" i="10" s="1"/>
  <c r="F33" i="10" s="1"/>
  <c r="F34" i="10" s="1"/>
  <c r="F35" i="10" s="1"/>
  <c r="F36" i="10" s="1"/>
  <c r="F37" i="10" s="1"/>
  <c r="F38" i="10" s="1"/>
  <c r="F39" i="10" s="1"/>
  <c r="F40" i="10" s="1"/>
  <c r="F41" i="10" s="1"/>
  <c r="F42" i="10" s="1"/>
  <c r="F43" i="10" s="1"/>
  <c r="F44" i="10" s="1"/>
  <c r="F45" i="10" s="1"/>
  <c r="F46" i="10" s="1"/>
  <c r="F47" i="10" s="1"/>
  <c r="F48" i="10" s="1"/>
  <c r="F49" i="10" s="1"/>
  <c r="F50" i="10" s="1"/>
  <c r="F51" i="10" s="1"/>
  <c r="F52" i="10" s="1"/>
  <c r="F53" i="10" s="1"/>
  <c r="F54" i="10" s="1"/>
  <c r="F55" i="10" s="1"/>
  <c r="F56" i="10" s="1"/>
  <c r="F57" i="10" s="1"/>
  <c r="F58" i="10" s="1"/>
  <c r="F59" i="10" s="1"/>
  <c r="F60" i="10" s="1"/>
  <c r="F61" i="10" s="1"/>
  <c r="F62" i="10" s="1"/>
  <c r="F63" i="10" s="1"/>
  <c r="F64" i="10" s="1"/>
  <c r="F65" i="10" s="1"/>
  <c r="F66" i="10" s="1"/>
  <c r="F67" i="10" s="1"/>
  <c r="F68" i="10" s="1"/>
  <c r="F69" i="10" s="1"/>
  <c r="F70" i="10" s="1"/>
  <c r="F71" i="10" s="1"/>
  <c r="F72" i="10" s="1"/>
  <c r="F73" i="10" s="1"/>
  <c r="F74" i="10" s="1"/>
  <c r="F75" i="10" s="1"/>
  <c r="F76" i="10" s="1"/>
  <c r="F77" i="10" s="1"/>
  <c r="F78" i="10" s="1"/>
  <c r="F79" i="10" s="1"/>
  <c r="F80" i="10" s="1"/>
  <c r="F81" i="10" s="1"/>
  <c r="F82" i="10" s="1"/>
  <c r="F83" i="10" s="1"/>
  <c r="F84" i="10" s="1"/>
  <c r="F85" i="10" s="1"/>
  <c r="F86" i="10" s="1"/>
  <c r="F87" i="10" s="1"/>
  <c r="F88" i="10" s="1"/>
  <c r="F89" i="10" s="1"/>
  <c r="F90" i="10" s="1"/>
  <c r="F91" i="10" s="1"/>
  <c r="F92" i="10" s="1"/>
  <c r="F93" i="10" s="1"/>
  <c r="F94" i="10" s="1"/>
  <c r="F95" i="10" s="1"/>
  <c r="F96" i="10" s="1"/>
  <c r="F97" i="10" s="1"/>
  <c r="F98" i="10" s="1"/>
  <c r="F99" i="10" s="1"/>
  <c r="F100" i="10" s="1"/>
  <c r="F101" i="10" s="1"/>
  <c r="F102" i="10" s="1"/>
  <c r="F103" i="10" s="1"/>
  <c r="F104" i="10" s="1"/>
  <c r="F105" i="10" s="1"/>
  <c r="F106" i="10" s="1"/>
  <c r="F107" i="10" s="1"/>
  <c r="F108" i="10" s="1"/>
  <c r="F109" i="10" s="1"/>
  <c r="F110" i="10" s="1"/>
  <c r="F111" i="10" s="1"/>
  <c r="F112" i="10" s="1"/>
  <c r="F113" i="10" s="1"/>
  <c r="F114" i="10" s="1"/>
  <c r="F115" i="10" s="1"/>
  <c r="F116" i="10" s="1"/>
  <c r="F117" i="10" s="1"/>
  <c r="F118" i="10" s="1"/>
  <c r="F119" i="10" s="1"/>
  <c r="F120" i="10" s="1"/>
  <c r="F121" i="10" s="1"/>
  <c r="F122" i="10" s="1"/>
  <c r="F123" i="10" s="1"/>
  <c r="F124" i="10" l="1"/>
  <c r="J22" i="10"/>
  <c r="K21" i="10"/>
  <c r="H22" i="14"/>
  <c r="I21" i="14"/>
  <c r="Q10" i="10" l="1"/>
  <c r="U10" i="10" s="1"/>
  <c r="Q20" i="10"/>
  <c r="U20" i="10" s="1"/>
  <c r="Q30" i="10"/>
  <c r="U30" i="10" s="1"/>
  <c r="Q40" i="10"/>
  <c r="U40" i="10" s="1"/>
  <c r="Q50" i="10"/>
  <c r="U50" i="10" s="1"/>
  <c r="Q60" i="10"/>
  <c r="U60" i="10" s="1"/>
  <c r="Q70" i="10"/>
  <c r="U70" i="10" s="1"/>
  <c r="Q80" i="10"/>
  <c r="U80" i="10" s="1"/>
  <c r="Q90" i="10"/>
  <c r="U90" i="10" s="1"/>
  <c r="Q100" i="10"/>
  <c r="U100" i="10" s="1"/>
  <c r="Q11" i="10"/>
  <c r="U11" i="10" s="1"/>
  <c r="Q21" i="10"/>
  <c r="U21" i="10" s="1"/>
  <c r="Q31" i="10"/>
  <c r="U31" i="10" s="1"/>
  <c r="Q41" i="10"/>
  <c r="U41" i="10" s="1"/>
  <c r="Q51" i="10"/>
  <c r="U51" i="10" s="1"/>
  <c r="Q61" i="10"/>
  <c r="U61" i="10" s="1"/>
  <c r="Q71" i="10"/>
  <c r="U71" i="10" s="1"/>
  <c r="Q81" i="10"/>
  <c r="U81" i="10" s="1"/>
  <c r="Q91" i="10"/>
  <c r="U91" i="10" s="1"/>
  <c r="Q101" i="10"/>
  <c r="U101" i="10" s="1"/>
  <c r="Q12" i="10"/>
  <c r="U12" i="10" s="1"/>
  <c r="Q22" i="10"/>
  <c r="U22" i="10" s="1"/>
  <c r="Q32" i="10"/>
  <c r="U32" i="10" s="1"/>
  <c r="Q42" i="10"/>
  <c r="U42" i="10" s="1"/>
  <c r="Q52" i="10"/>
  <c r="U52" i="10" s="1"/>
  <c r="Q62" i="10"/>
  <c r="U62" i="10" s="1"/>
  <c r="Q72" i="10"/>
  <c r="U72" i="10" s="1"/>
  <c r="Q82" i="10"/>
  <c r="U82" i="10" s="1"/>
  <c r="Q92" i="10"/>
  <c r="U92" i="10" s="1"/>
  <c r="Q102" i="10"/>
  <c r="U102" i="10" s="1"/>
  <c r="Q13" i="10"/>
  <c r="U13" i="10" s="1"/>
  <c r="Q23" i="10"/>
  <c r="U23" i="10" s="1"/>
  <c r="Q33" i="10"/>
  <c r="U33" i="10" s="1"/>
  <c r="Q43" i="10"/>
  <c r="U43" i="10" s="1"/>
  <c r="Q53" i="10"/>
  <c r="U53" i="10" s="1"/>
  <c r="Q63" i="10"/>
  <c r="U63" i="10" s="1"/>
  <c r="Q73" i="10"/>
  <c r="U73" i="10" s="1"/>
  <c r="Q83" i="10"/>
  <c r="U83" i="10" s="1"/>
  <c r="Q93" i="10"/>
  <c r="U93" i="10" s="1"/>
  <c r="Q103" i="10"/>
  <c r="U103" i="10" s="1"/>
  <c r="Q14" i="10"/>
  <c r="U14" i="10" s="1"/>
  <c r="Q24" i="10"/>
  <c r="U24" i="10" s="1"/>
  <c r="Q34" i="10"/>
  <c r="U34" i="10" s="1"/>
  <c r="Q44" i="10"/>
  <c r="U44" i="10" s="1"/>
  <c r="Q54" i="10"/>
  <c r="U54" i="10" s="1"/>
  <c r="Q64" i="10"/>
  <c r="U64" i="10" s="1"/>
  <c r="Q74" i="10"/>
  <c r="U74" i="10" s="1"/>
  <c r="Q84" i="10"/>
  <c r="U84" i="10" s="1"/>
  <c r="Q94" i="10"/>
  <c r="U94" i="10" s="1"/>
  <c r="Q5" i="10"/>
  <c r="U5" i="10" s="1"/>
  <c r="Q15" i="10"/>
  <c r="U15" i="10" s="1"/>
  <c r="Q25" i="10"/>
  <c r="U25" i="10" s="1"/>
  <c r="Q35" i="10"/>
  <c r="U35" i="10" s="1"/>
  <c r="Q45" i="10"/>
  <c r="U45" i="10" s="1"/>
  <c r="Q55" i="10"/>
  <c r="U55" i="10" s="1"/>
  <c r="Q65" i="10"/>
  <c r="U65" i="10" s="1"/>
  <c r="Q75" i="10"/>
  <c r="U75" i="10" s="1"/>
  <c r="Q85" i="10"/>
  <c r="U85" i="10" s="1"/>
  <c r="Q95" i="10"/>
  <c r="U95" i="10" s="1"/>
  <c r="Q6" i="10"/>
  <c r="U6" i="10" s="1"/>
  <c r="Q16" i="10"/>
  <c r="U16" i="10" s="1"/>
  <c r="Q26" i="10"/>
  <c r="U26" i="10" s="1"/>
  <c r="Q36" i="10"/>
  <c r="U36" i="10" s="1"/>
  <c r="Q46" i="10"/>
  <c r="U46" i="10" s="1"/>
  <c r="Q56" i="10"/>
  <c r="U56" i="10" s="1"/>
  <c r="Q66" i="10"/>
  <c r="U66" i="10" s="1"/>
  <c r="Q76" i="10"/>
  <c r="U76" i="10" s="1"/>
  <c r="Q86" i="10"/>
  <c r="U86" i="10" s="1"/>
  <c r="Q96" i="10"/>
  <c r="U96" i="10" s="1"/>
  <c r="Q7" i="10"/>
  <c r="U7" i="10" s="1"/>
  <c r="Q17" i="10"/>
  <c r="U17" i="10" s="1"/>
  <c r="Q27" i="10"/>
  <c r="U27" i="10" s="1"/>
  <c r="Q37" i="10"/>
  <c r="U37" i="10" s="1"/>
  <c r="Q47" i="10"/>
  <c r="U47" i="10" s="1"/>
  <c r="Q57" i="10"/>
  <c r="U57" i="10" s="1"/>
  <c r="Q67" i="10"/>
  <c r="U67" i="10" s="1"/>
  <c r="Q77" i="10"/>
  <c r="U77" i="10" s="1"/>
  <c r="Q87" i="10"/>
  <c r="U87" i="10" s="1"/>
  <c r="Q97" i="10"/>
  <c r="U97" i="10" s="1"/>
  <c r="Q8" i="10"/>
  <c r="U8" i="10" s="1"/>
  <c r="Q18" i="10"/>
  <c r="U18" i="10" s="1"/>
  <c r="Q28" i="10"/>
  <c r="U28" i="10" s="1"/>
  <c r="Q38" i="10"/>
  <c r="U38" i="10" s="1"/>
  <c r="Q48" i="10"/>
  <c r="U48" i="10" s="1"/>
  <c r="Q58" i="10"/>
  <c r="U58" i="10" s="1"/>
  <c r="Q68" i="10"/>
  <c r="U68" i="10" s="1"/>
  <c r="Q78" i="10"/>
  <c r="U78" i="10" s="1"/>
  <c r="Q88" i="10"/>
  <c r="U88" i="10" s="1"/>
  <c r="Q98" i="10"/>
  <c r="U98" i="10" s="1"/>
  <c r="Q9" i="10"/>
  <c r="U9" i="10" s="1"/>
  <c r="Q19" i="10"/>
  <c r="U19" i="10" s="1"/>
  <c r="Q29" i="10"/>
  <c r="U29" i="10" s="1"/>
  <c r="Q39" i="10"/>
  <c r="U39" i="10" s="1"/>
  <c r="Q49" i="10"/>
  <c r="U49" i="10" s="1"/>
  <c r="Q59" i="10"/>
  <c r="U59" i="10" s="1"/>
  <c r="Q69" i="10"/>
  <c r="U69" i="10" s="1"/>
  <c r="Q79" i="10"/>
  <c r="U79" i="10" s="1"/>
  <c r="Q89" i="10"/>
  <c r="U89" i="10" s="1"/>
  <c r="Q99" i="10"/>
  <c r="U99" i="10" s="1"/>
  <c r="Q4" i="10"/>
  <c r="U4" i="10" s="1"/>
  <c r="U300" i="10"/>
  <c r="U290" i="10"/>
  <c r="U280" i="10"/>
  <c r="U270" i="10"/>
  <c r="U260" i="10"/>
  <c r="U250" i="10"/>
  <c r="U240" i="10"/>
  <c r="U230" i="10"/>
  <c r="U220" i="10"/>
  <c r="U210" i="10"/>
  <c r="U299" i="10"/>
  <c r="U289" i="10"/>
  <c r="U279" i="10"/>
  <c r="U269" i="10"/>
  <c r="U259" i="10"/>
  <c r="U249" i="10"/>
  <c r="U239" i="10"/>
  <c r="U229" i="10"/>
  <c r="U219" i="10"/>
  <c r="U209" i="10"/>
  <c r="U298" i="10"/>
  <c r="U288" i="10"/>
  <c r="U278" i="10"/>
  <c r="U268" i="10"/>
  <c r="U258" i="10"/>
  <c r="U248" i="10"/>
  <c r="U238" i="10"/>
  <c r="U228" i="10"/>
  <c r="U218" i="10"/>
  <c r="U208" i="10"/>
  <c r="U297" i="10"/>
  <c r="U287" i="10"/>
  <c r="U277" i="10"/>
  <c r="U267" i="10"/>
  <c r="U257" i="10"/>
  <c r="U247" i="10"/>
  <c r="U237" i="10"/>
  <c r="U296" i="10"/>
  <c r="U286" i="10"/>
  <c r="U276" i="10"/>
  <c r="U266" i="10"/>
  <c r="U256" i="10"/>
  <c r="U246" i="10"/>
  <c r="U236" i="10"/>
  <c r="U226" i="10"/>
  <c r="U216" i="10"/>
  <c r="U206" i="10"/>
  <c r="U295" i="10"/>
  <c r="U285" i="10"/>
  <c r="U275" i="10"/>
  <c r="U265" i="10"/>
  <c r="U255" i="10"/>
  <c r="U245" i="10"/>
  <c r="U235" i="10"/>
  <c r="U225" i="10"/>
  <c r="U215" i="10"/>
  <c r="U205" i="10"/>
  <c r="U294" i="10"/>
  <c r="U284" i="10"/>
  <c r="U274" i="10"/>
  <c r="U301" i="10"/>
  <c r="U291" i="10"/>
  <c r="U281" i="10"/>
  <c r="U271" i="10"/>
  <c r="U261" i="10"/>
  <c r="U251" i="10"/>
  <c r="U241" i="10"/>
  <c r="U231" i="10"/>
  <c r="U221" i="10"/>
  <c r="U211" i="10"/>
  <c r="U292" i="10"/>
  <c r="U252" i="10"/>
  <c r="U222" i="10"/>
  <c r="U283" i="10"/>
  <c r="U244" i="10"/>
  <c r="U217" i="10"/>
  <c r="U282" i="10"/>
  <c r="U243" i="10"/>
  <c r="U214" i="10"/>
  <c r="U273" i="10"/>
  <c r="U242" i="10"/>
  <c r="U213" i="10"/>
  <c r="U272" i="10"/>
  <c r="U234" i="10"/>
  <c r="U212" i="10"/>
  <c r="U264" i="10"/>
  <c r="U233" i="10"/>
  <c r="U207" i="10"/>
  <c r="U263" i="10"/>
  <c r="U232" i="10"/>
  <c r="U204" i="10"/>
  <c r="U303" i="10"/>
  <c r="U262" i="10"/>
  <c r="U227" i="10"/>
  <c r="U302" i="10"/>
  <c r="U254" i="10"/>
  <c r="U224" i="10"/>
  <c r="U293" i="10"/>
  <c r="U253" i="10"/>
  <c r="U223" i="10"/>
  <c r="H23" i="14"/>
  <c r="I22" i="14"/>
  <c r="J23" i="10"/>
  <c r="K22" i="10"/>
  <c r="Q2" i="10" l="1"/>
  <c r="J24" i="10"/>
  <c r="K23" i="10"/>
  <c r="H24" i="14"/>
  <c r="I23" i="14"/>
  <c r="H25" i="14" l="1"/>
  <c r="I24" i="14"/>
  <c r="K24" i="10"/>
  <c r="J25" i="10"/>
  <c r="K25" i="10" l="1"/>
  <c r="J26" i="10"/>
  <c r="H26" i="14"/>
  <c r="I25" i="14"/>
  <c r="H27" i="14" l="1"/>
  <c r="I26" i="14"/>
  <c r="J27" i="10"/>
  <c r="K26" i="10"/>
  <c r="J28" i="10" l="1"/>
  <c r="K27" i="10"/>
  <c r="I27" i="14"/>
  <c r="H28" i="14"/>
  <c r="I28" i="14" l="1"/>
  <c r="H29" i="14"/>
  <c r="J29" i="10"/>
  <c r="K28" i="10"/>
  <c r="H30" i="14" l="1"/>
  <c r="I29" i="14"/>
  <c r="J30" i="10"/>
  <c r="K29" i="10"/>
  <c r="J31" i="10" l="1"/>
  <c r="K30" i="10"/>
  <c r="H31" i="14"/>
  <c r="I30" i="14"/>
  <c r="H32" i="14" l="1"/>
  <c r="I31" i="14"/>
  <c r="J32" i="10"/>
  <c r="K31" i="10"/>
  <c r="J33" i="10" l="1"/>
  <c r="K32" i="10"/>
  <c r="H33" i="14"/>
  <c r="I32" i="14"/>
  <c r="H34" i="14" l="1"/>
  <c r="I33" i="14"/>
  <c r="J34" i="10"/>
  <c r="K33" i="10"/>
  <c r="K34" i="10" l="1"/>
  <c r="J35" i="10"/>
  <c r="H35" i="14"/>
  <c r="I34" i="14"/>
  <c r="H36" i="14" l="1"/>
  <c r="I35" i="14"/>
  <c r="K35" i="10"/>
  <c r="J36" i="10"/>
  <c r="J37" i="10" l="1"/>
  <c r="K36" i="10"/>
  <c r="H37" i="14"/>
  <c r="I36" i="14"/>
  <c r="J38" i="10" l="1"/>
  <c r="K37" i="10"/>
  <c r="I37" i="14"/>
  <c r="H38" i="14"/>
  <c r="I38" i="14" l="1"/>
  <c r="H39" i="14"/>
  <c r="J39" i="10"/>
  <c r="K38" i="10"/>
  <c r="J40" i="10" l="1"/>
  <c r="K39" i="10"/>
  <c r="H40" i="14"/>
  <c r="I39" i="14"/>
  <c r="H41" i="14" l="1"/>
  <c r="I40" i="14"/>
  <c r="J41" i="10"/>
  <c r="K40" i="10"/>
  <c r="J42" i="10" l="1"/>
  <c r="K41" i="10"/>
  <c r="H42" i="14"/>
  <c r="I41" i="14"/>
  <c r="H43" i="14" l="1"/>
  <c r="I42" i="14"/>
  <c r="J43" i="10"/>
  <c r="K42" i="10"/>
  <c r="J44" i="10" l="1"/>
  <c r="K43" i="10"/>
  <c r="H44" i="14"/>
  <c r="I43" i="14"/>
  <c r="H45" i="14" l="1"/>
  <c r="I44" i="14"/>
  <c r="K44" i="10"/>
  <c r="J45" i="10"/>
  <c r="K45" i="10" l="1"/>
  <c r="J46" i="10"/>
  <c r="H46" i="14"/>
  <c r="I45" i="14"/>
  <c r="I46" i="14" l="1"/>
  <c r="H47" i="14"/>
  <c r="J47" i="10"/>
  <c r="K46" i="10"/>
  <c r="J48" i="10" l="1"/>
  <c r="K47" i="10"/>
  <c r="I47" i="14"/>
  <c r="H48" i="14"/>
  <c r="I48" i="14" l="1"/>
  <c r="H49" i="14"/>
  <c r="J49" i="10"/>
  <c r="K48" i="10"/>
  <c r="J50" i="10" l="1"/>
  <c r="K49" i="10"/>
  <c r="H50" i="14"/>
  <c r="I49" i="14"/>
  <c r="H51" i="14" l="1"/>
  <c r="I50" i="14"/>
  <c r="J51" i="10"/>
  <c r="K50" i="10"/>
  <c r="J52" i="10" l="1"/>
  <c r="K51" i="10"/>
  <c r="H52" i="14"/>
  <c r="I51" i="14"/>
  <c r="H53" i="14" l="1"/>
  <c r="I52" i="14"/>
  <c r="J53" i="10"/>
  <c r="K52" i="10"/>
  <c r="K53" i="10" l="1"/>
  <c r="J54" i="10"/>
  <c r="H54" i="14"/>
  <c r="I53" i="14"/>
  <c r="H55" i="14" l="1"/>
  <c r="I54" i="14"/>
  <c r="K54" i="10"/>
  <c r="J55" i="10"/>
  <c r="K55" i="10" l="1"/>
  <c r="J56" i="10"/>
  <c r="H56" i="14"/>
  <c r="I55" i="14"/>
  <c r="J57" i="10" l="1"/>
  <c r="K56" i="10"/>
  <c r="I56" i="14"/>
  <c r="H57" i="14"/>
  <c r="I57" i="14" l="1"/>
  <c r="H58" i="14"/>
  <c r="J58" i="10"/>
  <c r="K57" i="10"/>
  <c r="J59" i="10" l="1"/>
  <c r="K58" i="10"/>
  <c r="I58" i="14"/>
  <c r="H59" i="14"/>
  <c r="H60" i="14" l="1"/>
  <c r="I59" i="14"/>
  <c r="J60" i="10"/>
  <c r="K59" i="10"/>
  <c r="J61" i="10" l="1"/>
  <c r="K60" i="10"/>
  <c r="H61" i="14"/>
  <c r="I60" i="14"/>
  <c r="H62" i="14" l="1"/>
  <c r="I61" i="14"/>
  <c r="J62" i="10"/>
  <c r="K61" i="10"/>
  <c r="J63" i="10" l="1"/>
  <c r="K62" i="10"/>
  <c r="H63" i="14"/>
  <c r="I62" i="14"/>
  <c r="H64" i="14" l="1"/>
  <c r="I63" i="14"/>
  <c r="J64" i="10"/>
  <c r="K63" i="10"/>
  <c r="K64" i="10" l="1"/>
  <c r="J65" i="10"/>
  <c r="H65" i="14"/>
  <c r="I64" i="14"/>
  <c r="H66" i="14" l="1"/>
  <c r="I65" i="14"/>
  <c r="K65" i="10"/>
  <c r="J66" i="10"/>
  <c r="J67" i="10" l="1"/>
  <c r="K66" i="10"/>
  <c r="H67" i="14"/>
  <c r="I66" i="14"/>
  <c r="I67" i="14" l="1"/>
  <c r="H68" i="14"/>
  <c r="J68" i="10"/>
  <c r="K67" i="10"/>
  <c r="J69" i="10" l="1"/>
  <c r="K68" i="10"/>
  <c r="I68" i="14"/>
  <c r="H69" i="14"/>
  <c r="H70" i="14" l="1"/>
  <c r="I69" i="14"/>
  <c r="J70" i="10"/>
  <c r="K69" i="10"/>
  <c r="J71" i="10" l="1"/>
  <c r="K70" i="10"/>
  <c r="H71" i="14"/>
  <c r="I70" i="14"/>
  <c r="H72" i="14" l="1"/>
  <c r="I71" i="14"/>
  <c r="J72" i="10"/>
  <c r="K71" i="10"/>
  <c r="J73" i="10" l="1"/>
  <c r="K72" i="10"/>
  <c r="H73" i="14"/>
  <c r="I72" i="14"/>
  <c r="H74" i="14" l="1"/>
  <c r="I73" i="14"/>
  <c r="J74" i="10"/>
  <c r="K73" i="10"/>
  <c r="K74" i="10" l="1"/>
  <c r="J75" i="10"/>
  <c r="H75" i="14"/>
  <c r="I74" i="14"/>
  <c r="K75" i="10" l="1"/>
  <c r="J76" i="10"/>
  <c r="H76" i="14"/>
  <c r="I75" i="14"/>
  <c r="H77" i="14" l="1"/>
  <c r="I76" i="14"/>
  <c r="J77" i="10"/>
  <c r="K76" i="10"/>
  <c r="J78" i="10" l="1"/>
  <c r="K77" i="10"/>
  <c r="I77" i="14"/>
  <c r="H78" i="14"/>
  <c r="I78" i="14" l="1"/>
  <c r="H79" i="14"/>
  <c r="J79" i="10"/>
  <c r="K78" i="10"/>
  <c r="J80" i="10" l="1"/>
  <c r="K79" i="10"/>
  <c r="H80" i="14"/>
  <c r="I79" i="14"/>
  <c r="H81" i="14" l="1"/>
  <c r="I80" i="14"/>
  <c r="J81" i="10"/>
  <c r="K80" i="10"/>
  <c r="H82" i="14" l="1"/>
  <c r="I81" i="14"/>
  <c r="J82" i="10"/>
  <c r="K81" i="10"/>
  <c r="J83" i="10" l="1"/>
  <c r="K82" i="10"/>
  <c r="H83" i="14"/>
  <c r="I82" i="14"/>
  <c r="H84" i="14" l="1"/>
  <c r="I83" i="14"/>
  <c r="J84" i="10"/>
  <c r="K83" i="10"/>
  <c r="K84" i="10" l="1"/>
  <c r="J85" i="10"/>
  <c r="H85" i="14"/>
  <c r="I84" i="14"/>
  <c r="H86" i="14" l="1"/>
  <c r="I85" i="14"/>
  <c r="K85" i="10"/>
  <c r="J86" i="10"/>
  <c r="J87" i="10" l="1"/>
  <c r="K86" i="10"/>
  <c r="H87" i="14"/>
  <c r="I86" i="14"/>
  <c r="I87" i="14" l="1"/>
  <c r="H88" i="14"/>
  <c r="J88" i="10"/>
  <c r="K87" i="10"/>
  <c r="J89" i="10" l="1"/>
  <c r="K88" i="10"/>
  <c r="I88" i="14"/>
  <c r="H89" i="14"/>
  <c r="H90" i="14" l="1"/>
  <c r="I89" i="14"/>
  <c r="J90" i="10"/>
  <c r="K89" i="10"/>
  <c r="J91" i="10" l="1"/>
  <c r="K90" i="10"/>
  <c r="H91" i="14"/>
  <c r="I90" i="14"/>
  <c r="H92" i="14" l="1"/>
  <c r="I91" i="14"/>
  <c r="J92" i="10"/>
  <c r="K91" i="10"/>
  <c r="J93" i="10" l="1"/>
  <c r="K92" i="10"/>
  <c r="H93" i="14"/>
  <c r="I92" i="14"/>
  <c r="H94" i="14" l="1"/>
  <c r="I93" i="14"/>
  <c r="J94" i="10"/>
  <c r="K93" i="10"/>
  <c r="K94" i="10" l="1"/>
  <c r="J95" i="10"/>
  <c r="H95" i="14"/>
  <c r="I94" i="14"/>
  <c r="H96" i="14" l="1"/>
  <c r="I95" i="14"/>
  <c r="K95" i="10"/>
  <c r="J96" i="10"/>
  <c r="J97" i="10" l="1"/>
  <c r="K96" i="10"/>
  <c r="I96" i="14"/>
  <c r="H97" i="14"/>
  <c r="I97" i="14" l="1"/>
  <c r="H98" i="14"/>
  <c r="J98" i="10"/>
  <c r="K97" i="10"/>
  <c r="J99" i="10" l="1"/>
  <c r="K98" i="10"/>
  <c r="I98" i="14"/>
  <c r="H99" i="14"/>
  <c r="H100" i="14" l="1"/>
  <c r="I99" i="14"/>
  <c r="J100" i="10"/>
  <c r="K99" i="10"/>
  <c r="J101" i="10" l="1"/>
  <c r="K100" i="10"/>
  <c r="H101" i="14"/>
  <c r="I100" i="14"/>
  <c r="H102" i="14" l="1"/>
  <c r="I101" i="14"/>
  <c r="J102" i="10"/>
  <c r="K101" i="10"/>
  <c r="J103" i="10" l="1"/>
  <c r="K102" i="10"/>
  <c r="H103" i="14"/>
  <c r="I102" i="14"/>
  <c r="H104" i="14" l="1"/>
  <c r="I103" i="14"/>
  <c r="K103" i="10"/>
  <c r="J104" i="10"/>
  <c r="K104" i="10" l="1"/>
  <c r="J105" i="10"/>
  <c r="H105" i="14"/>
  <c r="I104" i="14"/>
  <c r="H106" i="14" l="1"/>
  <c r="I105" i="14"/>
  <c r="K105" i="10"/>
  <c r="J106" i="10"/>
  <c r="J107" i="10" l="1"/>
  <c r="K106" i="10"/>
  <c r="I106" i="14"/>
  <c r="H107" i="14"/>
  <c r="I107" i="14" l="1"/>
  <c r="H108" i="14"/>
  <c r="J108" i="10"/>
  <c r="K107" i="10"/>
  <c r="J109" i="10" l="1"/>
  <c r="K108" i="10"/>
  <c r="I108" i="14"/>
  <c r="H109" i="14"/>
  <c r="H110" i="14" l="1"/>
  <c r="I109" i="14"/>
  <c r="J110" i="10"/>
  <c r="K109" i="10"/>
  <c r="J111" i="10" l="1"/>
  <c r="K110" i="10"/>
  <c r="H111" i="14"/>
  <c r="I110" i="14"/>
  <c r="H112" i="14" l="1"/>
  <c r="I111" i="14"/>
  <c r="J112" i="10"/>
  <c r="K111" i="10"/>
  <c r="J113" i="10" l="1"/>
  <c r="K112" i="10"/>
  <c r="H113" i="14"/>
  <c r="I112" i="14"/>
  <c r="H114" i="14" l="1"/>
  <c r="I113" i="14"/>
  <c r="J114" i="10"/>
  <c r="K113" i="10"/>
  <c r="K114" i="10" l="1"/>
  <c r="J115" i="10"/>
  <c r="H115" i="14"/>
  <c r="I114" i="14"/>
  <c r="H116" i="14" l="1"/>
  <c r="I115" i="14"/>
  <c r="K115" i="10"/>
  <c r="J116" i="10"/>
  <c r="J117" i="10" l="1"/>
  <c r="K116" i="10"/>
  <c r="H117" i="14"/>
  <c r="I116" i="14"/>
  <c r="I117" i="14" l="1"/>
  <c r="H118" i="14"/>
  <c r="J118" i="10"/>
  <c r="K117" i="10"/>
  <c r="J119" i="10" l="1"/>
  <c r="K118" i="10"/>
  <c r="I118" i="14"/>
  <c r="H119" i="14"/>
  <c r="H120" i="14" l="1"/>
  <c r="I119" i="14"/>
  <c r="J120" i="10"/>
  <c r="K119" i="10"/>
  <c r="J121" i="10" l="1"/>
  <c r="K120" i="10"/>
  <c r="H121" i="14"/>
  <c r="I120" i="14"/>
  <c r="H122" i="14" l="1"/>
  <c r="I121" i="14"/>
  <c r="J122" i="10"/>
  <c r="K121" i="10"/>
  <c r="J123" i="10" l="1"/>
  <c r="K122" i="10"/>
  <c r="H123" i="14"/>
  <c r="I122" i="14"/>
  <c r="I123" i="14" l="1"/>
  <c r="I1" i="14" s="1"/>
  <c r="L5" i="14" s="1"/>
  <c r="L3" i="14" s="1"/>
  <c r="K123" i="10"/>
  <c r="K2" i="10" s="1"/>
  <c r="M4" i="10" s="1"/>
  <c r="U104" i="10" l="1"/>
  <c r="M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tc={EF5DCAE9-98A0-9E40-9C91-99E845B76EDE}</author>
  </authors>
  <commentList>
    <comment ref="C77" authorId="0" shapeId="0" xr:uid="{EF5DCAE9-98A0-9E40-9C91-99E845B76EDE}">
      <text>
        <t>[Threaded comment]
Your version of Excel allows you to read this threaded comment; however, any edits to it will get removed if the file is opened in a newer version of Excel. Learn more: https://go.microsoft.com/fwlink/?linkid=870924
Comment:
    My computer has crushed everytime when I tried to use data analysis in excel. I have used R-studio to generate a sample stats summary.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tc={BBC19FE7-FE75-C84D-9FB6-29B6279804BB}</author>
  </authors>
  <commentList>
    <comment ref="C4" authorId="0" shapeId="0" xr:uid="{BBC19FE7-FE75-C84D-9FB6-29B6279804BB}">
      <text>
        <t xml:space="preserve">[Threaded comment]
Your version of Excel allows you to read this threaded comment; however, any edits to it will get removed if the file is opened in a newer version of Excel. Learn more: https://go.microsoft.com/fwlink/?linkid=870924
Comment:
    used later in part g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<sst xmlns="http://schemas.openxmlformats.org/spreadsheetml/2006/main" count="594" uniqueCount="185">
  <si>
    <t>Parameters</t>
  </si>
  <si>
    <t xml:space="preserve">initial salary </t>
  </si>
  <si>
    <t>annual increase</t>
  </si>
  <si>
    <t xml:space="preserve">exam increase </t>
  </si>
  <si>
    <t>Year</t>
  </si>
  <si>
    <t>Time</t>
  </si>
  <si>
    <t>t</t>
  </si>
  <si>
    <t>Monthly salary</t>
  </si>
  <si>
    <t>year passed exams</t>
  </si>
  <si>
    <t>no of  exams passed</t>
  </si>
  <si>
    <t>Assumptions:</t>
  </si>
  <si>
    <t>Simi and Cynthia's salaries for the next 10 years</t>
  </si>
  <si>
    <t>The probability of passing any particular exam is 30% and is independent of previous exams/attempts they make. Only one exam can be attempted every year and once they pass all three exams no more attempts will be made.</t>
  </si>
  <si>
    <t>Assumption:</t>
  </si>
  <si>
    <t>Initial data:</t>
  </si>
  <si>
    <t>5 years</t>
  </si>
  <si>
    <t>10 years</t>
  </si>
  <si>
    <t>1.Because increase of salary only occurs at the beginning of the next year after they pass in addition to the normal annual increase.  Instead of stating no of exams passed in 2023, 2025 and 2027, we add one to the number of exams passed in January of 2024, 2026 and 2028.
2. Instead of stating annual salary increase of 15% given passed one additional exam, we state that passing exam gives  a compunding increase of 14% in addition to the 5% annual increase. ((1+14%)*(1+4%)=1+15%+4%)</t>
  </si>
  <si>
    <t>s(t)</t>
  </si>
  <si>
    <t>procedure</t>
  </si>
  <si>
    <t>Function yieldplot(t As Double) As Double</t>
  </si>
  <si>
    <t>yieldplot = (-2.524 / 120 * (t - 2) * (t - 6) * (t - 10) + 2.53 / 64 * t * (t - 6) * (t - 10) - 3.205 / 96 * t * (t - 2) * (t - 10) + 3.783 / 320 * t * (t - 2) * (t - 6)) / 100</t>
  </si>
  <si>
    <t>End Function</t>
  </si>
  <si>
    <t>Date</t>
  </si>
  <si>
    <t xml:space="preserve">Historical adjusted close price </t>
  </si>
  <si>
    <t>CSL.AX</t>
  </si>
  <si>
    <t>CBA.AX</t>
  </si>
  <si>
    <t>BHP.AX</t>
  </si>
  <si>
    <t>Covariance table of log return of stocks</t>
  </si>
  <si>
    <t>log return of stocks</t>
  </si>
  <si>
    <t>Weight</t>
  </si>
  <si>
    <t>objective</t>
  </si>
  <si>
    <t>Portfolio vairance</t>
  </si>
  <si>
    <t>Total</t>
  </si>
  <si>
    <t>Aveage monthly log return</t>
  </si>
  <si>
    <t>Portfolio return</t>
  </si>
  <si>
    <t>Based on previous page, we have the following initial conditions</t>
  </si>
  <si>
    <t>simulation</t>
  </si>
  <si>
    <t>Simulation</t>
  </si>
  <si>
    <t>option 2</t>
  </si>
  <si>
    <t>option 3</t>
  </si>
  <si>
    <t>explain why 1/1/2022 not feb</t>
  </si>
  <si>
    <t>r</t>
  </si>
  <si>
    <t>initial</t>
  </si>
  <si>
    <t>Delta t</t>
  </si>
  <si>
    <t>Sigma</t>
  </si>
  <si>
    <t>Theta</t>
  </si>
  <si>
    <t>Kappa</t>
  </si>
  <si>
    <t>r0</t>
  </si>
  <si>
    <t>DeltaWt</t>
  </si>
  <si>
    <t>accumulated value</t>
  </si>
  <si>
    <t>option 1</t>
  </si>
  <si>
    <t>100 simulations</t>
  </si>
  <si>
    <t>recorded accumulated value</t>
  </si>
  <si>
    <t>average</t>
  </si>
  <si>
    <t xml:space="preserve">option </t>
  </si>
  <si>
    <t xml:space="preserve">money invested </t>
  </si>
  <si>
    <t>A(120)</t>
  </si>
  <si>
    <t>a(120)</t>
  </si>
  <si>
    <t>A(t)</t>
  </si>
  <si>
    <t>f(t_n-1,n)</t>
  </si>
  <si>
    <t>ACTL: 5102 assignment</t>
  </si>
  <si>
    <t>Student id: z5210578</t>
  </si>
  <si>
    <t>Task a:</t>
  </si>
  <si>
    <t>P(pass all)</t>
  </si>
  <si>
    <t>P(pass all exams)</t>
  </si>
  <si>
    <t>Treat this as a binomial probability question with parameter P=0.3. Hence, the answers can be derived by accumulated probability functions.</t>
  </si>
  <si>
    <t>Back to answers</t>
  </si>
  <si>
    <t>Task b:</t>
  </si>
  <si>
    <t>Initial conditions</t>
  </si>
  <si>
    <t xml:space="preserve">Option 2: 60% in a stock portfolio and 40% in zero coupon government bonds. </t>
  </si>
  <si>
    <t xml:space="preserve">Option 3: 100% in Multi-asset investment fund. </t>
  </si>
  <si>
    <t>Cynthia is more risk-averse. Please refer to page Task c for detailed answer.</t>
  </si>
  <si>
    <t>Task c:</t>
  </si>
  <si>
    <t>Task d:</t>
  </si>
  <si>
    <t>Initial conditions:</t>
  </si>
  <si>
    <t>1. Spot rate at time 0 is 2.524% compunded montly. And, all of the spot rates calculated are nominal rates that are compounded monthly.</t>
  </si>
  <si>
    <t xml:space="preserve">2. s(2)=2.53% and s(10)=3.783%. (High lighted in yellow) </t>
  </si>
  <si>
    <t>3. s(6)=3.457% is the given condition. However, it will not result in a smooth curve. Since s(10) still matches the given initial conditions, we proceed with s(6)=3.205%. (highlighted inb red)</t>
  </si>
  <si>
    <t>The spot rates are increasing when time between t and time 0 increases. Resulting in an incremental S shaped curve.
This is because of the time value of money and increase in uncertainty. Hence, the overall increasing spot rates would have a trendline with positive gradiant.</t>
  </si>
  <si>
    <t>Task e:</t>
  </si>
  <si>
    <t xml:space="preserve">The three companies we are referring to here are CSL Limited, Commonwealth Bank of Australi and BHP Limited. </t>
  </si>
  <si>
    <t xml:space="preserve">The three companies are leading Australian companies in different industries which complies with the assumption I made in task c: Simi's stock portfolio is not only constituted by risky equities. </t>
  </si>
  <si>
    <t>Part a</t>
  </si>
  <si>
    <t>Part b</t>
  </si>
  <si>
    <t>Part c</t>
  </si>
  <si>
    <t>Part d</t>
  </si>
  <si>
    <t>Part e</t>
  </si>
  <si>
    <t>Portfolio weight values</t>
  </si>
  <si>
    <t>Portfolio log return</t>
  </si>
  <si>
    <t>Note: Hyperlinks are attached, please click on blue columns to find my answers</t>
  </si>
  <si>
    <t>Auto generated 100 a(120) and A(120)</t>
  </si>
  <si>
    <t>Accumulated return</t>
  </si>
  <si>
    <t>100 trajectories</t>
  </si>
  <si>
    <t>Monthly log return from time n-1 to n of Simulation:</t>
  </si>
  <si>
    <t>Sample sim.</t>
  </si>
  <si>
    <t>100 A(120)</t>
  </si>
  <si>
    <t xml:space="preserve">Assume 30% of monthly salary is invested in stock market every month. My tabel '100 A(120)' is not using results from 100 trajectories, instead, I used table command to automatiocally generated overall accumulated monetary value for this stock portfoio. 
</t>
  </si>
  <si>
    <t>Back to Task e</t>
  </si>
  <si>
    <t>Table:</t>
  </si>
  <si>
    <t>initial conditions</t>
  </si>
  <si>
    <t xml:space="preserve">Assume that the given interest rate structure is accessable for Cynthia. 
Assume salaries are paid at the end of each month and investments are made at 00:00 of beginning of each month. There is neglectable time between receiving salary and investing. Hence, we use 1st of each month as our timeline. </t>
  </si>
  <si>
    <t>Task f:</t>
  </si>
  <si>
    <t>Gross investment at 
the end of the month</t>
  </si>
  <si>
    <t>recorded A(120)</t>
  </si>
  <si>
    <t>Please refer to table</t>
  </si>
  <si>
    <t>Sample simulation</t>
  </si>
  <si>
    <t>Sample simulation procedure</t>
  </si>
  <si>
    <t>for a sample detailed simulation.</t>
  </si>
  <si>
    <t xml:space="preserve">Please refer to table </t>
  </si>
  <si>
    <t xml:space="preserve">for results of 100 simulated A(120) for option 3. </t>
  </si>
  <si>
    <t>100 trajectory</t>
  </si>
  <si>
    <t xml:space="preserve">for 100 simulated short rates. </t>
  </si>
  <si>
    <t>100 trajectories for short rate r</t>
  </si>
  <si>
    <t xml:space="preserve">for 100 simulated log returns. </t>
  </si>
  <si>
    <t>for results of 100 simulated A(120) assuming investing 30% every month.</t>
  </si>
  <si>
    <t>for a detailed sample simulation</t>
  </si>
  <si>
    <t>Annual salary</t>
  </si>
  <si>
    <t>Option 3</t>
  </si>
  <si>
    <t>A(t+1)</t>
  </si>
  <si>
    <t>Total invesment</t>
  </si>
  <si>
    <t>Accumulated value</t>
  </si>
  <si>
    <t>Pivot table analysis</t>
  </si>
  <si>
    <t>Please refer to</t>
  </si>
  <si>
    <t>Option 1</t>
  </si>
  <si>
    <t>Option 2</t>
  </si>
  <si>
    <t xml:space="preserve">Pivot </t>
  </si>
  <si>
    <t>for accumulated value calculation for investment option 1.</t>
  </si>
  <si>
    <t>for accumulated value simulation for investment option 2.</t>
  </si>
  <si>
    <t xml:space="preserve">for investment value simulation for investment option 3. </t>
  </si>
  <si>
    <t>Back to Task g</t>
  </si>
  <si>
    <t>Assume that we are using forward rate calculated in task d to derive accumulated value for investment option 1.
Asusme that we are using 0.4 times accumulated value of option 1 plus 0.6 time accumulated value of a stock portfolio to determine the accumulated value of investment option 2.
Asusme that for investment option 3 simulation, we follow all the assumptions we made in Task f.</t>
  </si>
  <si>
    <t>Brief conclusion:</t>
  </si>
  <si>
    <t>Column Labels</t>
  </si>
  <si>
    <t>Grand Total</t>
  </si>
  <si>
    <t>Row Labels</t>
  </si>
  <si>
    <t>Count of Accumulated value</t>
  </si>
  <si>
    <t>361000-362000</t>
  </si>
  <si>
    <t>362000-363000</t>
  </si>
  <si>
    <t>363000-364000</t>
  </si>
  <si>
    <t>429000-430000</t>
  </si>
  <si>
    <t>575000-576000</t>
  </si>
  <si>
    <t>577000-578000</t>
  </si>
  <si>
    <t>578000-579000</t>
  </si>
  <si>
    <t>579000-580000</t>
  </si>
  <si>
    <t>580000-581000</t>
  </si>
  <si>
    <t>581000-582000</t>
  </si>
  <si>
    <t>582000-583000</t>
  </si>
  <si>
    <t>583000-584000</t>
  </si>
  <si>
    <t>584000-585000</t>
  </si>
  <si>
    <t>585000-586000</t>
  </si>
  <si>
    <t>586000-587000</t>
  </si>
  <si>
    <t>587000-588000</t>
  </si>
  <si>
    <t>590000-591000</t>
  </si>
  <si>
    <t>591000-592000</t>
  </si>
  <si>
    <t>573000-574000</t>
  </si>
  <si>
    <t>574000-575000</t>
  </si>
  <si>
    <t>588000-589000</t>
  </si>
  <si>
    <t>589000-590000</t>
  </si>
  <si>
    <t xml:space="preserve">   Min. 1st Qu.  Median    Mean 3rd Qu.    Max. </t>
  </si>
  <si>
    <t xml:space="preserve"> 361351  362184  362436  362505  362708  363753 </t>
  </si>
  <si>
    <t xml:space="preserve"> 575315  580145  582768  582980  585746  593323 </t>
  </si>
  <si>
    <t>Assumptions</t>
  </si>
  <si>
    <t>Instead of generating automised data analysis, we are using one group of sample simulation to make a bried conclusion.</t>
  </si>
  <si>
    <t>All previous assumptions apply.</t>
  </si>
  <si>
    <t>Standard deviation</t>
  </si>
  <si>
    <t xml:space="preserve">Based on the given detail, Cynthia has a more diversified portfolio which normally results in lower risk. We can say that Cynthia is more risk-averse. Without further information, a fair objective comparison between these two options is not possible. 
Therefore, we are assuming that the multi-asset investment fund is a well-diversified fund that invests in the stock market, government bonds, real estate and etc, which has lower risk than option 2. Whilst, because the fund is not managed by Cynthia herself, instead she is investing in a multi-asset fund. 
And, Simi, he is still having a decently diversified portfolio that includes government bonds and a stock portfolio. Unless Simi is only investing in risky equities, Simi is risk-averse and willing to take a small amount of additional risk for speculative returns. The long term accumulated return that Simi is likely to be a little bit higher than Cynthia. Because Simi does not have to pay fund management fees on top of the returns. And both of the investment options should be preferable in comparison to option 1 as long as there is no catastrophic economic shock. </t>
  </si>
  <si>
    <t xml:space="preserve">In this assignment, option 2 is predominantly the best investment option with a minimum return of $140,000 higher than the second-best investment option: option 1. Although the not so well-diversified stock portfolio is resulting in the highest risk, which is determined by the highest variance that option 2 has. Over ten years of the investment period, option 2 is most likely to generate the best investment return for Simi and Cynthia following the given conditions and assumptions.  
However, in real life, our answers may not be correct.
In task d, we have assumed that the stock portfolio is a well-diversified portfolio with optimised risk and return. According to the past 10-year ASX200 market history, the average return is around 10%. However, the three stocks we have chosen have generated approximately 14.5% of effective return per year. A well-diversified portfolio is unlikely to surpass the market index by a lot. Hence, we have likely over-estimated returns for investment option 2.
In task c, we have assumed that the multi-asset investment fund is risk-averse and constructed a well-diversified portfolio. With the given initial conditions, our simulation for option 3 has very low variance, in another word, low risk. However, the derived annual return is even lower than the risk-free government bond. Hence, we have likely under-estimated returns for investment option 3.
In conclusion, our answer to task c is partly verified. Since Cynthia has a lower portfolio risk and Simi has generated additional return built upon the additional risks that he has taken. Investment option 1 is indeed the safest. And investment option 3 is most likely to have the highest return. Whist, option 3 should sit in between 1 and 2. 
</t>
  </si>
  <si>
    <t>3 stocks:</t>
  </si>
  <si>
    <t>a)</t>
  </si>
  <si>
    <t>b)</t>
  </si>
  <si>
    <t>c)</t>
  </si>
  <si>
    <t>e)</t>
  </si>
  <si>
    <t xml:space="preserve">d) </t>
  </si>
  <si>
    <t>Portfolio log return per month</t>
  </si>
  <si>
    <t>Page: Task e simulation procedure</t>
  </si>
  <si>
    <t>Page: Task f</t>
  </si>
  <si>
    <t>Task h:</t>
  </si>
  <si>
    <t>Sample summary statistics:</t>
  </si>
  <si>
    <t>Task g:</t>
  </si>
  <si>
    <t>Summary statistics</t>
  </si>
  <si>
    <r>
      <t xml:space="preserve">Option 2 ended up being the best investment option which has minimum return more than maximum return of the other two options. Yet, option 2 has the highest vairance resulting it becoming the most risky asset.
Option 3 has the lowest average return: approximately $362,500 and second highest risk.
We can tell that this simulation is not realistic because the initial rate for option 3 calculation is too low. 
</t>
    </r>
    <r>
      <rPr>
        <sz val="12"/>
        <color rgb="FFFF0000"/>
        <rFont val="Calibri (Body)"/>
      </rPr>
      <t>(Smmary statistics have been attached on page 'Answers')</t>
    </r>
  </si>
  <si>
    <t>Short rate</t>
  </si>
  <si>
    <t>r_t</t>
  </si>
  <si>
    <t xml:space="preserve">for the table that’s used for pivot table analysis below.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</si>
</sst>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
    <numFmt numFmtId="165" formatCode="0.0000%"/>
    <numFmt numFmtId="166" formatCode="d/mm/yyyy;@"/>
    <numFmt numFmtId="167" formatCode="0.0000"/>
    <numFmt numFmtId="168" formatCode="&quot;$&quot;#,##0.0"/>
    <numFmt numFmtId="169" formatCode="d/mm/yy;@"/>
  </numFmts>
  <fonts count="13" x14ac:knownFonts="1">
    <font>
      <sz val="12"/>
      <color theme="1"/>
      <name val="Calibri"/>
      <family val="2"/>
      <scheme val="minor"/>
    </font>
    <font>
      <sz val="12"/>
      <color theme="0"/>
      <name val="Calibri"/>
      <family val="2"/>
      <scheme val="minor"/>
    </font>
    <font>
      <sz val="12"/>
      <color theme="0"/>
      <name val="Abadi"/>
    </font>
    <font>
      <i/>
      <sz val="12"/>
      <color rgb="FF000000"/>
      <name val="Calibri"/>
      <family val="2"/>
      <scheme val="minor"/>
    </font>
    <font>
      <sz val="12"/>
      <color rgb="FF000000"/>
      <name val="Calibri"/>
      <family val="2"/>
      <scheme val="minor"/>
    </font>
    <font>
      <sz val="8"/>
      <name val="Calibri"/>
      <family val="2"/>
      <scheme val="minor"/>
    </font>
    <font>
      <sz val="20"/>
      <color theme="1"/>
      <name val="Calibri"/>
      <family val="2"/>
      <scheme val="minor"/>
    </font>
    <font>
      <sz val="14"/>
      <color theme="1"/>
      <name val="Calibri"/>
      <family val="2"/>
      <scheme val="minor"/>
    </font>
    <font>
      <u/>
      <sz val="12"/>
      <color theme="10"/>
      <name val="Calibri"/>
      <family val="2"/>
      <scheme val="minor"/>
    </font>
    <font>
      <sz val="12"/>
      <color theme="0" tint="-4.9989318521683403E-2"/>
      <name val="Calibri"/>
      <family val="2"/>
      <scheme val="minor"/>
    </font>
    <font>
      <sz val="15"/>
      <color rgb="FFFF0000"/>
      <name val="Calibri"/>
      <family val="2"/>
      <scheme val="minor"/>
    </font>
    <font>
      <sz val="13"/>
      <color rgb="FF231F20"/>
      <name val="Arial"/>
      <family val="2"/>
    </font>
    <font>
      <sz val="12"/>
      <color rgb="FFFF0000"/>
      <name val="Calibri (Body)"/>
    </font>
  </fonts>
  <fills count="11">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bgColor indexed="64"/>
      </patternFill>
    </fill>
  </fills>
  <borders count="18">
    <border>
      <left/>
      <right/>
      <top/>
      <bottom/>
      <diagonal/>
    </border>
    <border>
      <left/>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8" fillId="0" borderId="0" applyNumberFormat="0" applyFill="0" applyBorder="0" applyAlignment="0" applyProtection="0"/>
  </cellStyleXfs>
  <cellXfs count="79">
    <xf numFmtId="0" fontId="0" fillId="0" borderId="0" xfId="0"/>
    <xf numFmtId="164" fontId="0" fillId="0" borderId="0" xfId="0" applyNumberFormat="1"/>
    <xf numFmtId="0" fontId="0" fillId="0" borderId="0" xfId="0" applyAlignment="1">
      <alignment wrapText="1"/>
    </xf>
    <xf numFmtId="17" fontId="0" fillId="0" borderId="0" xfId="0" applyNumberFormat="1"/>
    <xf numFmtId="2" fontId="0" fillId="0" borderId="0" xfId="0" applyNumberFormat="1"/>
    <xf numFmtId="0" fontId="0" fillId="2" borderId="0" xfId="0" applyFill="1"/>
    <xf numFmtId="0" fontId="0" fillId="3" borderId="0" xfId="0" applyFill="1"/>
    <xf numFmtId="0" fontId="0" fillId="4" borderId="0" xfId="0" applyFill="1"/>
    <xf numFmtId="0" fontId="0" fillId="0" borderId="0" xfId="0" applyFill="1"/>
    <xf numFmtId="164" fontId="0" fillId="2" borderId="0" xfId="0" applyNumberFormat="1" applyFill="1"/>
    <xf numFmtId="9" fontId="0" fillId="2" borderId="0" xfId="0" applyNumberFormat="1" applyFill="1"/>
    <xf numFmtId="164" fontId="0" fillId="2" borderId="0" xfId="0" applyNumberFormat="1" applyFill="1" applyAlignment="1">
      <alignment wrapText="1"/>
    </xf>
    <xf numFmtId="0" fontId="0" fillId="0" borderId="0" xfId="0" applyNumberFormat="1"/>
    <xf numFmtId="167" fontId="0" fillId="0" borderId="0" xfId="0" applyNumberFormat="1"/>
    <xf numFmtId="0" fontId="7" fillId="0" borderId="0" xfId="0" applyFont="1"/>
    <xf numFmtId="0" fontId="6" fillId="0" borderId="0" xfId="0" applyFont="1" applyAlignment="1"/>
    <xf numFmtId="0" fontId="8" fillId="7" borderId="3" xfId="1" applyFill="1" applyBorder="1"/>
    <xf numFmtId="0" fontId="8" fillId="6" borderId="3" xfId="1" applyFill="1" applyBorder="1"/>
    <xf numFmtId="2" fontId="0" fillId="2" borderId="0" xfId="0" applyNumberFormat="1" applyFill="1"/>
    <xf numFmtId="165" fontId="0" fillId="2" borderId="0" xfId="0" applyNumberFormat="1" applyFill="1"/>
    <xf numFmtId="0" fontId="0" fillId="8" borderId="0" xfId="0" applyFill="1"/>
    <xf numFmtId="165" fontId="0" fillId="8" borderId="0" xfId="0" applyNumberFormat="1" applyFill="1"/>
    <xf numFmtId="2" fontId="0" fillId="8" borderId="0" xfId="0" applyNumberFormat="1" applyFill="1"/>
    <xf numFmtId="0" fontId="9" fillId="9" borderId="0" xfId="0" applyFont="1" applyFill="1"/>
    <xf numFmtId="165" fontId="9" fillId="9" borderId="0" xfId="0" applyNumberFormat="1" applyFont="1" applyFill="1"/>
    <xf numFmtId="14" fontId="0" fillId="3" borderId="0" xfId="0" applyNumberFormat="1" applyFill="1"/>
    <xf numFmtId="0" fontId="3" fillId="3" borderId="2" xfId="0" applyFont="1" applyFill="1" applyBorder="1" applyAlignment="1">
      <alignment horizontal="center"/>
    </xf>
    <xf numFmtId="0" fontId="4" fillId="3" borderId="0" xfId="0" applyFont="1" applyFill="1"/>
    <xf numFmtId="0" fontId="4" fillId="3" borderId="1" xfId="0" applyFont="1" applyFill="1" applyBorder="1"/>
    <xf numFmtId="0" fontId="4" fillId="2" borderId="0" xfId="0" applyFont="1" applyFill="1"/>
    <xf numFmtId="0" fontId="4" fillId="2" borderId="1" xfId="0" applyFont="1" applyFill="1" applyBorder="1"/>
    <xf numFmtId="0" fontId="4" fillId="2" borderId="0" xfId="0" applyFont="1" applyFill="1" applyBorder="1"/>
    <xf numFmtId="17" fontId="0" fillId="3" borderId="0" xfId="0" applyNumberFormat="1" applyFill="1"/>
    <xf numFmtId="0" fontId="0" fillId="2" borderId="0" xfId="0" applyNumberFormat="1" applyFill="1"/>
    <xf numFmtId="168" fontId="0" fillId="2" borderId="0" xfId="0" applyNumberFormat="1" applyFill="1"/>
    <xf numFmtId="0" fontId="7" fillId="4" borderId="0" xfId="0" applyFont="1" applyFill="1"/>
    <xf numFmtId="0" fontId="1" fillId="10" borderId="0" xfId="0" applyFont="1" applyFill="1"/>
    <xf numFmtId="0" fontId="0" fillId="0" borderId="6" xfId="0" applyBorder="1"/>
    <xf numFmtId="0" fontId="0" fillId="0" borderId="7" xfId="0" applyBorder="1"/>
    <xf numFmtId="0" fontId="0" fillId="0" borderId="8" xfId="0" applyBorder="1"/>
    <xf numFmtId="0" fontId="0" fillId="0" borderId="9" xfId="0" applyBorder="1"/>
    <xf numFmtId="0" fontId="0" fillId="0" borderId="0" xfId="0" applyBorder="1"/>
    <xf numFmtId="0" fontId="0" fillId="0" borderId="10" xfId="0" applyBorder="1"/>
    <xf numFmtId="0" fontId="0" fillId="0" borderId="11" xfId="0" applyBorder="1"/>
    <xf numFmtId="0" fontId="0" fillId="0" borderId="12" xfId="0" applyBorder="1"/>
    <xf numFmtId="0" fontId="0" fillId="0" borderId="13" xfId="0" applyBorder="1"/>
    <xf numFmtId="0" fontId="10" fillId="0" borderId="0" xfId="0" applyFont="1" applyAlignment="1"/>
    <xf numFmtId="166" fontId="0" fillId="2" borderId="0" xfId="0" applyNumberFormat="1" applyFill="1"/>
    <xf numFmtId="169" fontId="0" fillId="2" borderId="0" xfId="0" applyNumberFormat="1" applyFill="1"/>
    <xf numFmtId="0" fontId="1" fillId="2" borderId="0" xfId="0" applyFont="1" applyFill="1"/>
    <xf numFmtId="0" fontId="0" fillId="2" borderId="0" xfId="0" applyFont="1" applyFill="1"/>
    <xf numFmtId="0" fontId="0" fillId="0" borderId="0" xfId="0" pivotButton="1"/>
    <xf numFmtId="164" fontId="0" fillId="0" borderId="0" xfId="0" applyNumberFormat="1" applyAlignment="1">
      <alignment horizontal="left"/>
    </xf>
    <xf numFmtId="0" fontId="0" fillId="0" borderId="0" xfId="0"/>
    <xf numFmtId="164" fontId="0" fillId="2" borderId="14" xfId="0" applyNumberFormat="1" applyFill="1" applyBorder="1"/>
    <xf numFmtId="0" fontId="0" fillId="2" borderId="14" xfId="0" applyFill="1" applyBorder="1"/>
    <xf numFmtId="0" fontId="0" fillId="3" borderId="14" xfId="0" applyFill="1" applyBorder="1"/>
    <xf numFmtId="0" fontId="7" fillId="3" borderId="0" xfId="0" applyFont="1" applyFill="1"/>
    <xf numFmtId="0" fontId="8" fillId="6" borderId="14" xfId="1" applyFill="1" applyBorder="1"/>
    <xf numFmtId="0" fontId="11" fillId="0" borderId="0" xfId="0" applyFont="1" applyAlignment="1">
      <alignment horizontal="left" vertical="top" wrapText="1"/>
    </xf>
    <xf numFmtId="0" fontId="6" fillId="0" borderId="0" xfId="0" applyFont="1" applyAlignment="1">
      <alignment horizontal="center"/>
    </xf>
    <xf numFmtId="0" fontId="0" fillId="0" borderId="0" xfId="0" applyAlignment="1">
      <alignment horizontal="left" vertical="top" wrapText="1"/>
    </xf>
    <xf numFmtId="0" fontId="0" fillId="0" borderId="0" xfId="0" applyAlignment="1">
      <alignment horizontal="left" vertical="top"/>
    </xf>
    <xf numFmtId="0" fontId="8" fillId="6" borderId="15" xfId="1" applyFill="1" applyBorder="1" applyAlignment="1">
      <alignment horizontal="center"/>
    </xf>
    <xf numFmtId="0" fontId="8" fillId="6" borderId="16" xfId="1" applyFill="1" applyBorder="1" applyAlignment="1">
      <alignment horizontal="center"/>
    </xf>
    <xf numFmtId="0" fontId="8" fillId="6" borderId="17" xfId="1" applyFill="1" applyBorder="1" applyAlignment="1">
      <alignment horizontal="center"/>
    </xf>
    <xf numFmtId="0" fontId="0" fillId="0" borderId="0" xfId="0" applyAlignment="1">
      <alignment wrapText="1"/>
    </xf>
    <xf numFmtId="0" fontId="0" fillId="0" borderId="0" xfId="0"/>
    <xf numFmtId="0" fontId="7" fillId="0" borderId="0" xfId="0" applyFont="1" applyAlignment="1">
      <alignment horizontal="left" wrapText="1"/>
    </xf>
    <xf numFmtId="0" fontId="2" fillId="5" borderId="0" xfId="0" applyFont="1" applyFill="1" applyAlignment="1">
      <alignment horizontal="center"/>
    </xf>
    <xf numFmtId="0" fontId="1" fillId="5" borderId="0" xfId="0" applyFont="1" applyFill="1" applyAlignment="1">
      <alignment horizontal="center"/>
    </xf>
    <xf numFmtId="0" fontId="7" fillId="4" borderId="0" xfId="0" applyFont="1" applyFill="1" applyAlignment="1">
      <alignment horizontal="center"/>
    </xf>
    <xf numFmtId="0" fontId="0" fillId="3" borderId="0" xfId="0" applyFill="1" applyAlignment="1">
      <alignment horizontal="left" vertical="top" wrapText="1"/>
    </xf>
    <xf numFmtId="0" fontId="8" fillId="6" borderId="4" xfId="1" applyFill="1" applyBorder="1" applyAlignment="1">
      <alignment horizontal="center"/>
    </xf>
    <xf numFmtId="0" fontId="8" fillId="6" borderId="5" xfId="1" applyFill="1" applyBorder="1" applyAlignment="1">
      <alignment horizontal="center"/>
    </xf>
    <xf numFmtId="0" fontId="8" fillId="6" borderId="3" xfId="1" applyFill="1" applyBorder="1" applyAlignment="1">
      <alignment horizontal="center"/>
    </xf>
    <xf numFmtId="0" fontId="0" fillId="0" borderId="0" xfId="0" applyAlignment="1">
      <alignment vertical="top" wrapText="1"/>
    </xf>
    <xf numFmtId="0" fontId="0" fillId="0" borderId="0" xfId="0" applyAlignment="1">
      <alignment vertical="top"/>
    </xf>
    <xf numFmtId="0" fontId="0" fillId="4" borderId="0" xfId="0" applyFill="1" applyAlignment="1">
      <alignment horizontal="center"/>
    </xf>
  </cellXfs>
  <cellStyles count="2">
    <cellStyle name="Hyperlink" xfId="1" builtinId="8"/>
    <cellStyle name="Normal" xfId="0" builtinId="0"/>
  </cellStyles>
  <dxfs count="11">
    <dxf>
      <fill>
        <patternFill patternType="solid">
          <fgColor indexed="64"/>
          <bgColor theme="9" tint="0.79998168889431442"/>
        </patternFill>
      </fill>
    </dxf>
    <dxf>
      <numFmt numFmtId="165" formatCode="0.0000%"/>
      <fill>
        <patternFill patternType="solid">
          <fgColor indexed="64"/>
          <bgColor theme="9" tint="0.79998168889431442"/>
        </patternFill>
      </fill>
    </dxf>
    <dxf>
      <numFmt numFmtId="2" formatCode="0.00"/>
      <fill>
        <patternFill patternType="solid">
          <fgColor indexed="64"/>
          <bgColor theme="9" tint="0.79998168889431442"/>
        </patternFill>
      </fill>
    </dxf>
    <dxf>
      <numFmt numFmtId="164" formatCode="&quot;$&quot;#,##0.00"/>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numFmt numFmtId="164" formatCode="&quot;$&quot;#,##0.00"/>
    </dxf>
    <dxf>
      <fill>
        <patternFill patternType="solid">
          <fgColor indexed="64"/>
          <bgColor theme="9" tint="0.39997558519241921"/>
        </patternFill>
      </fill>
    </dxf>
    <dxf>
      <numFmt numFmtId="2" formatCode="0.00"/>
    </dxf>
    <dxf>
      <numFmt numFmtId="22" formatCode="m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10 year spot rate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Spot rate</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FF0000"/>
                </a:solidFill>
                <a:prstDash val="sysDot"/>
              </a:ln>
              <a:effectLst/>
            </c:spPr>
            <c:trendlineType val="linear"/>
            <c:dispRSqr val="0"/>
            <c:dispEq val="0"/>
          </c:trendline>
          <c:xVal>
            <c:numRef>
              <c:f>'Task d'!$A$13:$A$131</c:f>
              <c:numCache>
                <c:formatCode>0.00</c:formatCode>
                <c:ptCount val="119"/>
                <c:pt idx="0">
                  <c:v>8.3333333333333329E-2</c:v>
                </c:pt>
                <c:pt idx="1">
                  <c:v>0.16666666666666666</c:v>
                </c:pt>
                <c:pt idx="2" formatCode="General">
                  <c:v>0.25</c:v>
                </c:pt>
                <c:pt idx="3">
                  <c:v>0.33333333333333298</c:v>
                </c:pt>
                <c:pt idx="4">
                  <c:v>0.41666666666666702</c:v>
                </c:pt>
                <c:pt idx="5" formatCode="General">
                  <c:v>0.5</c:v>
                </c:pt>
                <c:pt idx="6">
                  <c:v>0.58333333333333304</c:v>
                </c:pt>
                <c:pt idx="7">
                  <c:v>0.66666666666666696</c:v>
                </c:pt>
                <c:pt idx="8" formatCode="General">
                  <c:v>0.75</c:v>
                </c:pt>
                <c:pt idx="9">
                  <c:v>0.83333333333333304</c:v>
                </c:pt>
                <c:pt idx="10">
                  <c:v>0.91666666666666696</c:v>
                </c:pt>
                <c:pt idx="11" formatCode="General">
                  <c:v>1</c:v>
                </c:pt>
                <c:pt idx="12">
                  <c:v>1.0833333333333299</c:v>
                </c:pt>
                <c:pt idx="13">
                  <c:v>1.1666666666666701</c:v>
                </c:pt>
                <c:pt idx="14" formatCode="General">
                  <c:v>1.25</c:v>
                </c:pt>
                <c:pt idx="15">
                  <c:v>1.3333333333333299</c:v>
                </c:pt>
                <c:pt idx="16">
                  <c:v>1.4166666666666701</c:v>
                </c:pt>
                <c:pt idx="17" formatCode="General">
                  <c:v>1.5</c:v>
                </c:pt>
                <c:pt idx="18">
                  <c:v>1.5833333333333299</c:v>
                </c:pt>
                <c:pt idx="19">
                  <c:v>1.6666666666666701</c:v>
                </c:pt>
                <c:pt idx="20" formatCode="General">
                  <c:v>1.75</c:v>
                </c:pt>
                <c:pt idx="21">
                  <c:v>1.8333333333333299</c:v>
                </c:pt>
                <c:pt idx="22">
                  <c:v>1.9166666666666701</c:v>
                </c:pt>
                <c:pt idx="23" formatCode="General">
                  <c:v>2</c:v>
                </c:pt>
                <c:pt idx="24">
                  <c:v>2.0833333333333299</c:v>
                </c:pt>
                <c:pt idx="25">
                  <c:v>2.1666666666666701</c:v>
                </c:pt>
                <c:pt idx="26" formatCode="General">
                  <c:v>2.25</c:v>
                </c:pt>
                <c:pt idx="27">
                  <c:v>2.3333333333333299</c:v>
                </c:pt>
                <c:pt idx="28">
                  <c:v>2.4166666666666701</c:v>
                </c:pt>
                <c:pt idx="29" formatCode="General">
                  <c:v>2.5</c:v>
                </c:pt>
                <c:pt idx="30">
                  <c:v>2.5833333333333299</c:v>
                </c:pt>
                <c:pt idx="31">
                  <c:v>2.6666666666666701</c:v>
                </c:pt>
                <c:pt idx="32" formatCode="General">
                  <c:v>2.75</c:v>
                </c:pt>
                <c:pt idx="33">
                  <c:v>2.8333333333333299</c:v>
                </c:pt>
                <c:pt idx="34">
                  <c:v>2.9166666666666701</c:v>
                </c:pt>
                <c:pt idx="35" formatCode="General">
                  <c:v>3</c:v>
                </c:pt>
                <c:pt idx="36">
                  <c:v>3.0833333333333299</c:v>
                </c:pt>
                <c:pt idx="37">
                  <c:v>3.1666666666666701</c:v>
                </c:pt>
                <c:pt idx="38" formatCode="General">
                  <c:v>3.25</c:v>
                </c:pt>
                <c:pt idx="39">
                  <c:v>3.3333333333333299</c:v>
                </c:pt>
                <c:pt idx="40">
                  <c:v>3.4166666666666701</c:v>
                </c:pt>
                <c:pt idx="41" formatCode="General">
                  <c:v>3.5</c:v>
                </c:pt>
                <c:pt idx="42">
                  <c:v>3.5833333333333299</c:v>
                </c:pt>
                <c:pt idx="43">
                  <c:v>3.6666666666666701</c:v>
                </c:pt>
                <c:pt idx="44" formatCode="General">
                  <c:v>3.75</c:v>
                </c:pt>
                <c:pt idx="45">
                  <c:v>3.8333333333333299</c:v>
                </c:pt>
                <c:pt idx="46">
                  <c:v>3.9166666666666701</c:v>
                </c:pt>
                <c:pt idx="47" formatCode="General">
                  <c:v>4</c:v>
                </c:pt>
                <c:pt idx="48">
                  <c:v>4.0833333333333304</c:v>
                </c:pt>
                <c:pt idx="49">
                  <c:v>4.1666666666666696</c:v>
                </c:pt>
                <c:pt idx="50" formatCode="General">
                  <c:v>4.25</c:v>
                </c:pt>
                <c:pt idx="51">
                  <c:v>4.3333333333333304</c:v>
                </c:pt>
                <c:pt idx="52">
                  <c:v>4.4166666666666696</c:v>
                </c:pt>
                <c:pt idx="53" formatCode="General">
                  <c:v>4.5</c:v>
                </c:pt>
                <c:pt idx="54">
                  <c:v>4.5833333333333304</c:v>
                </c:pt>
                <c:pt idx="55">
                  <c:v>4.6666666666666696</c:v>
                </c:pt>
                <c:pt idx="56" formatCode="General">
                  <c:v>4.75</c:v>
                </c:pt>
                <c:pt idx="57">
                  <c:v>4.8333333333333304</c:v>
                </c:pt>
                <c:pt idx="58">
                  <c:v>4.9166666666666696</c:v>
                </c:pt>
                <c:pt idx="59" formatCode="General">
                  <c:v>5</c:v>
                </c:pt>
                <c:pt idx="60">
                  <c:v>5.0833333333333304</c:v>
                </c:pt>
                <c:pt idx="61">
                  <c:v>5.1666666666666696</c:v>
                </c:pt>
                <c:pt idx="62" formatCode="General">
                  <c:v>5.25</c:v>
                </c:pt>
                <c:pt idx="63">
                  <c:v>5.3333333333333304</c:v>
                </c:pt>
                <c:pt idx="64">
                  <c:v>5.4166666666666696</c:v>
                </c:pt>
                <c:pt idx="65" formatCode="General">
                  <c:v>5.5</c:v>
                </c:pt>
                <c:pt idx="66">
                  <c:v>5.5833333333333304</c:v>
                </c:pt>
                <c:pt idx="67">
                  <c:v>5.6666666666666696</c:v>
                </c:pt>
                <c:pt idx="68" formatCode="General">
                  <c:v>5.75</c:v>
                </c:pt>
                <c:pt idx="69">
                  <c:v>5.8333333333333304</c:v>
                </c:pt>
                <c:pt idx="70">
                  <c:v>5.9166666666666696</c:v>
                </c:pt>
                <c:pt idx="71" formatCode="General">
                  <c:v>6</c:v>
                </c:pt>
                <c:pt idx="72">
                  <c:v>6.0833333333333304</c:v>
                </c:pt>
                <c:pt idx="73">
                  <c:v>6.1666666666666696</c:v>
                </c:pt>
                <c:pt idx="74" formatCode="General">
                  <c:v>6.25</c:v>
                </c:pt>
                <c:pt idx="75">
                  <c:v>6.3333333333333304</c:v>
                </c:pt>
                <c:pt idx="76">
                  <c:v>6.4166666666666696</c:v>
                </c:pt>
                <c:pt idx="77" formatCode="General">
                  <c:v>6.5</c:v>
                </c:pt>
                <c:pt idx="78">
                  <c:v>6.5833333333333304</c:v>
                </c:pt>
                <c:pt idx="79">
                  <c:v>6.6666666666666696</c:v>
                </c:pt>
                <c:pt idx="80" formatCode="General">
                  <c:v>6.75</c:v>
                </c:pt>
                <c:pt idx="81">
                  <c:v>6.8333333333333304</c:v>
                </c:pt>
                <c:pt idx="82">
                  <c:v>6.9166666666666696</c:v>
                </c:pt>
                <c:pt idx="83" formatCode="General">
                  <c:v>7</c:v>
                </c:pt>
                <c:pt idx="84">
                  <c:v>7.0833333333333304</c:v>
                </c:pt>
                <c:pt idx="85">
                  <c:v>7.1666666666666696</c:v>
                </c:pt>
                <c:pt idx="86" formatCode="General">
                  <c:v>7.25</c:v>
                </c:pt>
                <c:pt idx="87">
                  <c:v>7.3333333333333304</c:v>
                </c:pt>
                <c:pt idx="88">
                  <c:v>7.4166666666666696</c:v>
                </c:pt>
                <c:pt idx="89" formatCode="General">
                  <c:v>7.5</c:v>
                </c:pt>
                <c:pt idx="90">
                  <c:v>7.5833333333333304</c:v>
                </c:pt>
                <c:pt idx="91">
                  <c:v>7.6666666666666696</c:v>
                </c:pt>
                <c:pt idx="92" formatCode="General">
                  <c:v>7.75</c:v>
                </c:pt>
                <c:pt idx="93">
                  <c:v>7.8333333333333304</c:v>
                </c:pt>
                <c:pt idx="94">
                  <c:v>7.9166666666666696</c:v>
                </c:pt>
                <c:pt idx="95" formatCode="General">
                  <c:v>8</c:v>
                </c:pt>
                <c:pt idx="96">
                  <c:v>8.0833333333333304</c:v>
                </c:pt>
                <c:pt idx="97">
                  <c:v>8.1666666666666696</c:v>
                </c:pt>
                <c:pt idx="98" formatCode="General">
                  <c:v>8.25</c:v>
                </c:pt>
                <c:pt idx="99">
                  <c:v>8.3333333333333304</c:v>
                </c:pt>
                <c:pt idx="100">
                  <c:v>8.4166666666666696</c:v>
                </c:pt>
                <c:pt idx="101" formatCode="General">
                  <c:v>8.5</c:v>
                </c:pt>
                <c:pt idx="102">
                  <c:v>8.5833333333333304</c:v>
                </c:pt>
                <c:pt idx="103">
                  <c:v>8.6666666666666696</c:v>
                </c:pt>
                <c:pt idx="104" formatCode="General">
                  <c:v>8.75</c:v>
                </c:pt>
                <c:pt idx="105">
                  <c:v>8.8333333333333304</c:v>
                </c:pt>
                <c:pt idx="106">
                  <c:v>8.9166666666666696</c:v>
                </c:pt>
                <c:pt idx="107" formatCode="General">
                  <c:v>9</c:v>
                </c:pt>
                <c:pt idx="108">
                  <c:v>9.0833333333333304</c:v>
                </c:pt>
                <c:pt idx="109">
                  <c:v>9.1666666666666696</c:v>
                </c:pt>
                <c:pt idx="110" formatCode="General">
                  <c:v>9.25</c:v>
                </c:pt>
                <c:pt idx="111">
                  <c:v>9.3333333333333304</c:v>
                </c:pt>
                <c:pt idx="112">
                  <c:v>9.4166666666666696</c:v>
                </c:pt>
                <c:pt idx="113" formatCode="General">
                  <c:v>9.5</c:v>
                </c:pt>
                <c:pt idx="114">
                  <c:v>9.5833333333333304</c:v>
                </c:pt>
                <c:pt idx="115">
                  <c:v>9.6666666666666696</c:v>
                </c:pt>
                <c:pt idx="116" formatCode="General">
                  <c:v>9.75</c:v>
                </c:pt>
                <c:pt idx="117">
                  <c:v>9.8333333333333304</c:v>
                </c:pt>
                <c:pt idx="118">
                  <c:v>9.9166666666666696</c:v>
                </c:pt>
              </c:numCache>
            </c:numRef>
          </c:xVal>
          <c:yVal>
            <c:numRef>
              <c:f>'Task d'!$B$13:$B$131</c:f>
              <c:numCache>
                <c:formatCode>0.0000%</c:formatCode>
                <c:ptCount val="119"/>
                <c:pt idx="0">
                  <c:v>2.5169405870225696E-2</c:v>
                </c:pt>
                <c:pt idx="1">
                  <c:v>2.5105948350694445E-2</c:v>
                </c:pt>
                <c:pt idx="2">
                  <c:v>2.5049520996093748E-2</c:v>
                </c:pt>
                <c:pt idx="3">
                  <c:v>2.5000017361111113E-2</c:v>
                </c:pt>
                <c:pt idx="4">
                  <c:v>2.4957331000434027E-2</c:v>
                </c:pt>
                <c:pt idx="5">
                  <c:v>2.4921355468749996E-2</c:v>
                </c:pt>
                <c:pt idx="6">
                  <c:v>2.4891984320746529E-2</c:v>
                </c:pt>
                <c:pt idx="7">
                  <c:v>2.4869111111111109E-2</c:v>
                </c:pt>
                <c:pt idx="8">
                  <c:v>2.4852629394531246E-2</c:v>
                </c:pt>
                <c:pt idx="9">
                  <c:v>2.484243272569445E-2</c:v>
                </c:pt>
                <c:pt idx="10">
                  <c:v>2.483841465928819E-2</c:v>
                </c:pt>
                <c:pt idx="11">
                  <c:v>2.4840468749999997E-2</c:v>
                </c:pt>
                <c:pt idx="12">
                  <c:v>2.4848488552517357E-2</c:v>
                </c:pt>
                <c:pt idx="13">
                  <c:v>2.4862367621527784E-2</c:v>
                </c:pt>
                <c:pt idx="14">
                  <c:v>2.4881999511718746E-2</c:v>
                </c:pt>
                <c:pt idx="15">
                  <c:v>2.4907277777777771E-2</c:v>
                </c:pt>
                <c:pt idx="16">
                  <c:v>2.4938095974392355E-2</c:v>
                </c:pt>
                <c:pt idx="17">
                  <c:v>2.497434765625E-2</c:v>
                </c:pt>
                <c:pt idx="18">
                  <c:v>2.5015926378038188E-2</c:v>
                </c:pt>
                <c:pt idx="19">
                  <c:v>2.5062725694444451E-2</c:v>
                </c:pt>
                <c:pt idx="20">
                  <c:v>2.5114639160156247E-2</c:v>
                </c:pt>
                <c:pt idx="21">
                  <c:v>2.5171560329861106E-2</c:v>
                </c:pt>
                <c:pt idx="22">
                  <c:v>2.5233382758246534E-2</c:v>
                </c:pt>
                <c:pt idx="23">
                  <c:v>2.53E-2</c:v>
                </c:pt>
                <c:pt idx="24">
                  <c:v>2.5371305609809019E-2</c:v>
                </c:pt>
                <c:pt idx="25">
                  <c:v>2.5447193142361112E-2</c:v>
                </c:pt>
                <c:pt idx="26">
                  <c:v>2.5527556152343752E-2</c:v>
                </c:pt>
                <c:pt idx="27">
                  <c:v>2.5612288194444437E-2</c:v>
                </c:pt>
                <c:pt idx="28">
                  <c:v>2.5701282823350699E-2</c:v>
                </c:pt>
                <c:pt idx="29">
                  <c:v>2.5794433593749996E-2</c:v>
                </c:pt>
                <c:pt idx="30">
                  <c:v>2.5891634060329852E-2</c:v>
                </c:pt>
                <c:pt idx="31">
                  <c:v>2.5992777777777781E-2</c:v>
                </c:pt>
                <c:pt idx="32">
                  <c:v>2.6097758300781253E-2</c:v>
                </c:pt>
                <c:pt idx="33">
                  <c:v>2.6206469184027772E-2</c:v>
                </c:pt>
                <c:pt idx="34">
                  <c:v>2.6318803982204864E-2</c:v>
                </c:pt>
                <c:pt idx="35">
                  <c:v>2.6434656249999997E-2</c:v>
                </c:pt>
                <c:pt idx="36">
                  <c:v>2.6553919542100686E-2</c:v>
                </c:pt>
                <c:pt idx="37">
                  <c:v>2.6676487413194446E-2</c:v>
                </c:pt>
                <c:pt idx="38">
                  <c:v>2.6802253417968755E-2</c:v>
                </c:pt>
                <c:pt idx="39">
                  <c:v>2.6931111111111107E-2</c:v>
                </c:pt>
                <c:pt idx="40">
                  <c:v>2.7062954047309039E-2</c:v>
                </c:pt>
                <c:pt idx="41">
                  <c:v>2.719767578125E-2</c:v>
                </c:pt>
                <c:pt idx="42">
                  <c:v>2.7335169867621512E-2</c:v>
                </c:pt>
                <c:pt idx="43">
                  <c:v>2.747532986111112E-2</c:v>
                </c:pt>
                <c:pt idx="44">
                  <c:v>2.7618049316406244E-2</c:v>
                </c:pt>
                <c:pt idx="45">
                  <c:v>2.7763221788194438E-2</c:v>
                </c:pt>
                <c:pt idx="46">
                  <c:v>2.7910740831163204E-2</c:v>
                </c:pt>
                <c:pt idx="47">
                  <c:v>2.8060499999999999E-2</c:v>
                </c:pt>
                <c:pt idx="48">
                  <c:v>2.8212392849392354E-2</c:v>
                </c:pt>
                <c:pt idx="49">
                  <c:v>2.8366312934027783E-2</c:v>
                </c:pt>
                <c:pt idx="50">
                  <c:v>2.8522153808593749E-2</c:v>
                </c:pt>
                <c:pt idx="51">
                  <c:v>2.8679809027777781E-2</c:v>
                </c:pt>
                <c:pt idx="52">
                  <c:v>2.8839172146267366E-2</c:v>
                </c:pt>
                <c:pt idx="53">
                  <c:v>2.9000136718750003E-2</c:v>
                </c:pt>
                <c:pt idx="54">
                  <c:v>2.9162596299913187E-2</c:v>
                </c:pt>
                <c:pt idx="55">
                  <c:v>2.9326444444444454E-2</c:v>
                </c:pt>
                <c:pt idx="56">
                  <c:v>2.9491574707031242E-2</c:v>
                </c:pt>
                <c:pt idx="57">
                  <c:v>2.9657880642361106E-2</c:v>
                </c:pt>
                <c:pt idx="58">
                  <c:v>2.9825255805121537E-2</c:v>
                </c:pt>
                <c:pt idx="59">
                  <c:v>2.9993593750000002E-2</c:v>
                </c:pt>
                <c:pt idx="60">
                  <c:v>3.0162788031684019E-2</c:v>
                </c:pt>
                <c:pt idx="61">
                  <c:v>3.0332732204861115E-2</c:v>
                </c:pt>
                <c:pt idx="62">
                  <c:v>3.0503319824218753E-2</c:v>
                </c:pt>
                <c:pt idx="63">
                  <c:v>3.0674444444444438E-2</c:v>
                </c:pt>
                <c:pt idx="64">
                  <c:v>3.0845999620225703E-2</c:v>
                </c:pt>
                <c:pt idx="65">
                  <c:v>3.1017878906249997E-2</c:v>
                </c:pt>
                <c:pt idx="66">
                  <c:v>3.1189975857204847E-2</c:v>
                </c:pt>
                <c:pt idx="67">
                  <c:v>3.1362184027777788E-2</c:v>
                </c:pt>
                <c:pt idx="68">
                  <c:v>3.1534396972656246E-2</c:v>
                </c:pt>
                <c:pt idx="69">
                  <c:v>3.1706508246527772E-2</c:v>
                </c:pt>
                <c:pt idx="70">
                  <c:v>3.1878411404079869E-2</c:v>
                </c:pt>
                <c:pt idx="71">
                  <c:v>3.2050000000000002E-2</c:v>
                </c:pt>
                <c:pt idx="72">
                  <c:v>3.222116758897569E-2</c:v>
                </c:pt>
                <c:pt idx="73">
                  <c:v>3.2391807725694451E-2</c:v>
                </c:pt>
                <c:pt idx="74">
                  <c:v>3.2561813964843749E-2</c:v>
                </c:pt>
                <c:pt idx="75">
                  <c:v>3.2731079861111109E-2</c:v>
                </c:pt>
                <c:pt idx="76">
                  <c:v>3.2899498969184038E-2</c:v>
                </c:pt>
                <c:pt idx="77">
                  <c:v>3.3066964843750005E-2</c:v>
                </c:pt>
                <c:pt idx="78">
                  <c:v>3.3233371039496522E-2</c:v>
                </c:pt>
                <c:pt idx="79">
                  <c:v>3.3398611111111115E-2</c:v>
                </c:pt>
                <c:pt idx="80">
                  <c:v>3.3562578613281248E-2</c:v>
                </c:pt>
                <c:pt idx="81">
                  <c:v>3.3725167100694439E-2</c:v>
                </c:pt>
                <c:pt idx="82">
                  <c:v>3.3886270128038201E-2</c:v>
                </c:pt>
                <c:pt idx="83">
                  <c:v>3.4045781249999997E-2</c:v>
                </c:pt>
                <c:pt idx="84">
                  <c:v>3.420359402126736E-2</c:v>
                </c:pt>
                <c:pt idx="85">
                  <c:v>3.4359601996527787E-2</c:v>
                </c:pt>
                <c:pt idx="86">
                  <c:v>3.451369873046875E-2</c:v>
                </c:pt>
                <c:pt idx="87">
                  <c:v>3.4665777777777768E-2</c:v>
                </c:pt>
                <c:pt idx="88">
                  <c:v>3.4815732693142365E-2</c:v>
                </c:pt>
                <c:pt idx="89">
                  <c:v>3.4963457031249992E-2</c:v>
                </c:pt>
                <c:pt idx="90">
                  <c:v>3.5108844346788189E-2</c:v>
                </c:pt>
                <c:pt idx="91">
                  <c:v>3.5251788194444446E-2</c:v>
                </c:pt>
                <c:pt idx="92">
                  <c:v>3.5392182128906248E-2</c:v>
                </c:pt>
                <c:pt idx="93">
                  <c:v>3.5529919704861107E-2</c:v>
                </c:pt>
                <c:pt idx="94">
                  <c:v>3.5664894476996542E-2</c:v>
                </c:pt>
                <c:pt idx="95">
                  <c:v>3.5797000000000002E-2</c:v>
                </c:pt>
                <c:pt idx="96">
                  <c:v>3.5926129828559021E-2</c:v>
                </c:pt>
                <c:pt idx="97">
                  <c:v>3.6052177517361124E-2</c:v>
                </c:pt>
                <c:pt idx="98">
                  <c:v>3.6175036621093754E-2</c:v>
                </c:pt>
                <c:pt idx="99">
                  <c:v>3.6294600694444443E-2</c:v>
                </c:pt>
                <c:pt idx="100">
                  <c:v>3.6410763292100704E-2</c:v>
                </c:pt>
                <c:pt idx="101">
                  <c:v>3.6523417968749999E-2</c:v>
                </c:pt>
                <c:pt idx="102">
                  <c:v>3.6632458279079863E-2</c:v>
                </c:pt>
                <c:pt idx="103">
                  <c:v>3.6737777777777779E-2</c:v>
                </c:pt>
                <c:pt idx="104">
                  <c:v>3.6839270019531252E-2</c:v>
                </c:pt>
                <c:pt idx="105">
                  <c:v>3.6936828559027773E-2</c:v>
                </c:pt>
                <c:pt idx="106">
                  <c:v>3.7030346950954869E-2</c:v>
                </c:pt>
                <c:pt idx="107">
                  <c:v>3.7119718750000003E-2</c:v>
                </c:pt>
                <c:pt idx="108">
                  <c:v>3.7204837510850693E-2</c:v>
                </c:pt>
                <c:pt idx="109">
                  <c:v>3.7285596788194451E-2</c:v>
                </c:pt>
                <c:pt idx="110">
                  <c:v>3.7361890136718749E-2</c:v>
                </c:pt>
                <c:pt idx="111">
                  <c:v>3.7433611111111105E-2</c:v>
                </c:pt>
                <c:pt idx="112">
                  <c:v>3.7500653266059024E-2</c:v>
                </c:pt>
                <c:pt idx="113">
                  <c:v>3.7562910156249997E-2</c:v>
                </c:pt>
                <c:pt idx="114">
                  <c:v>3.7620275336371523E-2</c:v>
                </c:pt>
                <c:pt idx="115">
                  <c:v>3.7672642361111112E-2</c:v>
                </c:pt>
                <c:pt idx="116">
                  <c:v>3.7719904785156244E-2</c:v>
                </c:pt>
                <c:pt idx="117">
                  <c:v>3.7761956163194436E-2</c:v>
                </c:pt>
                <c:pt idx="118">
                  <c:v>3.7798690049913194E-2</c:v>
                </c:pt>
              </c:numCache>
            </c:numRef>
          </c:yVal>
          <c:smooth val="0"/>
          <c:extLst>
            <c:ext xmlns:c16="http://schemas.microsoft.com/office/drawing/2014/chart" uri="{C3380CC4-5D6E-409C-BE32-E72D297353CC}">
              <c16:uniqueId val="{00000000-81C2-6B45-9E27-4E0E9B483552}"/>
            </c:ext>
          </c:extLst>
        </c:ser>
        <c:dLbls>
          <c:showLegendKey val="0"/>
          <c:showVal val="0"/>
          <c:showCatName val="0"/>
          <c:showSerName val="0"/>
          <c:showPercent val="0"/>
          <c:showBubbleSize val="0"/>
        </c:dLbls>
        <c:axId val="384045552"/>
        <c:axId val="383958400"/>
      </c:scatterChart>
      <c:valAx>
        <c:axId val="384045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Time t: from 1/12 to 120/12</a:t>
                </a:r>
              </a:p>
              <a:p>
                <a:pPr>
                  <a:defRPr/>
                </a:pPr>
                <a:r>
                  <a:rPr lang="en-GB"/>
                  <a:t>Jan-2022 to Jan  2032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958400"/>
        <c:crosses val="autoZero"/>
        <c:crossBetween val="midCat"/>
      </c:valAx>
      <c:valAx>
        <c:axId val="383958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Spot rate at time 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0455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[5102 assignment version 3.xlsm]Task g histogram and answers!PivotTable2</c:name>
    <c:fmtId val="1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GB" sz="2000"/>
              <a:t>Histogram</a:t>
            </a:r>
            <a:r>
              <a:rPr lang="en-GB" sz="2000" baseline="0"/>
              <a:t> of the returns from each of the 3 options </a:t>
            </a:r>
          </a:p>
          <a:p>
            <a:pPr>
              <a:defRPr/>
            </a:pPr>
            <a:r>
              <a:rPr lang="en-GB" sz="2000" baseline="0"/>
              <a:t>Based on 100 simulations each</a:t>
            </a:r>
            <a:endParaRPr lang="en-GB" sz="200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70C0">
              <a:alpha val="50000"/>
            </a:srgbClr>
          </a:solidFill>
          <a:ln w="38100" cap="flat">
            <a:solidFill>
              <a:schemeClr val="tx1"/>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alpha val="50000"/>
            </a:srgbClr>
          </a:solidFill>
          <a:ln w="38100">
            <a:solidFill>
              <a:schemeClr val="tx1"/>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alpha val="50000"/>
            </a:srgbClr>
          </a:solidFill>
          <a:ln w="38100">
            <a:solidFill>
              <a:schemeClr val="tx1"/>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70C0">
              <a:alpha val="50000"/>
            </a:srgbClr>
          </a:solidFill>
          <a:ln w="38100" cap="flat">
            <a:solidFill>
              <a:schemeClr val="tx1"/>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050">
              <a:alpha val="50000"/>
            </a:srgbClr>
          </a:solidFill>
          <a:ln w="38100">
            <a:solidFill>
              <a:schemeClr val="tx1"/>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0000">
              <a:alpha val="50000"/>
            </a:srgbClr>
          </a:solidFill>
          <a:ln w="38100">
            <a:solidFill>
              <a:schemeClr val="tx1"/>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70C0">
              <a:alpha val="50000"/>
            </a:srgbClr>
          </a:solidFill>
          <a:ln w="38100" cap="flat">
            <a:solidFill>
              <a:schemeClr val="tx1"/>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B050">
              <a:alpha val="50000"/>
            </a:srgbClr>
          </a:solidFill>
          <a:ln w="38100">
            <a:solidFill>
              <a:schemeClr val="tx1"/>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FF0000">
              <a:alpha val="50000"/>
            </a:srgbClr>
          </a:solidFill>
          <a:ln w="38100">
            <a:solidFill>
              <a:schemeClr val="tx1"/>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 g histogram and answers'!$B$26:$B$27</c:f>
              <c:strCache>
                <c:ptCount val="1"/>
                <c:pt idx="0">
                  <c:v>option 1</c:v>
                </c:pt>
              </c:strCache>
            </c:strRef>
          </c:tx>
          <c:spPr>
            <a:solidFill>
              <a:srgbClr val="0070C0">
                <a:alpha val="50000"/>
              </a:srgbClr>
            </a:solidFill>
            <a:ln w="38100" cap="flat">
              <a:solidFill>
                <a:schemeClr val="tx1"/>
              </a:solidFill>
            </a:ln>
            <a:effectLst>
              <a:outerShdw blurRad="57150" dist="19050" dir="5400000" algn="ctr" rotWithShape="0">
                <a:srgbClr val="000000">
                  <a:alpha val="63000"/>
                </a:srgbClr>
              </a:outerShdw>
            </a:effectLst>
          </c:spPr>
          <c:invertIfNegative val="0"/>
          <c:cat>
            <c:strRef>
              <c:f>'Task g histogram and answers'!$A$28:$A$50</c:f>
              <c:strCache>
                <c:ptCount val="22"/>
                <c:pt idx="0">
                  <c:v>361000-362000</c:v>
                </c:pt>
                <c:pt idx="1">
                  <c:v>362000-363000</c:v>
                </c:pt>
                <c:pt idx="2">
                  <c:v>363000-364000</c:v>
                </c:pt>
                <c:pt idx="3">
                  <c:v>429000-430000</c:v>
                </c:pt>
                <c:pt idx="4">
                  <c:v>573000-574000</c:v>
                </c:pt>
                <c:pt idx="5">
                  <c:v>574000-575000</c:v>
                </c:pt>
                <c:pt idx="6">
                  <c:v>575000-576000</c:v>
                </c:pt>
                <c:pt idx="7">
                  <c:v>577000-578000</c:v>
                </c:pt>
                <c:pt idx="8">
                  <c:v>578000-579000</c:v>
                </c:pt>
                <c:pt idx="9">
                  <c:v>579000-580000</c:v>
                </c:pt>
                <c:pt idx="10">
                  <c:v>580000-581000</c:v>
                </c:pt>
                <c:pt idx="11">
                  <c:v>581000-582000</c:v>
                </c:pt>
                <c:pt idx="12">
                  <c:v>582000-583000</c:v>
                </c:pt>
                <c:pt idx="13">
                  <c:v>583000-584000</c:v>
                </c:pt>
                <c:pt idx="14">
                  <c:v>584000-585000</c:v>
                </c:pt>
                <c:pt idx="15">
                  <c:v>585000-586000</c:v>
                </c:pt>
                <c:pt idx="16">
                  <c:v>586000-587000</c:v>
                </c:pt>
                <c:pt idx="17">
                  <c:v>587000-588000</c:v>
                </c:pt>
                <c:pt idx="18">
                  <c:v>588000-589000</c:v>
                </c:pt>
                <c:pt idx="19">
                  <c:v>589000-590000</c:v>
                </c:pt>
                <c:pt idx="20">
                  <c:v>590000-591000</c:v>
                </c:pt>
                <c:pt idx="21">
                  <c:v>591000-592000</c:v>
                </c:pt>
              </c:strCache>
            </c:strRef>
          </c:cat>
          <c:val>
            <c:numRef>
              <c:f>'Task g histogram and answers'!$B$28:$B$50</c:f>
              <c:numCache>
                <c:formatCode>General</c:formatCode>
                <c:ptCount val="22"/>
                <c:pt idx="3">
                  <c:v>100</c:v>
                </c:pt>
              </c:numCache>
            </c:numRef>
          </c:val>
          <c:extLst>
            <c:ext xmlns:c16="http://schemas.microsoft.com/office/drawing/2014/chart" uri="{C3380CC4-5D6E-409C-BE32-E72D297353CC}">
              <c16:uniqueId val="{00000000-B07C-F14E-B6E6-4068D8899E50}"/>
            </c:ext>
          </c:extLst>
        </c:ser>
        <c:ser>
          <c:idx val="1"/>
          <c:order val="1"/>
          <c:tx>
            <c:strRef>
              <c:f>'Task g histogram and answers'!$C$26:$C$27</c:f>
              <c:strCache>
                <c:ptCount val="1"/>
                <c:pt idx="0">
                  <c:v>option 2</c:v>
                </c:pt>
              </c:strCache>
            </c:strRef>
          </c:tx>
          <c:spPr>
            <a:solidFill>
              <a:srgbClr val="00B050">
                <a:alpha val="50000"/>
              </a:srgbClr>
            </a:solidFill>
            <a:ln w="38100">
              <a:solidFill>
                <a:schemeClr val="tx1"/>
              </a:solidFill>
            </a:ln>
            <a:effectLst>
              <a:outerShdw blurRad="57150" dist="19050" dir="5400000" algn="ctr" rotWithShape="0">
                <a:srgbClr val="000000">
                  <a:alpha val="63000"/>
                </a:srgbClr>
              </a:outerShdw>
            </a:effectLst>
          </c:spPr>
          <c:invertIfNegative val="0"/>
          <c:cat>
            <c:strRef>
              <c:f>'Task g histogram and answers'!$A$28:$A$50</c:f>
              <c:strCache>
                <c:ptCount val="22"/>
                <c:pt idx="0">
                  <c:v>361000-362000</c:v>
                </c:pt>
                <c:pt idx="1">
                  <c:v>362000-363000</c:v>
                </c:pt>
                <c:pt idx="2">
                  <c:v>363000-364000</c:v>
                </c:pt>
                <c:pt idx="3">
                  <c:v>429000-430000</c:v>
                </c:pt>
                <c:pt idx="4">
                  <c:v>573000-574000</c:v>
                </c:pt>
                <c:pt idx="5">
                  <c:v>574000-575000</c:v>
                </c:pt>
                <c:pt idx="6">
                  <c:v>575000-576000</c:v>
                </c:pt>
                <c:pt idx="7">
                  <c:v>577000-578000</c:v>
                </c:pt>
                <c:pt idx="8">
                  <c:v>578000-579000</c:v>
                </c:pt>
                <c:pt idx="9">
                  <c:v>579000-580000</c:v>
                </c:pt>
                <c:pt idx="10">
                  <c:v>580000-581000</c:v>
                </c:pt>
                <c:pt idx="11">
                  <c:v>581000-582000</c:v>
                </c:pt>
                <c:pt idx="12">
                  <c:v>582000-583000</c:v>
                </c:pt>
                <c:pt idx="13">
                  <c:v>583000-584000</c:v>
                </c:pt>
                <c:pt idx="14">
                  <c:v>584000-585000</c:v>
                </c:pt>
                <c:pt idx="15">
                  <c:v>585000-586000</c:v>
                </c:pt>
                <c:pt idx="16">
                  <c:v>586000-587000</c:v>
                </c:pt>
                <c:pt idx="17">
                  <c:v>587000-588000</c:v>
                </c:pt>
                <c:pt idx="18">
                  <c:v>588000-589000</c:v>
                </c:pt>
                <c:pt idx="19">
                  <c:v>589000-590000</c:v>
                </c:pt>
                <c:pt idx="20">
                  <c:v>590000-591000</c:v>
                </c:pt>
                <c:pt idx="21">
                  <c:v>591000-592000</c:v>
                </c:pt>
              </c:strCache>
            </c:strRef>
          </c:cat>
          <c:val>
            <c:numRef>
              <c:f>'Task g histogram and answers'!$C$28:$C$50</c:f>
              <c:numCache>
                <c:formatCode>General</c:formatCode>
                <c:ptCount val="22"/>
                <c:pt idx="4">
                  <c:v>1</c:v>
                </c:pt>
                <c:pt idx="5">
                  <c:v>2</c:v>
                </c:pt>
                <c:pt idx="6">
                  <c:v>1</c:v>
                </c:pt>
                <c:pt idx="7">
                  <c:v>6</c:v>
                </c:pt>
                <c:pt idx="8">
                  <c:v>5</c:v>
                </c:pt>
                <c:pt idx="9">
                  <c:v>8</c:v>
                </c:pt>
                <c:pt idx="10">
                  <c:v>8</c:v>
                </c:pt>
                <c:pt idx="11">
                  <c:v>14</c:v>
                </c:pt>
                <c:pt idx="12">
                  <c:v>10</c:v>
                </c:pt>
                <c:pt idx="13">
                  <c:v>8</c:v>
                </c:pt>
                <c:pt idx="14">
                  <c:v>7</c:v>
                </c:pt>
                <c:pt idx="15">
                  <c:v>9</c:v>
                </c:pt>
                <c:pt idx="16">
                  <c:v>9</c:v>
                </c:pt>
                <c:pt idx="17">
                  <c:v>3</c:v>
                </c:pt>
                <c:pt idx="18">
                  <c:v>5</c:v>
                </c:pt>
                <c:pt idx="19">
                  <c:v>1</c:v>
                </c:pt>
                <c:pt idx="20">
                  <c:v>2</c:v>
                </c:pt>
                <c:pt idx="21">
                  <c:v>1</c:v>
                </c:pt>
              </c:numCache>
            </c:numRef>
          </c:val>
          <c:extLst>
            <c:ext xmlns:c16="http://schemas.microsoft.com/office/drawing/2014/chart" uri="{C3380CC4-5D6E-409C-BE32-E72D297353CC}">
              <c16:uniqueId val="{00000001-B07C-F14E-B6E6-4068D8899E50}"/>
            </c:ext>
          </c:extLst>
        </c:ser>
        <c:ser>
          <c:idx val="2"/>
          <c:order val="2"/>
          <c:tx>
            <c:strRef>
              <c:f>'Task g histogram and answers'!$D$26:$D$27</c:f>
              <c:strCache>
                <c:ptCount val="1"/>
                <c:pt idx="0">
                  <c:v>option 3</c:v>
                </c:pt>
              </c:strCache>
            </c:strRef>
          </c:tx>
          <c:spPr>
            <a:solidFill>
              <a:srgbClr val="FF0000">
                <a:alpha val="50000"/>
              </a:srgbClr>
            </a:solidFill>
            <a:ln w="38100">
              <a:solidFill>
                <a:schemeClr val="tx1"/>
              </a:solidFill>
            </a:ln>
            <a:effectLst>
              <a:outerShdw blurRad="57150" dist="19050" dir="5400000" algn="ctr" rotWithShape="0">
                <a:srgbClr val="000000">
                  <a:alpha val="63000"/>
                </a:srgbClr>
              </a:outerShdw>
            </a:effectLst>
          </c:spPr>
          <c:invertIfNegative val="0"/>
          <c:cat>
            <c:strRef>
              <c:f>'Task g histogram and answers'!$A$28:$A$50</c:f>
              <c:strCache>
                <c:ptCount val="22"/>
                <c:pt idx="0">
                  <c:v>361000-362000</c:v>
                </c:pt>
                <c:pt idx="1">
                  <c:v>362000-363000</c:v>
                </c:pt>
                <c:pt idx="2">
                  <c:v>363000-364000</c:v>
                </c:pt>
                <c:pt idx="3">
                  <c:v>429000-430000</c:v>
                </c:pt>
                <c:pt idx="4">
                  <c:v>573000-574000</c:v>
                </c:pt>
                <c:pt idx="5">
                  <c:v>574000-575000</c:v>
                </c:pt>
                <c:pt idx="6">
                  <c:v>575000-576000</c:v>
                </c:pt>
                <c:pt idx="7">
                  <c:v>577000-578000</c:v>
                </c:pt>
                <c:pt idx="8">
                  <c:v>578000-579000</c:v>
                </c:pt>
                <c:pt idx="9">
                  <c:v>579000-580000</c:v>
                </c:pt>
                <c:pt idx="10">
                  <c:v>580000-581000</c:v>
                </c:pt>
                <c:pt idx="11">
                  <c:v>581000-582000</c:v>
                </c:pt>
                <c:pt idx="12">
                  <c:v>582000-583000</c:v>
                </c:pt>
                <c:pt idx="13">
                  <c:v>583000-584000</c:v>
                </c:pt>
                <c:pt idx="14">
                  <c:v>584000-585000</c:v>
                </c:pt>
                <c:pt idx="15">
                  <c:v>585000-586000</c:v>
                </c:pt>
                <c:pt idx="16">
                  <c:v>586000-587000</c:v>
                </c:pt>
                <c:pt idx="17">
                  <c:v>587000-588000</c:v>
                </c:pt>
                <c:pt idx="18">
                  <c:v>588000-589000</c:v>
                </c:pt>
                <c:pt idx="19">
                  <c:v>589000-590000</c:v>
                </c:pt>
                <c:pt idx="20">
                  <c:v>590000-591000</c:v>
                </c:pt>
                <c:pt idx="21">
                  <c:v>591000-592000</c:v>
                </c:pt>
              </c:strCache>
            </c:strRef>
          </c:cat>
          <c:val>
            <c:numRef>
              <c:f>'Task g histogram and answers'!$D$28:$D$50</c:f>
              <c:numCache>
                <c:formatCode>General</c:formatCode>
                <c:ptCount val="22"/>
                <c:pt idx="0">
                  <c:v>11</c:v>
                </c:pt>
                <c:pt idx="1">
                  <c:v>78</c:v>
                </c:pt>
                <c:pt idx="2">
                  <c:v>11</c:v>
                </c:pt>
              </c:numCache>
            </c:numRef>
          </c:val>
          <c:extLst>
            <c:ext xmlns:c16="http://schemas.microsoft.com/office/drawing/2014/chart" uri="{C3380CC4-5D6E-409C-BE32-E72D297353CC}">
              <c16:uniqueId val="{00000002-B07C-F14E-B6E6-4068D8899E50}"/>
            </c:ext>
          </c:extLst>
        </c:ser>
        <c:dLbls>
          <c:showLegendKey val="0"/>
          <c:showVal val="0"/>
          <c:showCatName val="0"/>
          <c:showSerName val="0"/>
          <c:showPercent val="0"/>
          <c:showBubbleSize val="0"/>
        </c:dLbls>
        <c:gapWidth val="0"/>
        <c:overlap val="100"/>
        <c:axId val="789314079"/>
        <c:axId val="789079375"/>
      </c:barChart>
      <c:catAx>
        <c:axId val="789314079"/>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GB" sz="1500"/>
                  <a:t>Accumulated</a:t>
                </a:r>
                <a:r>
                  <a:rPr lang="en-GB" sz="1500" baseline="0"/>
                  <a:t> value at the end of Jan-2032</a:t>
                </a:r>
              </a:p>
            </c:rich>
          </c:tx>
          <c:layout>
            <c:manualLayout>
              <c:xMode val="edge"/>
              <c:yMode val="edge"/>
              <c:x val="0.38013569566030603"/>
              <c:y val="0.965852554649750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079375"/>
        <c:crosses val="autoZero"/>
        <c:auto val="1"/>
        <c:lblAlgn val="ctr"/>
        <c:lblOffset val="100"/>
        <c:noMultiLvlLbl val="0"/>
      </c:catAx>
      <c:valAx>
        <c:axId val="7890793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314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10 year spot rate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Spot rate</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FF0000"/>
                </a:solidFill>
                <a:prstDash val="sysDot"/>
              </a:ln>
              <a:effectLst/>
            </c:spPr>
            <c:trendlineType val="linear"/>
            <c:dispRSqr val="0"/>
            <c:dispEq val="0"/>
          </c:trendline>
          <c:xVal>
            <c:numRef>
              <c:f>'Task d'!$A$13:$A$131</c:f>
              <c:numCache>
                <c:formatCode>0.00</c:formatCode>
                <c:ptCount val="119"/>
                <c:pt idx="0">
                  <c:v>8.3333333333333329E-2</c:v>
                </c:pt>
                <c:pt idx="1">
                  <c:v>0.16666666666666666</c:v>
                </c:pt>
                <c:pt idx="2" formatCode="General">
                  <c:v>0.25</c:v>
                </c:pt>
                <c:pt idx="3">
                  <c:v>0.33333333333333298</c:v>
                </c:pt>
                <c:pt idx="4">
                  <c:v>0.41666666666666702</c:v>
                </c:pt>
                <c:pt idx="5" formatCode="General">
                  <c:v>0.5</c:v>
                </c:pt>
                <c:pt idx="6">
                  <c:v>0.58333333333333304</c:v>
                </c:pt>
                <c:pt idx="7">
                  <c:v>0.66666666666666696</c:v>
                </c:pt>
                <c:pt idx="8" formatCode="General">
                  <c:v>0.75</c:v>
                </c:pt>
                <c:pt idx="9">
                  <c:v>0.83333333333333304</c:v>
                </c:pt>
                <c:pt idx="10">
                  <c:v>0.91666666666666696</c:v>
                </c:pt>
                <c:pt idx="11" formatCode="General">
                  <c:v>1</c:v>
                </c:pt>
                <c:pt idx="12">
                  <c:v>1.0833333333333299</c:v>
                </c:pt>
                <c:pt idx="13">
                  <c:v>1.1666666666666701</c:v>
                </c:pt>
                <c:pt idx="14" formatCode="General">
                  <c:v>1.25</c:v>
                </c:pt>
                <c:pt idx="15">
                  <c:v>1.3333333333333299</c:v>
                </c:pt>
                <c:pt idx="16">
                  <c:v>1.4166666666666701</c:v>
                </c:pt>
                <c:pt idx="17" formatCode="General">
                  <c:v>1.5</c:v>
                </c:pt>
                <c:pt idx="18">
                  <c:v>1.5833333333333299</c:v>
                </c:pt>
                <c:pt idx="19">
                  <c:v>1.6666666666666701</c:v>
                </c:pt>
                <c:pt idx="20" formatCode="General">
                  <c:v>1.75</c:v>
                </c:pt>
                <c:pt idx="21">
                  <c:v>1.8333333333333299</c:v>
                </c:pt>
                <c:pt idx="22">
                  <c:v>1.9166666666666701</c:v>
                </c:pt>
                <c:pt idx="23" formatCode="General">
                  <c:v>2</c:v>
                </c:pt>
                <c:pt idx="24">
                  <c:v>2.0833333333333299</c:v>
                </c:pt>
                <c:pt idx="25">
                  <c:v>2.1666666666666701</c:v>
                </c:pt>
                <c:pt idx="26" formatCode="General">
                  <c:v>2.25</c:v>
                </c:pt>
                <c:pt idx="27">
                  <c:v>2.3333333333333299</c:v>
                </c:pt>
                <c:pt idx="28">
                  <c:v>2.4166666666666701</c:v>
                </c:pt>
                <c:pt idx="29" formatCode="General">
                  <c:v>2.5</c:v>
                </c:pt>
                <c:pt idx="30">
                  <c:v>2.5833333333333299</c:v>
                </c:pt>
                <c:pt idx="31">
                  <c:v>2.6666666666666701</c:v>
                </c:pt>
                <c:pt idx="32" formatCode="General">
                  <c:v>2.75</c:v>
                </c:pt>
                <c:pt idx="33">
                  <c:v>2.8333333333333299</c:v>
                </c:pt>
                <c:pt idx="34">
                  <c:v>2.9166666666666701</c:v>
                </c:pt>
                <c:pt idx="35" formatCode="General">
                  <c:v>3</c:v>
                </c:pt>
                <c:pt idx="36">
                  <c:v>3.0833333333333299</c:v>
                </c:pt>
                <c:pt idx="37">
                  <c:v>3.1666666666666701</c:v>
                </c:pt>
                <c:pt idx="38" formatCode="General">
                  <c:v>3.25</c:v>
                </c:pt>
                <c:pt idx="39">
                  <c:v>3.3333333333333299</c:v>
                </c:pt>
                <c:pt idx="40">
                  <c:v>3.4166666666666701</c:v>
                </c:pt>
                <c:pt idx="41" formatCode="General">
                  <c:v>3.5</c:v>
                </c:pt>
                <c:pt idx="42">
                  <c:v>3.5833333333333299</c:v>
                </c:pt>
                <c:pt idx="43">
                  <c:v>3.6666666666666701</c:v>
                </c:pt>
                <c:pt idx="44" formatCode="General">
                  <c:v>3.75</c:v>
                </c:pt>
                <c:pt idx="45">
                  <c:v>3.8333333333333299</c:v>
                </c:pt>
                <c:pt idx="46">
                  <c:v>3.9166666666666701</c:v>
                </c:pt>
                <c:pt idx="47" formatCode="General">
                  <c:v>4</c:v>
                </c:pt>
                <c:pt idx="48">
                  <c:v>4.0833333333333304</c:v>
                </c:pt>
                <c:pt idx="49">
                  <c:v>4.1666666666666696</c:v>
                </c:pt>
                <c:pt idx="50" formatCode="General">
                  <c:v>4.25</c:v>
                </c:pt>
                <c:pt idx="51">
                  <c:v>4.3333333333333304</c:v>
                </c:pt>
                <c:pt idx="52">
                  <c:v>4.4166666666666696</c:v>
                </c:pt>
                <c:pt idx="53" formatCode="General">
                  <c:v>4.5</c:v>
                </c:pt>
                <c:pt idx="54">
                  <c:v>4.5833333333333304</c:v>
                </c:pt>
                <c:pt idx="55">
                  <c:v>4.6666666666666696</c:v>
                </c:pt>
                <c:pt idx="56" formatCode="General">
                  <c:v>4.75</c:v>
                </c:pt>
                <c:pt idx="57">
                  <c:v>4.8333333333333304</c:v>
                </c:pt>
                <c:pt idx="58">
                  <c:v>4.9166666666666696</c:v>
                </c:pt>
                <c:pt idx="59" formatCode="General">
                  <c:v>5</c:v>
                </c:pt>
                <c:pt idx="60">
                  <c:v>5.0833333333333304</c:v>
                </c:pt>
                <c:pt idx="61">
                  <c:v>5.1666666666666696</c:v>
                </c:pt>
                <c:pt idx="62" formatCode="General">
                  <c:v>5.25</c:v>
                </c:pt>
                <c:pt idx="63">
                  <c:v>5.3333333333333304</c:v>
                </c:pt>
                <c:pt idx="64">
                  <c:v>5.4166666666666696</c:v>
                </c:pt>
                <c:pt idx="65" formatCode="General">
                  <c:v>5.5</c:v>
                </c:pt>
                <c:pt idx="66">
                  <c:v>5.5833333333333304</c:v>
                </c:pt>
                <c:pt idx="67">
                  <c:v>5.6666666666666696</c:v>
                </c:pt>
                <c:pt idx="68" formatCode="General">
                  <c:v>5.75</c:v>
                </c:pt>
                <c:pt idx="69">
                  <c:v>5.8333333333333304</c:v>
                </c:pt>
                <c:pt idx="70">
                  <c:v>5.9166666666666696</c:v>
                </c:pt>
                <c:pt idx="71" formatCode="General">
                  <c:v>6</c:v>
                </c:pt>
                <c:pt idx="72">
                  <c:v>6.0833333333333304</c:v>
                </c:pt>
                <c:pt idx="73">
                  <c:v>6.1666666666666696</c:v>
                </c:pt>
                <c:pt idx="74" formatCode="General">
                  <c:v>6.25</c:v>
                </c:pt>
                <c:pt idx="75">
                  <c:v>6.3333333333333304</c:v>
                </c:pt>
                <c:pt idx="76">
                  <c:v>6.4166666666666696</c:v>
                </c:pt>
                <c:pt idx="77" formatCode="General">
                  <c:v>6.5</c:v>
                </c:pt>
                <c:pt idx="78">
                  <c:v>6.5833333333333304</c:v>
                </c:pt>
                <c:pt idx="79">
                  <c:v>6.6666666666666696</c:v>
                </c:pt>
                <c:pt idx="80" formatCode="General">
                  <c:v>6.75</c:v>
                </c:pt>
                <c:pt idx="81">
                  <c:v>6.8333333333333304</c:v>
                </c:pt>
                <c:pt idx="82">
                  <c:v>6.9166666666666696</c:v>
                </c:pt>
                <c:pt idx="83" formatCode="General">
                  <c:v>7</c:v>
                </c:pt>
                <c:pt idx="84">
                  <c:v>7.0833333333333304</c:v>
                </c:pt>
                <c:pt idx="85">
                  <c:v>7.1666666666666696</c:v>
                </c:pt>
                <c:pt idx="86" formatCode="General">
                  <c:v>7.25</c:v>
                </c:pt>
                <c:pt idx="87">
                  <c:v>7.3333333333333304</c:v>
                </c:pt>
                <c:pt idx="88">
                  <c:v>7.4166666666666696</c:v>
                </c:pt>
                <c:pt idx="89" formatCode="General">
                  <c:v>7.5</c:v>
                </c:pt>
                <c:pt idx="90">
                  <c:v>7.5833333333333304</c:v>
                </c:pt>
                <c:pt idx="91">
                  <c:v>7.6666666666666696</c:v>
                </c:pt>
                <c:pt idx="92" formatCode="General">
                  <c:v>7.75</c:v>
                </c:pt>
                <c:pt idx="93">
                  <c:v>7.8333333333333304</c:v>
                </c:pt>
                <c:pt idx="94">
                  <c:v>7.9166666666666696</c:v>
                </c:pt>
                <c:pt idx="95" formatCode="General">
                  <c:v>8</c:v>
                </c:pt>
                <c:pt idx="96">
                  <c:v>8.0833333333333304</c:v>
                </c:pt>
                <c:pt idx="97">
                  <c:v>8.1666666666666696</c:v>
                </c:pt>
                <c:pt idx="98" formatCode="General">
                  <c:v>8.25</c:v>
                </c:pt>
                <c:pt idx="99">
                  <c:v>8.3333333333333304</c:v>
                </c:pt>
                <c:pt idx="100">
                  <c:v>8.4166666666666696</c:v>
                </c:pt>
                <c:pt idx="101" formatCode="General">
                  <c:v>8.5</c:v>
                </c:pt>
                <c:pt idx="102">
                  <c:v>8.5833333333333304</c:v>
                </c:pt>
                <c:pt idx="103">
                  <c:v>8.6666666666666696</c:v>
                </c:pt>
                <c:pt idx="104" formatCode="General">
                  <c:v>8.75</c:v>
                </c:pt>
                <c:pt idx="105">
                  <c:v>8.8333333333333304</c:v>
                </c:pt>
                <c:pt idx="106">
                  <c:v>8.9166666666666696</c:v>
                </c:pt>
                <c:pt idx="107" formatCode="General">
                  <c:v>9</c:v>
                </c:pt>
                <c:pt idx="108">
                  <c:v>9.0833333333333304</c:v>
                </c:pt>
                <c:pt idx="109">
                  <c:v>9.1666666666666696</c:v>
                </c:pt>
                <c:pt idx="110" formatCode="General">
                  <c:v>9.25</c:v>
                </c:pt>
                <c:pt idx="111">
                  <c:v>9.3333333333333304</c:v>
                </c:pt>
                <c:pt idx="112">
                  <c:v>9.4166666666666696</c:v>
                </c:pt>
                <c:pt idx="113" formatCode="General">
                  <c:v>9.5</c:v>
                </c:pt>
                <c:pt idx="114">
                  <c:v>9.5833333333333304</c:v>
                </c:pt>
                <c:pt idx="115">
                  <c:v>9.6666666666666696</c:v>
                </c:pt>
                <c:pt idx="116" formatCode="General">
                  <c:v>9.75</c:v>
                </c:pt>
                <c:pt idx="117">
                  <c:v>9.8333333333333304</c:v>
                </c:pt>
                <c:pt idx="118">
                  <c:v>9.9166666666666696</c:v>
                </c:pt>
              </c:numCache>
            </c:numRef>
          </c:xVal>
          <c:yVal>
            <c:numRef>
              <c:f>'Task d'!$B$13:$B$131</c:f>
              <c:numCache>
                <c:formatCode>0.0000%</c:formatCode>
                <c:ptCount val="119"/>
                <c:pt idx="0">
                  <c:v>2.5169405870225696E-2</c:v>
                </c:pt>
                <c:pt idx="1">
                  <c:v>2.5105948350694445E-2</c:v>
                </c:pt>
                <c:pt idx="2">
                  <c:v>2.5049520996093748E-2</c:v>
                </c:pt>
                <c:pt idx="3">
                  <c:v>2.5000017361111113E-2</c:v>
                </c:pt>
                <c:pt idx="4">
                  <c:v>2.4957331000434027E-2</c:v>
                </c:pt>
                <c:pt idx="5">
                  <c:v>2.4921355468749996E-2</c:v>
                </c:pt>
                <c:pt idx="6">
                  <c:v>2.4891984320746529E-2</c:v>
                </c:pt>
                <c:pt idx="7">
                  <c:v>2.4869111111111109E-2</c:v>
                </c:pt>
                <c:pt idx="8">
                  <c:v>2.4852629394531246E-2</c:v>
                </c:pt>
                <c:pt idx="9">
                  <c:v>2.484243272569445E-2</c:v>
                </c:pt>
                <c:pt idx="10">
                  <c:v>2.483841465928819E-2</c:v>
                </c:pt>
                <c:pt idx="11">
                  <c:v>2.4840468749999997E-2</c:v>
                </c:pt>
                <c:pt idx="12">
                  <c:v>2.4848488552517357E-2</c:v>
                </c:pt>
                <c:pt idx="13">
                  <c:v>2.4862367621527784E-2</c:v>
                </c:pt>
                <c:pt idx="14">
                  <c:v>2.4881999511718746E-2</c:v>
                </c:pt>
                <c:pt idx="15">
                  <c:v>2.4907277777777771E-2</c:v>
                </c:pt>
                <c:pt idx="16">
                  <c:v>2.4938095974392355E-2</c:v>
                </c:pt>
                <c:pt idx="17">
                  <c:v>2.497434765625E-2</c:v>
                </c:pt>
                <c:pt idx="18">
                  <c:v>2.5015926378038188E-2</c:v>
                </c:pt>
                <c:pt idx="19">
                  <c:v>2.5062725694444451E-2</c:v>
                </c:pt>
                <c:pt idx="20">
                  <c:v>2.5114639160156247E-2</c:v>
                </c:pt>
                <c:pt idx="21">
                  <c:v>2.5171560329861106E-2</c:v>
                </c:pt>
                <c:pt idx="22">
                  <c:v>2.5233382758246534E-2</c:v>
                </c:pt>
                <c:pt idx="23">
                  <c:v>2.53E-2</c:v>
                </c:pt>
                <c:pt idx="24">
                  <c:v>2.5371305609809019E-2</c:v>
                </c:pt>
                <c:pt idx="25">
                  <c:v>2.5447193142361112E-2</c:v>
                </c:pt>
                <c:pt idx="26">
                  <c:v>2.5527556152343752E-2</c:v>
                </c:pt>
                <c:pt idx="27">
                  <c:v>2.5612288194444437E-2</c:v>
                </c:pt>
                <c:pt idx="28">
                  <c:v>2.5701282823350699E-2</c:v>
                </c:pt>
                <c:pt idx="29">
                  <c:v>2.5794433593749996E-2</c:v>
                </c:pt>
                <c:pt idx="30">
                  <c:v>2.5891634060329852E-2</c:v>
                </c:pt>
                <c:pt idx="31">
                  <c:v>2.5992777777777781E-2</c:v>
                </c:pt>
                <c:pt idx="32">
                  <c:v>2.6097758300781253E-2</c:v>
                </c:pt>
                <c:pt idx="33">
                  <c:v>2.6206469184027772E-2</c:v>
                </c:pt>
                <c:pt idx="34">
                  <c:v>2.6318803982204864E-2</c:v>
                </c:pt>
                <c:pt idx="35">
                  <c:v>2.6434656249999997E-2</c:v>
                </c:pt>
                <c:pt idx="36">
                  <c:v>2.6553919542100686E-2</c:v>
                </c:pt>
                <c:pt idx="37">
                  <c:v>2.6676487413194446E-2</c:v>
                </c:pt>
                <c:pt idx="38">
                  <c:v>2.6802253417968755E-2</c:v>
                </c:pt>
                <c:pt idx="39">
                  <c:v>2.6931111111111107E-2</c:v>
                </c:pt>
                <c:pt idx="40">
                  <c:v>2.7062954047309039E-2</c:v>
                </c:pt>
                <c:pt idx="41">
                  <c:v>2.719767578125E-2</c:v>
                </c:pt>
                <c:pt idx="42">
                  <c:v>2.7335169867621512E-2</c:v>
                </c:pt>
                <c:pt idx="43">
                  <c:v>2.747532986111112E-2</c:v>
                </c:pt>
                <c:pt idx="44">
                  <c:v>2.7618049316406244E-2</c:v>
                </c:pt>
                <c:pt idx="45">
                  <c:v>2.7763221788194438E-2</c:v>
                </c:pt>
                <c:pt idx="46">
                  <c:v>2.7910740831163204E-2</c:v>
                </c:pt>
                <c:pt idx="47">
                  <c:v>2.8060499999999999E-2</c:v>
                </c:pt>
                <c:pt idx="48">
                  <c:v>2.8212392849392354E-2</c:v>
                </c:pt>
                <c:pt idx="49">
                  <c:v>2.8366312934027783E-2</c:v>
                </c:pt>
                <c:pt idx="50">
                  <c:v>2.8522153808593749E-2</c:v>
                </c:pt>
                <c:pt idx="51">
                  <c:v>2.8679809027777781E-2</c:v>
                </c:pt>
                <c:pt idx="52">
                  <c:v>2.8839172146267366E-2</c:v>
                </c:pt>
                <c:pt idx="53">
                  <c:v>2.9000136718750003E-2</c:v>
                </c:pt>
                <c:pt idx="54">
                  <c:v>2.9162596299913187E-2</c:v>
                </c:pt>
                <c:pt idx="55">
                  <c:v>2.9326444444444454E-2</c:v>
                </c:pt>
                <c:pt idx="56">
                  <c:v>2.9491574707031242E-2</c:v>
                </c:pt>
                <c:pt idx="57">
                  <c:v>2.9657880642361106E-2</c:v>
                </c:pt>
                <c:pt idx="58">
                  <c:v>2.9825255805121537E-2</c:v>
                </c:pt>
                <c:pt idx="59">
                  <c:v>2.9993593750000002E-2</c:v>
                </c:pt>
                <c:pt idx="60">
                  <c:v>3.0162788031684019E-2</c:v>
                </c:pt>
                <c:pt idx="61">
                  <c:v>3.0332732204861115E-2</c:v>
                </c:pt>
                <c:pt idx="62">
                  <c:v>3.0503319824218753E-2</c:v>
                </c:pt>
                <c:pt idx="63">
                  <c:v>3.0674444444444438E-2</c:v>
                </c:pt>
                <c:pt idx="64">
                  <c:v>3.0845999620225703E-2</c:v>
                </c:pt>
                <c:pt idx="65">
                  <c:v>3.1017878906249997E-2</c:v>
                </c:pt>
                <c:pt idx="66">
                  <c:v>3.1189975857204847E-2</c:v>
                </c:pt>
                <c:pt idx="67">
                  <c:v>3.1362184027777788E-2</c:v>
                </c:pt>
                <c:pt idx="68">
                  <c:v>3.1534396972656246E-2</c:v>
                </c:pt>
                <c:pt idx="69">
                  <c:v>3.1706508246527772E-2</c:v>
                </c:pt>
                <c:pt idx="70">
                  <c:v>3.1878411404079869E-2</c:v>
                </c:pt>
                <c:pt idx="71">
                  <c:v>3.2050000000000002E-2</c:v>
                </c:pt>
                <c:pt idx="72">
                  <c:v>3.222116758897569E-2</c:v>
                </c:pt>
                <c:pt idx="73">
                  <c:v>3.2391807725694451E-2</c:v>
                </c:pt>
                <c:pt idx="74">
                  <c:v>3.2561813964843749E-2</c:v>
                </c:pt>
                <c:pt idx="75">
                  <c:v>3.2731079861111109E-2</c:v>
                </c:pt>
                <c:pt idx="76">
                  <c:v>3.2899498969184038E-2</c:v>
                </c:pt>
                <c:pt idx="77">
                  <c:v>3.3066964843750005E-2</c:v>
                </c:pt>
                <c:pt idx="78">
                  <c:v>3.3233371039496522E-2</c:v>
                </c:pt>
                <c:pt idx="79">
                  <c:v>3.3398611111111115E-2</c:v>
                </c:pt>
                <c:pt idx="80">
                  <c:v>3.3562578613281248E-2</c:v>
                </c:pt>
                <c:pt idx="81">
                  <c:v>3.3725167100694439E-2</c:v>
                </c:pt>
                <c:pt idx="82">
                  <c:v>3.3886270128038201E-2</c:v>
                </c:pt>
                <c:pt idx="83">
                  <c:v>3.4045781249999997E-2</c:v>
                </c:pt>
                <c:pt idx="84">
                  <c:v>3.420359402126736E-2</c:v>
                </c:pt>
                <c:pt idx="85">
                  <c:v>3.4359601996527787E-2</c:v>
                </c:pt>
                <c:pt idx="86">
                  <c:v>3.451369873046875E-2</c:v>
                </c:pt>
                <c:pt idx="87">
                  <c:v>3.4665777777777768E-2</c:v>
                </c:pt>
                <c:pt idx="88">
                  <c:v>3.4815732693142365E-2</c:v>
                </c:pt>
                <c:pt idx="89">
                  <c:v>3.4963457031249992E-2</c:v>
                </c:pt>
                <c:pt idx="90">
                  <c:v>3.5108844346788189E-2</c:v>
                </c:pt>
                <c:pt idx="91">
                  <c:v>3.5251788194444446E-2</c:v>
                </c:pt>
                <c:pt idx="92">
                  <c:v>3.5392182128906248E-2</c:v>
                </c:pt>
                <c:pt idx="93">
                  <c:v>3.5529919704861107E-2</c:v>
                </c:pt>
                <c:pt idx="94">
                  <c:v>3.5664894476996542E-2</c:v>
                </c:pt>
                <c:pt idx="95">
                  <c:v>3.5797000000000002E-2</c:v>
                </c:pt>
                <c:pt idx="96">
                  <c:v>3.5926129828559021E-2</c:v>
                </c:pt>
                <c:pt idx="97">
                  <c:v>3.6052177517361124E-2</c:v>
                </c:pt>
                <c:pt idx="98">
                  <c:v>3.6175036621093754E-2</c:v>
                </c:pt>
                <c:pt idx="99">
                  <c:v>3.6294600694444443E-2</c:v>
                </c:pt>
                <c:pt idx="100">
                  <c:v>3.6410763292100704E-2</c:v>
                </c:pt>
                <c:pt idx="101">
                  <c:v>3.6523417968749999E-2</c:v>
                </c:pt>
                <c:pt idx="102">
                  <c:v>3.6632458279079863E-2</c:v>
                </c:pt>
                <c:pt idx="103">
                  <c:v>3.6737777777777779E-2</c:v>
                </c:pt>
                <c:pt idx="104">
                  <c:v>3.6839270019531252E-2</c:v>
                </c:pt>
                <c:pt idx="105">
                  <c:v>3.6936828559027773E-2</c:v>
                </c:pt>
                <c:pt idx="106">
                  <c:v>3.7030346950954869E-2</c:v>
                </c:pt>
                <c:pt idx="107">
                  <c:v>3.7119718750000003E-2</c:v>
                </c:pt>
                <c:pt idx="108">
                  <c:v>3.7204837510850693E-2</c:v>
                </c:pt>
                <c:pt idx="109">
                  <c:v>3.7285596788194451E-2</c:v>
                </c:pt>
                <c:pt idx="110">
                  <c:v>3.7361890136718749E-2</c:v>
                </c:pt>
                <c:pt idx="111">
                  <c:v>3.7433611111111105E-2</c:v>
                </c:pt>
                <c:pt idx="112">
                  <c:v>3.7500653266059024E-2</c:v>
                </c:pt>
                <c:pt idx="113">
                  <c:v>3.7562910156249997E-2</c:v>
                </c:pt>
                <c:pt idx="114">
                  <c:v>3.7620275336371523E-2</c:v>
                </c:pt>
                <c:pt idx="115">
                  <c:v>3.7672642361111112E-2</c:v>
                </c:pt>
                <c:pt idx="116">
                  <c:v>3.7719904785156244E-2</c:v>
                </c:pt>
                <c:pt idx="117">
                  <c:v>3.7761956163194436E-2</c:v>
                </c:pt>
                <c:pt idx="118">
                  <c:v>3.7798690049913194E-2</c:v>
                </c:pt>
              </c:numCache>
            </c:numRef>
          </c:yVal>
          <c:smooth val="0"/>
          <c:extLst>
            <c:ext xmlns:c16="http://schemas.microsoft.com/office/drawing/2014/chart" uri="{C3380CC4-5D6E-409C-BE32-E72D297353CC}">
              <c16:uniqueId val="{00000000-DCDA-5A43-BF81-5620403FD3FD}"/>
            </c:ext>
          </c:extLst>
        </c:ser>
        <c:dLbls>
          <c:showLegendKey val="0"/>
          <c:showVal val="0"/>
          <c:showCatName val="0"/>
          <c:showSerName val="0"/>
          <c:showPercent val="0"/>
          <c:showBubbleSize val="0"/>
        </c:dLbls>
        <c:axId val="384045552"/>
        <c:axId val="383958400"/>
      </c:scatterChart>
      <c:valAx>
        <c:axId val="384045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aseline="0"/>
                  <a:t>Time t: from 1/12 to 120/12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958400"/>
        <c:crosses val="autoZero"/>
        <c:crossBetween val="midCat"/>
      </c:valAx>
      <c:valAx>
        <c:axId val="383958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Spot</a:t>
                </a:r>
                <a:r>
                  <a:rPr lang="en-GB" baseline="0"/>
                  <a:t> rate at time 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0455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[5102 assignment version 3.xlsm]Task g histogram and answers!PivotTable2</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GB" sz="2000"/>
              <a:t>Histogram</a:t>
            </a:r>
            <a:r>
              <a:rPr lang="en-GB" sz="2000" baseline="0"/>
              <a:t> of the returns from each of the 3 options </a:t>
            </a:r>
          </a:p>
          <a:p>
            <a:pPr>
              <a:defRPr/>
            </a:pPr>
            <a:r>
              <a:rPr lang="en-GB" sz="2000" baseline="0"/>
              <a:t>Based on 100 simulations each</a:t>
            </a:r>
            <a:endParaRPr lang="en-GB" sz="200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70C0">
              <a:alpha val="50000"/>
            </a:srgbClr>
          </a:solidFill>
          <a:ln w="38100" cap="flat">
            <a:solidFill>
              <a:schemeClr val="tx1"/>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alpha val="50000"/>
            </a:srgbClr>
          </a:solidFill>
          <a:ln w="38100">
            <a:solidFill>
              <a:schemeClr val="tx1"/>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alpha val="50000"/>
            </a:srgbClr>
          </a:solidFill>
          <a:ln w="38100">
            <a:solidFill>
              <a:schemeClr val="tx1"/>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 g histogram and answers'!$B$26:$B$27</c:f>
              <c:strCache>
                <c:ptCount val="1"/>
                <c:pt idx="0">
                  <c:v>option 1</c:v>
                </c:pt>
              </c:strCache>
            </c:strRef>
          </c:tx>
          <c:spPr>
            <a:solidFill>
              <a:srgbClr val="0070C0">
                <a:alpha val="50000"/>
              </a:srgbClr>
            </a:solidFill>
            <a:ln w="38100" cap="flat">
              <a:solidFill>
                <a:schemeClr val="tx1"/>
              </a:solidFill>
            </a:ln>
            <a:effectLst>
              <a:outerShdw blurRad="57150" dist="19050" dir="5400000" algn="ctr" rotWithShape="0">
                <a:srgbClr val="000000">
                  <a:alpha val="63000"/>
                </a:srgbClr>
              </a:outerShdw>
            </a:effectLst>
          </c:spPr>
          <c:invertIfNegative val="0"/>
          <c:cat>
            <c:strRef>
              <c:f>'Task g histogram and answers'!$A$28:$A$50</c:f>
              <c:strCache>
                <c:ptCount val="22"/>
                <c:pt idx="0">
                  <c:v>361000-362000</c:v>
                </c:pt>
                <c:pt idx="1">
                  <c:v>362000-363000</c:v>
                </c:pt>
                <c:pt idx="2">
                  <c:v>363000-364000</c:v>
                </c:pt>
                <c:pt idx="3">
                  <c:v>429000-430000</c:v>
                </c:pt>
                <c:pt idx="4">
                  <c:v>573000-574000</c:v>
                </c:pt>
                <c:pt idx="5">
                  <c:v>574000-575000</c:v>
                </c:pt>
                <c:pt idx="6">
                  <c:v>575000-576000</c:v>
                </c:pt>
                <c:pt idx="7">
                  <c:v>577000-578000</c:v>
                </c:pt>
                <c:pt idx="8">
                  <c:v>578000-579000</c:v>
                </c:pt>
                <c:pt idx="9">
                  <c:v>579000-580000</c:v>
                </c:pt>
                <c:pt idx="10">
                  <c:v>580000-581000</c:v>
                </c:pt>
                <c:pt idx="11">
                  <c:v>581000-582000</c:v>
                </c:pt>
                <c:pt idx="12">
                  <c:v>582000-583000</c:v>
                </c:pt>
                <c:pt idx="13">
                  <c:v>583000-584000</c:v>
                </c:pt>
                <c:pt idx="14">
                  <c:v>584000-585000</c:v>
                </c:pt>
                <c:pt idx="15">
                  <c:v>585000-586000</c:v>
                </c:pt>
                <c:pt idx="16">
                  <c:v>586000-587000</c:v>
                </c:pt>
                <c:pt idx="17">
                  <c:v>587000-588000</c:v>
                </c:pt>
                <c:pt idx="18">
                  <c:v>588000-589000</c:v>
                </c:pt>
                <c:pt idx="19">
                  <c:v>589000-590000</c:v>
                </c:pt>
                <c:pt idx="20">
                  <c:v>590000-591000</c:v>
                </c:pt>
                <c:pt idx="21">
                  <c:v>591000-592000</c:v>
                </c:pt>
              </c:strCache>
            </c:strRef>
          </c:cat>
          <c:val>
            <c:numRef>
              <c:f>'Task g histogram and answers'!$B$28:$B$50</c:f>
              <c:numCache>
                <c:formatCode>General</c:formatCode>
                <c:ptCount val="22"/>
                <c:pt idx="3">
                  <c:v>100</c:v>
                </c:pt>
              </c:numCache>
            </c:numRef>
          </c:val>
          <c:extLst>
            <c:ext xmlns:c16="http://schemas.microsoft.com/office/drawing/2014/chart" uri="{C3380CC4-5D6E-409C-BE32-E72D297353CC}">
              <c16:uniqueId val="{00000000-05E7-1846-B60D-DB8660F9AB8C}"/>
            </c:ext>
          </c:extLst>
        </c:ser>
        <c:ser>
          <c:idx val="1"/>
          <c:order val="1"/>
          <c:tx>
            <c:strRef>
              <c:f>'Task g histogram and answers'!$C$26:$C$27</c:f>
              <c:strCache>
                <c:ptCount val="1"/>
                <c:pt idx="0">
                  <c:v>option 2</c:v>
                </c:pt>
              </c:strCache>
            </c:strRef>
          </c:tx>
          <c:spPr>
            <a:solidFill>
              <a:srgbClr val="00B050">
                <a:alpha val="50000"/>
              </a:srgbClr>
            </a:solidFill>
            <a:ln w="38100">
              <a:solidFill>
                <a:schemeClr val="tx1"/>
              </a:solidFill>
            </a:ln>
            <a:effectLst>
              <a:outerShdw blurRad="57150" dist="19050" dir="5400000" algn="ctr" rotWithShape="0">
                <a:srgbClr val="000000">
                  <a:alpha val="63000"/>
                </a:srgbClr>
              </a:outerShdw>
            </a:effectLst>
          </c:spPr>
          <c:invertIfNegative val="0"/>
          <c:cat>
            <c:strRef>
              <c:f>'Task g histogram and answers'!$A$28:$A$50</c:f>
              <c:strCache>
                <c:ptCount val="22"/>
                <c:pt idx="0">
                  <c:v>361000-362000</c:v>
                </c:pt>
                <c:pt idx="1">
                  <c:v>362000-363000</c:v>
                </c:pt>
                <c:pt idx="2">
                  <c:v>363000-364000</c:v>
                </c:pt>
                <c:pt idx="3">
                  <c:v>429000-430000</c:v>
                </c:pt>
                <c:pt idx="4">
                  <c:v>573000-574000</c:v>
                </c:pt>
                <c:pt idx="5">
                  <c:v>574000-575000</c:v>
                </c:pt>
                <c:pt idx="6">
                  <c:v>575000-576000</c:v>
                </c:pt>
                <c:pt idx="7">
                  <c:v>577000-578000</c:v>
                </c:pt>
                <c:pt idx="8">
                  <c:v>578000-579000</c:v>
                </c:pt>
                <c:pt idx="9">
                  <c:v>579000-580000</c:v>
                </c:pt>
                <c:pt idx="10">
                  <c:v>580000-581000</c:v>
                </c:pt>
                <c:pt idx="11">
                  <c:v>581000-582000</c:v>
                </c:pt>
                <c:pt idx="12">
                  <c:v>582000-583000</c:v>
                </c:pt>
                <c:pt idx="13">
                  <c:v>583000-584000</c:v>
                </c:pt>
                <c:pt idx="14">
                  <c:v>584000-585000</c:v>
                </c:pt>
                <c:pt idx="15">
                  <c:v>585000-586000</c:v>
                </c:pt>
                <c:pt idx="16">
                  <c:v>586000-587000</c:v>
                </c:pt>
                <c:pt idx="17">
                  <c:v>587000-588000</c:v>
                </c:pt>
                <c:pt idx="18">
                  <c:v>588000-589000</c:v>
                </c:pt>
                <c:pt idx="19">
                  <c:v>589000-590000</c:v>
                </c:pt>
                <c:pt idx="20">
                  <c:v>590000-591000</c:v>
                </c:pt>
                <c:pt idx="21">
                  <c:v>591000-592000</c:v>
                </c:pt>
              </c:strCache>
            </c:strRef>
          </c:cat>
          <c:val>
            <c:numRef>
              <c:f>'Task g histogram and answers'!$C$28:$C$50</c:f>
              <c:numCache>
                <c:formatCode>General</c:formatCode>
                <c:ptCount val="22"/>
                <c:pt idx="4">
                  <c:v>1</c:v>
                </c:pt>
                <c:pt idx="5">
                  <c:v>2</c:v>
                </c:pt>
                <c:pt idx="6">
                  <c:v>1</c:v>
                </c:pt>
                <c:pt idx="7">
                  <c:v>6</c:v>
                </c:pt>
                <c:pt idx="8">
                  <c:v>5</c:v>
                </c:pt>
                <c:pt idx="9">
                  <c:v>8</c:v>
                </c:pt>
                <c:pt idx="10">
                  <c:v>8</c:v>
                </c:pt>
                <c:pt idx="11">
                  <c:v>14</c:v>
                </c:pt>
                <c:pt idx="12">
                  <c:v>10</c:v>
                </c:pt>
                <c:pt idx="13">
                  <c:v>8</c:v>
                </c:pt>
                <c:pt idx="14">
                  <c:v>7</c:v>
                </c:pt>
                <c:pt idx="15">
                  <c:v>9</c:v>
                </c:pt>
                <c:pt idx="16">
                  <c:v>9</c:v>
                </c:pt>
                <c:pt idx="17">
                  <c:v>3</c:v>
                </c:pt>
                <c:pt idx="18">
                  <c:v>5</c:v>
                </c:pt>
                <c:pt idx="19">
                  <c:v>1</c:v>
                </c:pt>
                <c:pt idx="20">
                  <c:v>2</c:v>
                </c:pt>
                <c:pt idx="21">
                  <c:v>1</c:v>
                </c:pt>
              </c:numCache>
            </c:numRef>
          </c:val>
          <c:extLst>
            <c:ext xmlns:c16="http://schemas.microsoft.com/office/drawing/2014/chart" uri="{C3380CC4-5D6E-409C-BE32-E72D297353CC}">
              <c16:uniqueId val="{00000001-05E7-1846-B60D-DB8660F9AB8C}"/>
            </c:ext>
          </c:extLst>
        </c:ser>
        <c:ser>
          <c:idx val="2"/>
          <c:order val="2"/>
          <c:tx>
            <c:strRef>
              <c:f>'Task g histogram and answers'!$D$26:$D$27</c:f>
              <c:strCache>
                <c:ptCount val="1"/>
                <c:pt idx="0">
                  <c:v>option 3</c:v>
                </c:pt>
              </c:strCache>
            </c:strRef>
          </c:tx>
          <c:spPr>
            <a:solidFill>
              <a:srgbClr val="FF0000">
                <a:alpha val="50000"/>
              </a:srgbClr>
            </a:solidFill>
            <a:ln w="38100">
              <a:solidFill>
                <a:schemeClr val="tx1"/>
              </a:solidFill>
            </a:ln>
            <a:effectLst>
              <a:outerShdw blurRad="57150" dist="19050" dir="5400000" algn="ctr" rotWithShape="0">
                <a:srgbClr val="000000">
                  <a:alpha val="63000"/>
                </a:srgbClr>
              </a:outerShdw>
            </a:effectLst>
          </c:spPr>
          <c:invertIfNegative val="0"/>
          <c:cat>
            <c:strRef>
              <c:f>'Task g histogram and answers'!$A$28:$A$50</c:f>
              <c:strCache>
                <c:ptCount val="22"/>
                <c:pt idx="0">
                  <c:v>361000-362000</c:v>
                </c:pt>
                <c:pt idx="1">
                  <c:v>362000-363000</c:v>
                </c:pt>
                <c:pt idx="2">
                  <c:v>363000-364000</c:v>
                </c:pt>
                <c:pt idx="3">
                  <c:v>429000-430000</c:v>
                </c:pt>
                <c:pt idx="4">
                  <c:v>573000-574000</c:v>
                </c:pt>
                <c:pt idx="5">
                  <c:v>574000-575000</c:v>
                </c:pt>
                <c:pt idx="6">
                  <c:v>575000-576000</c:v>
                </c:pt>
                <c:pt idx="7">
                  <c:v>577000-578000</c:v>
                </c:pt>
                <c:pt idx="8">
                  <c:v>578000-579000</c:v>
                </c:pt>
                <c:pt idx="9">
                  <c:v>579000-580000</c:v>
                </c:pt>
                <c:pt idx="10">
                  <c:v>580000-581000</c:v>
                </c:pt>
                <c:pt idx="11">
                  <c:v>581000-582000</c:v>
                </c:pt>
                <c:pt idx="12">
                  <c:v>582000-583000</c:v>
                </c:pt>
                <c:pt idx="13">
                  <c:v>583000-584000</c:v>
                </c:pt>
                <c:pt idx="14">
                  <c:v>584000-585000</c:v>
                </c:pt>
                <c:pt idx="15">
                  <c:v>585000-586000</c:v>
                </c:pt>
                <c:pt idx="16">
                  <c:v>586000-587000</c:v>
                </c:pt>
                <c:pt idx="17">
                  <c:v>587000-588000</c:v>
                </c:pt>
                <c:pt idx="18">
                  <c:v>588000-589000</c:v>
                </c:pt>
                <c:pt idx="19">
                  <c:v>589000-590000</c:v>
                </c:pt>
                <c:pt idx="20">
                  <c:v>590000-591000</c:v>
                </c:pt>
                <c:pt idx="21">
                  <c:v>591000-592000</c:v>
                </c:pt>
              </c:strCache>
            </c:strRef>
          </c:cat>
          <c:val>
            <c:numRef>
              <c:f>'Task g histogram and answers'!$D$28:$D$50</c:f>
              <c:numCache>
                <c:formatCode>General</c:formatCode>
                <c:ptCount val="22"/>
                <c:pt idx="0">
                  <c:v>11</c:v>
                </c:pt>
                <c:pt idx="1">
                  <c:v>78</c:v>
                </c:pt>
                <c:pt idx="2">
                  <c:v>11</c:v>
                </c:pt>
              </c:numCache>
            </c:numRef>
          </c:val>
          <c:extLst>
            <c:ext xmlns:c16="http://schemas.microsoft.com/office/drawing/2014/chart" uri="{C3380CC4-5D6E-409C-BE32-E72D297353CC}">
              <c16:uniqueId val="{00000002-05E7-1846-B60D-DB8660F9AB8C}"/>
            </c:ext>
          </c:extLst>
        </c:ser>
        <c:dLbls>
          <c:showLegendKey val="0"/>
          <c:showVal val="0"/>
          <c:showCatName val="0"/>
          <c:showSerName val="0"/>
          <c:showPercent val="0"/>
          <c:showBubbleSize val="0"/>
        </c:dLbls>
        <c:gapWidth val="0"/>
        <c:overlap val="100"/>
        <c:axId val="789314079"/>
        <c:axId val="789079375"/>
      </c:barChart>
      <c:catAx>
        <c:axId val="789314079"/>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GB" sz="1500"/>
                  <a:t>Accumulated</a:t>
                </a:r>
                <a:r>
                  <a:rPr lang="en-GB" sz="1500" baseline="0"/>
                  <a:t> value at the end of Jan-2032</a:t>
                </a:r>
              </a:p>
            </c:rich>
          </c:tx>
          <c:layout>
            <c:manualLayout>
              <c:xMode val="edge"/>
              <c:yMode val="edge"/>
              <c:x val="0.38013569566030603"/>
              <c:y val="0.965852554649750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079375"/>
        <c:crosses val="autoZero"/>
        <c:auto val="1"/>
        <c:lblAlgn val="ctr"/>
        <c:lblOffset val="100"/>
        <c:noMultiLvlLbl val="0"/>
      </c:catAx>
      <c:valAx>
        <c:axId val="7890793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314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rich>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Calibri" panose="020F0502020204030204"/>
              </a:rPr>
              <a:t>Histogram of accumulated return </a:t>
            </a:r>
          </a:p>
          <a:p>
            <a:pPr algn="ctr" rtl="0">
              <a:defRPr/>
            </a:pPr>
            <a:r>
              <a:rPr lang="en-GB" sz="1400" b="0" i="0" u="none" strike="noStrike" baseline="0">
                <a:solidFill>
                  <a:sysClr val="windowText" lastClr="000000">
                    <a:lumMod val="65000"/>
                    <a:lumOff val="35000"/>
                  </a:sysClr>
                </a:solidFill>
                <a:latin typeface="Calibri" panose="020F0502020204030204"/>
              </a:rPr>
              <a:t>of 100 generated trajectories</a:t>
            </a:r>
          </a:p>
        </cx:rich>
      </cx:tx>
    </cx:title>
    <cx:plotArea>
      <cx:plotAreaRegion>
        <cx:series layoutId="clusteredColumn" uniqueId="{6D829792-45BF-0B41-95B5-A279EA9409C7}">
          <cx:tx>
            <cx:txData>
              <cx:f>_xlchart.v1.2</cx:f>
              <cx:v>a(120)</cx:v>
            </cx:txData>
          </cx:tx>
          <cx:dataId val="0"/>
          <cx:layoutPr>
            <cx:binning intervalClosed="r"/>
          </cx:layoutPr>
        </cx:series>
      </cx:plotAreaRegion>
      <cx:axis id="0">
        <cx:catScaling gapWidth="0"/>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Accumulated value if investing 30% of salary in stock market every month until Jan-2032</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Calibri" panose="020F0502020204030204"/>
            </a:rPr>
            <a:t>Accumulated value if investing 30% of salary in stock market every month until Jan-2032</a:t>
          </a:r>
        </a:p>
      </cx:txPr>
    </cx:title>
    <cx:plotArea>
      <cx:plotAreaRegion>
        <cx:series layoutId="clusteredColumn" uniqueId="{CA0CA3A4-EB9F-E84B-8020-FB46AC965B52}">
          <cx:tx>
            <cx:txData>
              <cx:f>_xlchart.v1.0</cx:f>
              <cx:v>A(120)</cx:v>
            </cx:txData>
          </cx:tx>
          <cx:dataId val="0"/>
          <cx:layoutPr>
            <cx:binning intervalClosed="r"/>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microsoft.com/office/2014/relationships/chartEx" Target="../charts/chartEx2.xml"/><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812801</xdr:colOff>
      <xdr:row>22</xdr:row>
      <xdr:rowOff>12701</xdr:rowOff>
    </xdr:from>
    <xdr:to>
      <xdr:col>9</xdr:col>
      <xdr:colOff>25400</xdr:colOff>
      <xdr:row>38</xdr:row>
      <xdr:rowOff>127000</xdr:rowOff>
    </xdr:to>
    <xdr:graphicFrame macro="">
      <xdr:nvGraphicFramePr>
        <xdr:cNvPr id="2" name="Chart 1">
          <a:extLst>
            <a:ext uri="{FF2B5EF4-FFF2-40B4-BE49-F238E27FC236}">
              <a16:creationId xmlns:a16="http://schemas.microsoft.com/office/drawing/2014/main" id="{DB0E444E-7424-6A4E-BA16-2ECD64D42E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808827</xdr:colOff>
      <xdr:row>59</xdr:row>
      <xdr:rowOff>42571</xdr:rowOff>
    </xdr:from>
    <xdr:to>
      <xdr:col>7</xdr:col>
      <xdr:colOff>595978</xdr:colOff>
      <xdr:row>75</xdr:row>
      <xdr:rowOff>120614</xdr:rowOff>
    </xdr:to>
    <xdr:graphicFrame macro="">
      <xdr:nvGraphicFramePr>
        <xdr:cNvPr id="3" name="Chart 2">
          <a:extLst>
            <a:ext uri="{FF2B5EF4-FFF2-40B4-BE49-F238E27FC236}">
              <a16:creationId xmlns:a16="http://schemas.microsoft.com/office/drawing/2014/main" id="{4A382C98-CA15-DF48-AD6E-5D1F776D56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12590</xdr:colOff>
      <xdr:row>12</xdr:row>
      <xdr:rowOff>3553</xdr:rowOff>
    </xdr:from>
    <xdr:to>
      <xdr:col>16</xdr:col>
      <xdr:colOff>50690</xdr:colOff>
      <xdr:row>40</xdr:row>
      <xdr:rowOff>171240</xdr:rowOff>
    </xdr:to>
    <xdr:graphicFrame macro="">
      <xdr:nvGraphicFramePr>
        <xdr:cNvPr id="4" name="Chart 3">
          <a:extLst>
            <a:ext uri="{FF2B5EF4-FFF2-40B4-BE49-F238E27FC236}">
              <a16:creationId xmlns:a16="http://schemas.microsoft.com/office/drawing/2014/main" id="{3A7E64D1-D45C-0E43-8236-9AD2E4D903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723900</xdr:colOff>
      <xdr:row>11</xdr:row>
      <xdr:rowOff>165100</xdr:rowOff>
    </xdr:from>
    <xdr:to>
      <xdr:col>7</xdr:col>
      <xdr:colOff>571500</xdr:colOff>
      <xdr:row>28</xdr:row>
      <xdr:rowOff>88900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7DC209B8-1FB5-5C48-804A-C1A3F695D9D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810000" y="2476500"/>
              <a:ext cx="3619500" cy="3378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63500</xdr:colOff>
      <xdr:row>11</xdr:row>
      <xdr:rowOff>152400</xdr:rowOff>
    </xdr:from>
    <xdr:to>
      <xdr:col>3</xdr:col>
      <xdr:colOff>685800</xdr:colOff>
      <xdr:row>28</xdr:row>
      <xdr:rowOff>101600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1882E94-8FB9-2C48-958F-7FFFED7A102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3500" y="2463800"/>
              <a:ext cx="3708400" cy="34036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387350</xdr:colOff>
      <xdr:row>0</xdr:row>
      <xdr:rowOff>38100</xdr:rowOff>
    </xdr:from>
    <xdr:to>
      <xdr:col>51</xdr:col>
      <xdr:colOff>165100</xdr:colOff>
      <xdr:row>53</xdr:row>
      <xdr:rowOff>63500</xdr:rowOff>
    </xdr:to>
    <xdr:graphicFrame macro="">
      <xdr:nvGraphicFramePr>
        <xdr:cNvPr id="3" name="Chart 2">
          <a:extLst>
            <a:ext uri="{FF2B5EF4-FFF2-40B4-BE49-F238E27FC236}">
              <a16:creationId xmlns:a16="http://schemas.microsoft.com/office/drawing/2014/main" id="{58A162B8-B9E7-3A4E-911B-8FB72C81D1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106644</xdr:colOff>
      <xdr:row>4</xdr:row>
      <xdr:rowOff>1</xdr:rowOff>
    </xdr:from>
    <xdr:to>
      <xdr:col>10</xdr:col>
      <xdr:colOff>805420</xdr:colOff>
      <xdr:row>19</xdr:row>
      <xdr:rowOff>19389</xdr:rowOff>
    </xdr:to>
    <xdr:pic>
      <xdr:nvPicPr>
        <xdr:cNvPr id="2" name="Picture 1">
          <a:extLst>
            <a:ext uri="{FF2B5EF4-FFF2-40B4-BE49-F238E27FC236}">
              <a16:creationId xmlns:a16="http://schemas.microsoft.com/office/drawing/2014/main" id="{62F4B0F4-2073-F546-AED3-FCC23F74026B}"/>
            </a:ext>
          </a:extLst>
        </xdr:cNvPr>
        <xdr:cNvPicPr>
          <a:picLocks noChangeAspect="1"/>
        </xdr:cNvPicPr>
      </xdr:nvPicPr>
      <xdr:blipFill>
        <a:blip xmlns:r="http://schemas.openxmlformats.org/officeDocument/2006/relationships" r:embed="rId1"/>
        <a:stretch>
          <a:fillRect/>
        </a:stretch>
      </xdr:blipFill>
      <xdr:spPr>
        <a:xfrm>
          <a:off x="5099392" y="814352"/>
          <a:ext cx="3994959" cy="3170152"/>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ex Huang" id="{D8129C5D-4815-1047-974E-B883107D1BEA}" userId="S::z5210578@ad.unsw.edu.au::2f71855e-99eb-4c65-ae75-efa051b0e283"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664.002995486109" createdVersion="7" refreshedVersion="7" minRefreshableVersion="3" recordCount="300" xr:uid="{FAAD69E4-36AC-1C45-BE5D-5D6D1EEFAD8E}">
  <cacheSource type="worksheet">
    <worksheetSource ref="U3:V303" sheet="Task g data"/>
  </cacheSource>
  <cacheFields count="2">
    <cacheField name="Accumulated value" numFmtId="164">
      <sharedItems containsSemiMixedTypes="0" containsString="0" containsNumber="1" minValue="361520.10077987518" maxValue="591817.75539116561" count="201">
        <n v="585528.03924436681"/>
        <n v="577125.3253326884"/>
        <n v="584247.57492645446"/>
        <n v="580053.16078898893"/>
        <n v="588828.42767057358"/>
        <n v="582598.24555331073"/>
        <n v="585143.79718568386"/>
        <n v="585593.46376942692"/>
        <n v="585490.50008205278"/>
        <n v="574649.82049286237"/>
        <n v="575819.58956859331"/>
        <n v="581548.59212209343"/>
        <n v="582991.16742500057"/>
        <n v="586324.76509456336"/>
        <n v="585963.5722377965"/>
        <n v="588312.67734354059"/>
        <n v="583355.04196624109"/>
        <n v="581637.98880355386"/>
        <n v="580681.59735747403"/>
        <n v="582389.81006932957"/>
        <n v="573369.8692411274"/>
        <n v="579789.16263765027"/>
        <n v="584506.80435791542"/>
        <n v="581699.79916352034"/>
        <n v="580797.85644631495"/>
        <n v="584346.05403936887"/>
        <n v="586069.91930517158"/>
        <n v="583745.73590280837"/>
        <n v="587637.7671504633"/>
        <n v="586783.00943451514"/>
        <n v="579064.30482918082"/>
        <n v="581224.74470883678"/>
        <n v="583721.98864284134"/>
        <n v="579064.87887752196"/>
        <n v="582558.30147690699"/>
        <n v="580805.6439736404"/>
        <n v="574437.81226725772"/>
        <n v="583073.5646706929"/>
        <n v="582917.89702350111"/>
        <n v="581807.79204090743"/>
        <n v="582222.30985421594"/>
        <n v="586581.90243093728"/>
        <n v="583141.49429504201"/>
        <n v="581674.90372721292"/>
        <n v="590247.12514091446"/>
        <n v="577124.42830868892"/>
        <n v="586273.82459748583"/>
        <n v="578995.0150633736"/>
        <n v="581620.3140977975"/>
        <n v="578059.95859333826"/>
        <n v="581872.00723417662"/>
        <n v="590313.48651644192"/>
        <n v="581380.03767072374"/>
        <n v="587154.48156092479"/>
        <n v="581482.85378739238"/>
        <n v="578995.21160266246"/>
        <n v="585483.06527835038"/>
        <n v="586970.22535920236"/>
        <n v="579224.37565037631"/>
        <n v="577885.74325386866"/>
        <n v="582285.69559070771"/>
        <n v="579167.94468862994"/>
        <n v="577273.39733462117"/>
        <n v="584184.27567569725"/>
        <n v="580979.72824656998"/>
        <n v="586709.42832049262"/>
        <n v="583278.39105911681"/>
        <n v="583253.05023251974"/>
        <n v="584648.28301585745"/>
        <n v="579664.56263450347"/>
        <n v="577619.91195608908"/>
        <n v="585271.96302611544"/>
        <n v="580513.98263321375"/>
        <n v="581577.52021165995"/>
        <n v="585419.8447932764"/>
        <n v="579056.38780247793"/>
        <n v="584647.94799005543"/>
        <n v="579208.07014583424"/>
        <n v="588489.21714552911"/>
        <n v="578123.35513574607"/>
        <n v="582159.69192982931"/>
        <n v="582508.39064563753"/>
        <n v="583487.87830413983"/>
        <n v="577587.40065653913"/>
        <n v="581598.80161247868"/>
        <n v="587041.62445978774"/>
        <n v="586531.30388408084"/>
        <n v="586296.91137912241"/>
        <n v="580483.32577846223"/>
        <n v="578440.61005154159"/>
        <n v="582571.54265284061"/>
        <n v="588445.32544261008"/>
        <n v="580845.2305869218"/>
        <n v="584123.00267412816"/>
        <n v="581924.93961832556"/>
        <n v="581569.64424367668"/>
        <n v="585267.98526587104"/>
        <n v="591817.75539116561"/>
        <n v="588951.91802894347"/>
        <n v="589165.8537364353"/>
        <n v="362072.01718382136"/>
        <n v="362843.03985620086"/>
        <n v="362047.21205304604"/>
        <n v="362448.32009422197"/>
        <n v="362194.9265806402"/>
        <n v="362650.11454579997"/>
        <n v="363176.9387695358"/>
        <n v="362637.06429775193"/>
        <n v="363098.1340138606"/>
        <n v="362871.31581241149"/>
        <n v="362974.03706018807"/>
        <n v="362663.26405153977"/>
        <n v="362548.73500087607"/>
        <n v="362381.97776878829"/>
        <n v="362734.00533132965"/>
        <n v="362924.68605576042"/>
        <n v="362715.44860317273"/>
        <n v="362658.36064994038"/>
        <n v="361572.39662785543"/>
        <n v="361809.36048342334"/>
        <n v="362419.31033571879"/>
        <n v="362227.33209820738"/>
        <n v="362649.50928444439"/>
        <n v="362570.88986596768"/>
        <n v="363087.12094920623"/>
        <n v="362501.7589765077"/>
        <n v="361893.46436223516"/>
        <n v="362365.0985926413"/>
        <n v="362282.59290233703"/>
        <n v="362960.1777113094"/>
        <n v="362491.90752985614"/>
        <n v="362721.70781839197"/>
        <n v="361987.01821474516"/>
        <n v="362500.29240392073"/>
        <n v="362449.47292384913"/>
        <n v="361800.49960859696"/>
        <n v="362966.67830297136"/>
        <n v="362522.25636123394"/>
        <n v="362306.56431038055"/>
        <n v="363366.95503702894"/>
        <n v="362320.52426235215"/>
        <n v="362778.54626367596"/>
        <n v="362129.39806944039"/>
        <n v="362453.44511738385"/>
        <n v="362373.80234806123"/>
        <n v="362719.89231276332"/>
        <n v="361875.29868063296"/>
        <n v="362172.19488548383"/>
        <n v="363397.93406825594"/>
        <n v="362816.09128866676"/>
        <n v="362426.38008784305"/>
        <n v="362280.014715956"/>
        <n v="362746.82653129956"/>
        <n v="363140.58605666819"/>
        <n v="362154.3465076065"/>
        <n v="362384.34308137867"/>
        <n v="363024.95722144452"/>
        <n v="362552.29031049635"/>
        <n v="362995.51572443702"/>
        <n v="362845.31548966357"/>
        <n v="362798.75042827841"/>
        <n v="362663.60896255315"/>
        <n v="362392.89183604228"/>
        <n v="362167.71157445031"/>
        <n v="362198.58888832736"/>
        <n v="362822.71421179111"/>
        <n v="362222.48524998582"/>
        <n v="363182.56988822599"/>
        <n v="362895.41662997822"/>
        <n v="362759.23177932191"/>
        <n v="362280.45950108056"/>
        <n v="362872.15954430331"/>
        <n v="362336.5685079706"/>
        <n v="362472.27903888375"/>
        <n v="362478.72687426244"/>
        <n v="362150.53807909269"/>
        <n v="362478.80966366397"/>
        <n v="362371.92127143883"/>
        <n v="362035.49999762682"/>
        <n v="362884.2375766107"/>
        <n v="361776.05157289782"/>
        <n v="362502.43129107018"/>
        <n v="362505.01665371034"/>
        <n v="362368.65634579683"/>
        <n v="361859.81183735945"/>
        <n v="361534.32004812697"/>
        <n v="362286.6305241629"/>
        <n v="363072.04241747089"/>
        <n v="363613.17651840148"/>
        <n v="362111.33536608348"/>
        <n v="361675.90435677121"/>
        <n v="362249.41165638564"/>
        <n v="362677.71961136773"/>
        <n v="362559.94735243177"/>
        <n v="362658.66773900931"/>
        <n v="361520.10077987518"/>
        <n v="363000.92869291839"/>
        <n v="362857.61947432108"/>
        <n v="362920.08192763536"/>
        <n v="362447.35146564833"/>
        <n v="429132.57453970669"/>
      </sharedItems>
      <fieldGroup base="0">
        <rangePr autoStart="0" autoEnd="0" startNum="0" endNum="10000000" groupInterval="1000"/>
        <groupItems count="10002">
          <s v="&lt;0"/>
          <s v="0-1000"/>
          <s v="1000-2000"/>
          <s v="2000-3000"/>
          <s v="3000-4000"/>
          <s v="4000-5000"/>
          <s v="5000-6000"/>
          <s v="6000-7000"/>
          <s v="7000-8000"/>
          <s v="8000-9000"/>
          <s v="9000-10000"/>
          <s v="10000-11000"/>
          <s v="11000-12000"/>
          <s v="12000-13000"/>
          <s v="13000-14000"/>
          <s v="14000-15000"/>
          <s v="15000-16000"/>
          <s v="16000-17000"/>
          <s v="17000-18000"/>
          <s v="18000-19000"/>
          <s v="19000-20000"/>
          <s v="20000-21000"/>
          <s v="21000-22000"/>
          <s v="22000-23000"/>
          <s v="23000-24000"/>
          <s v="24000-25000"/>
          <s v="25000-26000"/>
          <s v="26000-27000"/>
          <s v="27000-28000"/>
          <s v="28000-29000"/>
          <s v="29000-30000"/>
          <s v="30000-31000"/>
          <s v="31000-32000"/>
          <s v="32000-33000"/>
          <s v="33000-34000"/>
          <s v="34000-35000"/>
          <s v="35000-36000"/>
          <s v="36000-37000"/>
          <s v="37000-38000"/>
          <s v="38000-39000"/>
          <s v="39000-40000"/>
          <s v="40000-41000"/>
          <s v="41000-42000"/>
          <s v="42000-43000"/>
          <s v="43000-44000"/>
          <s v="44000-45000"/>
          <s v="45000-46000"/>
          <s v="46000-47000"/>
          <s v="47000-48000"/>
          <s v="48000-49000"/>
          <s v="49000-50000"/>
          <s v="50000-51000"/>
          <s v="51000-52000"/>
          <s v="52000-53000"/>
          <s v="53000-54000"/>
          <s v="54000-55000"/>
          <s v="55000-56000"/>
          <s v="56000-57000"/>
          <s v="57000-58000"/>
          <s v="58000-59000"/>
          <s v="59000-60000"/>
          <s v="60000-61000"/>
          <s v="61000-62000"/>
          <s v="62000-63000"/>
          <s v="63000-64000"/>
          <s v="64000-65000"/>
          <s v="65000-66000"/>
          <s v="66000-67000"/>
          <s v="67000-68000"/>
          <s v="68000-69000"/>
          <s v="69000-70000"/>
          <s v="70000-71000"/>
          <s v="71000-72000"/>
          <s v="72000-73000"/>
          <s v="73000-74000"/>
          <s v="74000-75000"/>
          <s v="75000-76000"/>
          <s v="76000-77000"/>
          <s v="77000-78000"/>
          <s v="78000-79000"/>
          <s v="79000-80000"/>
          <s v="80000-81000"/>
          <s v="81000-82000"/>
          <s v="82000-83000"/>
          <s v="83000-84000"/>
          <s v="84000-85000"/>
          <s v="85000-86000"/>
          <s v="86000-87000"/>
          <s v="87000-88000"/>
          <s v="88000-89000"/>
          <s v="89000-90000"/>
          <s v="90000-91000"/>
          <s v="91000-92000"/>
          <s v="92000-93000"/>
          <s v="93000-94000"/>
          <s v="94000-95000"/>
          <s v="95000-96000"/>
          <s v="96000-97000"/>
          <s v="97000-98000"/>
          <s v="98000-99000"/>
          <s v="99000-100000"/>
          <s v="100000-101000"/>
          <s v="101000-102000"/>
          <s v="102000-103000"/>
          <s v="103000-104000"/>
          <s v="104000-105000"/>
          <s v="105000-106000"/>
          <s v="106000-107000"/>
          <s v="107000-108000"/>
          <s v="108000-109000"/>
          <s v="109000-110000"/>
          <s v="110000-111000"/>
          <s v="111000-112000"/>
          <s v="112000-113000"/>
          <s v="113000-114000"/>
          <s v="114000-115000"/>
          <s v="115000-116000"/>
          <s v="116000-117000"/>
          <s v="117000-118000"/>
          <s v="118000-119000"/>
          <s v="119000-120000"/>
          <s v="120000-121000"/>
          <s v="121000-122000"/>
          <s v="122000-123000"/>
          <s v="123000-124000"/>
          <s v="124000-125000"/>
          <s v="125000-126000"/>
          <s v="126000-127000"/>
          <s v="127000-128000"/>
          <s v="128000-129000"/>
          <s v="129000-130000"/>
          <s v="130000-131000"/>
          <s v="131000-132000"/>
          <s v="132000-133000"/>
          <s v="133000-134000"/>
          <s v="134000-135000"/>
          <s v="135000-136000"/>
          <s v="136000-137000"/>
          <s v="137000-138000"/>
          <s v="138000-139000"/>
          <s v="139000-140000"/>
          <s v="140000-141000"/>
          <s v="141000-142000"/>
          <s v="142000-143000"/>
          <s v="143000-144000"/>
          <s v="144000-145000"/>
          <s v="145000-146000"/>
          <s v="146000-147000"/>
          <s v="147000-148000"/>
          <s v="148000-149000"/>
          <s v="149000-150000"/>
          <s v="150000-151000"/>
          <s v="151000-152000"/>
          <s v="152000-153000"/>
          <s v="153000-154000"/>
          <s v="154000-155000"/>
          <s v="155000-156000"/>
          <s v="156000-157000"/>
          <s v="157000-158000"/>
          <s v="158000-159000"/>
          <s v="159000-160000"/>
          <s v="160000-161000"/>
          <s v="161000-162000"/>
          <s v="162000-163000"/>
          <s v="163000-164000"/>
          <s v="164000-165000"/>
          <s v="165000-166000"/>
          <s v="166000-167000"/>
          <s v="167000-168000"/>
          <s v="168000-169000"/>
          <s v="169000-170000"/>
          <s v="170000-171000"/>
          <s v="171000-172000"/>
          <s v="172000-173000"/>
          <s v="173000-174000"/>
          <s v="174000-175000"/>
          <s v="175000-176000"/>
          <s v="176000-177000"/>
          <s v="177000-178000"/>
          <s v="178000-179000"/>
          <s v="179000-180000"/>
          <s v="180000-181000"/>
          <s v="181000-182000"/>
          <s v="182000-183000"/>
          <s v="183000-184000"/>
          <s v="184000-185000"/>
          <s v="185000-186000"/>
          <s v="186000-187000"/>
          <s v="187000-188000"/>
          <s v="188000-189000"/>
          <s v="189000-190000"/>
          <s v="190000-191000"/>
          <s v="191000-192000"/>
          <s v="192000-193000"/>
          <s v="193000-194000"/>
          <s v="194000-195000"/>
          <s v="195000-196000"/>
          <s v="196000-197000"/>
          <s v="197000-198000"/>
          <s v="198000-199000"/>
          <s v="199000-200000"/>
          <s v="200000-201000"/>
          <s v="201000-202000"/>
          <s v="202000-203000"/>
          <s v="203000-204000"/>
          <s v="204000-205000"/>
          <s v="205000-206000"/>
          <s v="206000-207000"/>
          <s v="207000-208000"/>
          <s v="208000-209000"/>
          <s v="209000-210000"/>
          <s v="210000-211000"/>
          <s v="211000-212000"/>
          <s v="212000-213000"/>
          <s v="213000-214000"/>
          <s v="214000-215000"/>
          <s v="215000-216000"/>
          <s v="216000-217000"/>
          <s v="217000-218000"/>
          <s v="218000-219000"/>
          <s v="219000-220000"/>
          <s v="220000-221000"/>
          <s v="221000-222000"/>
          <s v="222000-223000"/>
          <s v="223000-224000"/>
          <s v="224000-225000"/>
          <s v="225000-226000"/>
          <s v="226000-227000"/>
          <s v="227000-228000"/>
          <s v="228000-229000"/>
          <s v="229000-230000"/>
          <s v="230000-231000"/>
          <s v="231000-232000"/>
          <s v="232000-233000"/>
          <s v="233000-234000"/>
          <s v="234000-235000"/>
          <s v="235000-236000"/>
          <s v="236000-237000"/>
          <s v="237000-238000"/>
          <s v="238000-239000"/>
          <s v="239000-240000"/>
          <s v="240000-241000"/>
          <s v="241000-242000"/>
          <s v="242000-243000"/>
          <s v="243000-244000"/>
          <s v="244000-245000"/>
          <s v="245000-246000"/>
          <s v="246000-247000"/>
          <s v="247000-248000"/>
          <s v="248000-249000"/>
          <s v="249000-250000"/>
          <s v="250000-251000"/>
          <s v="251000-252000"/>
          <s v="252000-253000"/>
          <s v="253000-254000"/>
          <s v="254000-255000"/>
          <s v="255000-256000"/>
          <s v="256000-257000"/>
          <s v="257000-258000"/>
          <s v="258000-259000"/>
          <s v="259000-260000"/>
          <s v="260000-261000"/>
          <s v="261000-262000"/>
          <s v="262000-263000"/>
          <s v="263000-264000"/>
          <s v="264000-265000"/>
          <s v="265000-266000"/>
          <s v="266000-267000"/>
          <s v="267000-268000"/>
          <s v="268000-269000"/>
          <s v="269000-270000"/>
          <s v="270000-271000"/>
          <s v="271000-272000"/>
          <s v="272000-273000"/>
          <s v="273000-274000"/>
          <s v="274000-275000"/>
          <s v="275000-276000"/>
          <s v="276000-277000"/>
          <s v="277000-278000"/>
          <s v="278000-279000"/>
          <s v="279000-280000"/>
          <s v="280000-281000"/>
          <s v="281000-282000"/>
          <s v="282000-283000"/>
          <s v="283000-284000"/>
          <s v="284000-285000"/>
          <s v="285000-286000"/>
          <s v="286000-287000"/>
          <s v="287000-288000"/>
          <s v="288000-289000"/>
          <s v="289000-290000"/>
          <s v="290000-291000"/>
          <s v="291000-292000"/>
          <s v="292000-293000"/>
          <s v="293000-294000"/>
          <s v="294000-295000"/>
          <s v="295000-296000"/>
          <s v="296000-297000"/>
          <s v="297000-298000"/>
          <s v="298000-299000"/>
          <s v="299000-300000"/>
          <s v="300000-301000"/>
          <s v="301000-302000"/>
          <s v="302000-303000"/>
          <s v="303000-304000"/>
          <s v="304000-305000"/>
          <s v="305000-306000"/>
          <s v="306000-307000"/>
          <s v="307000-308000"/>
          <s v="308000-309000"/>
          <s v="309000-310000"/>
          <s v="310000-311000"/>
          <s v="311000-312000"/>
          <s v="312000-313000"/>
          <s v="313000-314000"/>
          <s v="314000-315000"/>
          <s v="315000-316000"/>
          <s v="316000-317000"/>
          <s v="317000-318000"/>
          <s v="318000-319000"/>
          <s v="319000-320000"/>
          <s v="320000-321000"/>
          <s v="321000-322000"/>
          <s v="322000-323000"/>
          <s v="323000-324000"/>
          <s v="324000-325000"/>
          <s v="325000-326000"/>
          <s v="326000-327000"/>
          <s v="327000-328000"/>
          <s v="328000-329000"/>
          <s v="329000-330000"/>
          <s v="330000-331000"/>
          <s v="331000-332000"/>
          <s v="332000-333000"/>
          <s v="333000-334000"/>
          <s v="334000-335000"/>
          <s v="335000-336000"/>
          <s v="336000-337000"/>
          <s v="337000-338000"/>
          <s v="338000-339000"/>
          <s v="339000-340000"/>
          <s v="340000-341000"/>
          <s v="341000-342000"/>
          <s v="342000-343000"/>
          <s v="343000-344000"/>
          <s v="344000-345000"/>
          <s v="345000-346000"/>
          <s v="346000-347000"/>
          <s v="347000-348000"/>
          <s v="348000-349000"/>
          <s v="349000-350000"/>
          <s v="350000-351000"/>
          <s v="351000-352000"/>
          <s v="352000-353000"/>
          <s v="353000-354000"/>
          <s v="354000-355000"/>
          <s v="355000-356000"/>
          <s v="356000-357000"/>
          <s v="357000-358000"/>
          <s v="358000-359000"/>
          <s v="359000-360000"/>
          <s v="360000-361000"/>
          <s v="361000-362000"/>
          <s v="362000-363000"/>
          <s v="363000-364000"/>
          <s v="364000-365000"/>
          <s v="365000-366000"/>
          <s v="366000-367000"/>
          <s v="367000-368000"/>
          <s v="368000-369000"/>
          <s v="369000-370000"/>
          <s v="370000-371000"/>
          <s v="371000-372000"/>
          <s v="372000-373000"/>
          <s v="373000-374000"/>
          <s v="374000-375000"/>
          <s v="375000-376000"/>
          <s v="376000-377000"/>
          <s v="377000-378000"/>
          <s v="378000-379000"/>
          <s v="379000-380000"/>
          <s v="380000-381000"/>
          <s v="381000-382000"/>
          <s v="382000-383000"/>
          <s v="383000-384000"/>
          <s v="384000-385000"/>
          <s v="385000-386000"/>
          <s v="386000-387000"/>
          <s v="387000-388000"/>
          <s v="388000-389000"/>
          <s v="389000-390000"/>
          <s v="390000-391000"/>
          <s v="391000-392000"/>
          <s v="392000-393000"/>
          <s v="393000-394000"/>
          <s v="394000-395000"/>
          <s v="395000-396000"/>
          <s v="396000-397000"/>
          <s v="397000-398000"/>
          <s v="398000-399000"/>
          <s v="399000-400000"/>
          <s v="400000-401000"/>
          <s v="401000-402000"/>
          <s v="402000-403000"/>
          <s v="403000-404000"/>
          <s v="404000-405000"/>
          <s v="405000-406000"/>
          <s v="406000-407000"/>
          <s v="407000-408000"/>
          <s v="408000-409000"/>
          <s v="409000-410000"/>
          <s v="410000-411000"/>
          <s v="411000-412000"/>
          <s v="412000-413000"/>
          <s v="413000-414000"/>
          <s v="414000-415000"/>
          <s v="415000-416000"/>
          <s v="416000-417000"/>
          <s v="417000-418000"/>
          <s v="418000-419000"/>
          <s v="419000-420000"/>
          <s v="420000-421000"/>
          <s v="421000-422000"/>
          <s v="422000-423000"/>
          <s v="423000-424000"/>
          <s v="424000-425000"/>
          <s v="425000-426000"/>
          <s v="426000-427000"/>
          <s v="427000-428000"/>
          <s v="428000-429000"/>
          <s v="429000-430000"/>
          <s v="430000-431000"/>
          <s v="431000-432000"/>
          <s v="432000-433000"/>
          <s v="433000-434000"/>
          <s v="434000-435000"/>
          <s v="435000-436000"/>
          <s v="436000-437000"/>
          <s v="437000-438000"/>
          <s v="438000-439000"/>
          <s v="439000-440000"/>
          <s v="440000-441000"/>
          <s v="441000-442000"/>
          <s v="442000-443000"/>
          <s v="443000-444000"/>
          <s v="444000-445000"/>
          <s v="445000-446000"/>
          <s v="446000-447000"/>
          <s v="447000-448000"/>
          <s v="448000-449000"/>
          <s v="449000-450000"/>
          <s v="450000-451000"/>
          <s v="451000-452000"/>
          <s v="452000-453000"/>
          <s v="453000-454000"/>
          <s v="454000-455000"/>
          <s v="455000-456000"/>
          <s v="456000-457000"/>
          <s v="457000-458000"/>
          <s v="458000-459000"/>
          <s v="459000-460000"/>
          <s v="460000-461000"/>
          <s v="461000-462000"/>
          <s v="462000-463000"/>
          <s v="463000-464000"/>
          <s v="464000-465000"/>
          <s v="465000-466000"/>
          <s v="466000-467000"/>
          <s v="467000-468000"/>
          <s v="468000-469000"/>
          <s v="469000-470000"/>
          <s v="470000-471000"/>
          <s v="471000-472000"/>
          <s v="472000-473000"/>
          <s v="473000-474000"/>
          <s v="474000-475000"/>
          <s v="475000-476000"/>
          <s v="476000-477000"/>
          <s v="477000-478000"/>
          <s v="478000-479000"/>
          <s v="479000-480000"/>
          <s v="480000-481000"/>
          <s v="481000-482000"/>
          <s v="482000-483000"/>
          <s v="483000-484000"/>
          <s v="484000-485000"/>
          <s v="485000-486000"/>
          <s v="486000-487000"/>
          <s v="487000-488000"/>
          <s v="488000-489000"/>
          <s v="489000-490000"/>
          <s v="490000-491000"/>
          <s v="491000-492000"/>
          <s v="492000-493000"/>
          <s v="493000-494000"/>
          <s v="494000-495000"/>
          <s v="495000-496000"/>
          <s v="496000-497000"/>
          <s v="497000-498000"/>
          <s v="498000-499000"/>
          <s v="499000-500000"/>
          <s v="500000-501000"/>
          <s v="501000-502000"/>
          <s v="502000-503000"/>
          <s v="503000-504000"/>
          <s v="504000-505000"/>
          <s v="505000-506000"/>
          <s v="506000-507000"/>
          <s v="507000-508000"/>
          <s v="508000-509000"/>
          <s v="509000-510000"/>
          <s v="510000-511000"/>
          <s v="511000-512000"/>
          <s v="512000-513000"/>
          <s v="513000-514000"/>
          <s v="514000-515000"/>
          <s v="515000-516000"/>
          <s v="516000-517000"/>
          <s v="517000-518000"/>
          <s v="518000-519000"/>
          <s v="519000-520000"/>
          <s v="520000-521000"/>
          <s v="521000-522000"/>
          <s v="522000-523000"/>
          <s v="523000-524000"/>
          <s v="524000-525000"/>
          <s v="525000-526000"/>
          <s v="526000-527000"/>
          <s v="527000-528000"/>
          <s v="528000-529000"/>
          <s v="529000-530000"/>
          <s v="530000-531000"/>
          <s v="531000-532000"/>
          <s v="532000-533000"/>
          <s v="533000-534000"/>
          <s v="534000-535000"/>
          <s v="535000-536000"/>
          <s v="536000-537000"/>
          <s v="537000-538000"/>
          <s v="538000-539000"/>
          <s v="539000-540000"/>
          <s v="540000-541000"/>
          <s v="541000-542000"/>
          <s v="542000-543000"/>
          <s v="543000-544000"/>
          <s v="544000-545000"/>
          <s v="545000-546000"/>
          <s v="546000-547000"/>
          <s v="547000-548000"/>
          <s v="548000-549000"/>
          <s v="549000-550000"/>
          <s v="550000-551000"/>
          <s v="551000-552000"/>
          <s v="552000-553000"/>
          <s v="553000-554000"/>
          <s v="554000-555000"/>
          <s v="555000-556000"/>
          <s v="556000-557000"/>
          <s v="557000-558000"/>
          <s v="558000-559000"/>
          <s v="559000-560000"/>
          <s v="560000-561000"/>
          <s v="561000-562000"/>
          <s v="562000-563000"/>
          <s v="563000-564000"/>
          <s v="564000-565000"/>
          <s v="565000-566000"/>
          <s v="566000-567000"/>
          <s v="567000-568000"/>
          <s v="568000-569000"/>
          <s v="569000-570000"/>
          <s v="570000-571000"/>
          <s v="571000-572000"/>
          <s v="572000-573000"/>
          <s v="573000-574000"/>
          <s v="574000-575000"/>
          <s v="575000-576000"/>
          <s v="576000-577000"/>
          <s v="577000-578000"/>
          <s v="578000-579000"/>
          <s v="579000-580000"/>
          <s v="580000-581000"/>
          <s v="581000-582000"/>
          <s v="582000-583000"/>
          <s v="583000-584000"/>
          <s v="584000-585000"/>
          <s v="585000-586000"/>
          <s v="586000-587000"/>
          <s v="587000-588000"/>
          <s v="588000-589000"/>
          <s v="589000-590000"/>
          <s v="590000-591000"/>
          <s v="591000-592000"/>
          <s v="592000-593000"/>
          <s v="593000-594000"/>
          <s v="594000-595000"/>
          <s v="595000-596000"/>
          <s v="596000-597000"/>
          <s v="597000-598000"/>
          <s v="598000-599000"/>
          <s v="599000-600000"/>
          <s v="600000-601000"/>
          <s v="601000-602000"/>
          <s v="602000-603000"/>
          <s v="603000-604000"/>
          <s v="604000-605000"/>
          <s v="605000-606000"/>
          <s v="606000-607000"/>
          <s v="607000-608000"/>
          <s v="608000-609000"/>
          <s v="609000-610000"/>
          <s v="610000-611000"/>
          <s v="611000-612000"/>
          <s v="612000-613000"/>
          <s v="613000-614000"/>
          <s v="614000-615000"/>
          <s v="615000-616000"/>
          <s v="616000-617000"/>
          <s v="617000-618000"/>
          <s v="618000-619000"/>
          <s v="619000-620000"/>
          <s v="620000-621000"/>
          <s v="621000-622000"/>
          <s v="622000-623000"/>
          <s v="623000-624000"/>
          <s v="624000-625000"/>
          <s v="625000-626000"/>
          <s v="626000-627000"/>
          <s v="627000-628000"/>
          <s v="628000-629000"/>
          <s v="629000-630000"/>
          <s v="630000-631000"/>
          <s v="631000-632000"/>
          <s v="632000-633000"/>
          <s v="633000-634000"/>
          <s v="634000-635000"/>
          <s v="635000-636000"/>
          <s v="636000-637000"/>
          <s v="637000-638000"/>
          <s v="638000-639000"/>
          <s v="639000-640000"/>
          <s v="640000-641000"/>
          <s v="641000-642000"/>
          <s v="642000-643000"/>
          <s v="643000-644000"/>
          <s v="644000-645000"/>
          <s v="645000-646000"/>
          <s v="646000-647000"/>
          <s v="647000-648000"/>
          <s v="648000-649000"/>
          <s v="649000-650000"/>
          <s v="650000-651000"/>
          <s v="651000-652000"/>
          <s v="652000-653000"/>
          <s v="653000-654000"/>
          <s v="654000-655000"/>
          <s v="655000-656000"/>
          <s v="656000-657000"/>
          <s v="657000-658000"/>
          <s v="658000-659000"/>
          <s v="659000-660000"/>
          <s v="660000-661000"/>
          <s v="661000-662000"/>
          <s v="662000-663000"/>
          <s v="663000-664000"/>
          <s v="664000-665000"/>
          <s v="665000-666000"/>
          <s v="666000-667000"/>
          <s v="667000-668000"/>
          <s v="668000-669000"/>
          <s v="669000-670000"/>
          <s v="670000-671000"/>
          <s v="671000-672000"/>
          <s v="672000-673000"/>
          <s v="673000-674000"/>
          <s v="674000-675000"/>
          <s v="675000-676000"/>
          <s v="676000-677000"/>
          <s v="677000-678000"/>
          <s v="678000-679000"/>
          <s v="679000-680000"/>
          <s v="680000-681000"/>
          <s v="681000-682000"/>
          <s v="682000-683000"/>
          <s v="683000-684000"/>
          <s v="684000-685000"/>
          <s v="685000-686000"/>
          <s v="686000-687000"/>
          <s v="687000-688000"/>
          <s v="688000-689000"/>
          <s v="689000-690000"/>
          <s v="690000-691000"/>
          <s v="691000-692000"/>
          <s v="692000-693000"/>
          <s v="693000-694000"/>
          <s v="694000-695000"/>
          <s v="695000-696000"/>
          <s v="696000-697000"/>
          <s v="697000-698000"/>
          <s v="698000-699000"/>
          <s v="699000-700000"/>
          <s v="700000-701000"/>
          <s v="701000-702000"/>
          <s v="702000-703000"/>
          <s v="703000-704000"/>
          <s v="704000-705000"/>
          <s v="705000-706000"/>
          <s v="706000-707000"/>
          <s v="707000-708000"/>
          <s v="708000-709000"/>
          <s v="709000-710000"/>
          <s v="710000-711000"/>
          <s v="711000-712000"/>
          <s v="712000-713000"/>
          <s v="713000-714000"/>
          <s v="714000-715000"/>
          <s v="715000-716000"/>
          <s v="716000-717000"/>
          <s v="717000-718000"/>
          <s v="718000-719000"/>
          <s v="719000-720000"/>
          <s v="720000-721000"/>
          <s v="721000-722000"/>
          <s v="722000-723000"/>
          <s v="723000-724000"/>
          <s v="724000-725000"/>
          <s v="725000-726000"/>
          <s v="726000-727000"/>
          <s v="727000-728000"/>
          <s v="728000-729000"/>
          <s v="729000-730000"/>
          <s v="730000-731000"/>
          <s v="731000-732000"/>
          <s v="732000-733000"/>
          <s v="733000-734000"/>
          <s v="734000-735000"/>
          <s v="735000-736000"/>
          <s v="736000-737000"/>
          <s v="737000-738000"/>
          <s v="738000-739000"/>
          <s v="739000-740000"/>
          <s v="740000-741000"/>
          <s v="741000-742000"/>
          <s v="742000-743000"/>
          <s v="743000-744000"/>
          <s v="744000-745000"/>
          <s v="745000-746000"/>
          <s v="746000-747000"/>
          <s v="747000-748000"/>
          <s v="748000-749000"/>
          <s v="749000-750000"/>
          <s v="750000-751000"/>
          <s v="751000-752000"/>
          <s v="752000-753000"/>
          <s v="753000-754000"/>
          <s v="754000-755000"/>
          <s v="755000-756000"/>
          <s v="756000-757000"/>
          <s v="757000-758000"/>
          <s v="758000-759000"/>
          <s v="759000-760000"/>
          <s v="760000-761000"/>
          <s v="761000-762000"/>
          <s v="762000-763000"/>
          <s v="763000-764000"/>
          <s v="764000-765000"/>
          <s v="765000-766000"/>
          <s v="766000-767000"/>
          <s v="767000-768000"/>
          <s v="768000-769000"/>
          <s v="769000-770000"/>
          <s v="770000-771000"/>
          <s v="771000-772000"/>
          <s v="772000-773000"/>
          <s v="773000-774000"/>
          <s v="774000-775000"/>
          <s v="775000-776000"/>
          <s v="776000-777000"/>
          <s v="777000-778000"/>
          <s v="778000-779000"/>
          <s v="779000-780000"/>
          <s v="780000-781000"/>
          <s v="781000-782000"/>
          <s v="782000-783000"/>
          <s v="783000-784000"/>
          <s v="784000-785000"/>
          <s v="785000-786000"/>
          <s v="786000-787000"/>
          <s v="787000-788000"/>
          <s v="788000-789000"/>
          <s v="789000-790000"/>
          <s v="790000-791000"/>
          <s v="791000-792000"/>
          <s v="792000-793000"/>
          <s v="793000-794000"/>
          <s v="794000-795000"/>
          <s v="795000-796000"/>
          <s v="796000-797000"/>
          <s v="797000-798000"/>
          <s v="798000-799000"/>
          <s v="799000-800000"/>
          <s v="800000-801000"/>
          <s v="801000-802000"/>
          <s v="802000-803000"/>
          <s v="803000-804000"/>
          <s v="804000-805000"/>
          <s v="805000-806000"/>
          <s v="806000-807000"/>
          <s v="807000-808000"/>
          <s v="808000-809000"/>
          <s v="809000-810000"/>
          <s v="810000-811000"/>
          <s v="811000-812000"/>
          <s v="812000-813000"/>
          <s v="813000-814000"/>
          <s v="814000-815000"/>
          <s v="815000-816000"/>
          <s v="816000-817000"/>
          <s v="817000-818000"/>
          <s v="818000-819000"/>
          <s v="819000-820000"/>
          <s v="820000-821000"/>
          <s v="821000-822000"/>
          <s v="822000-823000"/>
          <s v="823000-824000"/>
          <s v="824000-825000"/>
          <s v="825000-826000"/>
          <s v="826000-827000"/>
          <s v="827000-828000"/>
          <s v="828000-829000"/>
          <s v="829000-830000"/>
          <s v="830000-831000"/>
          <s v="831000-832000"/>
          <s v="832000-833000"/>
          <s v="833000-834000"/>
          <s v="834000-835000"/>
          <s v="835000-836000"/>
          <s v="836000-837000"/>
          <s v="837000-838000"/>
          <s v="838000-839000"/>
          <s v="839000-840000"/>
          <s v="840000-841000"/>
          <s v="841000-842000"/>
          <s v="842000-843000"/>
          <s v="843000-844000"/>
          <s v="844000-845000"/>
          <s v="845000-846000"/>
          <s v="846000-847000"/>
          <s v="847000-848000"/>
          <s v="848000-849000"/>
          <s v="849000-850000"/>
          <s v="850000-851000"/>
          <s v="851000-852000"/>
          <s v="852000-853000"/>
          <s v="853000-854000"/>
          <s v="854000-855000"/>
          <s v="855000-856000"/>
          <s v="856000-857000"/>
          <s v="857000-858000"/>
          <s v="858000-859000"/>
          <s v="859000-860000"/>
          <s v="860000-861000"/>
          <s v="861000-862000"/>
          <s v="862000-863000"/>
          <s v="863000-864000"/>
          <s v="864000-865000"/>
          <s v="865000-866000"/>
          <s v="866000-867000"/>
          <s v="867000-868000"/>
          <s v="868000-869000"/>
          <s v="869000-870000"/>
          <s v="870000-871000"/>
          <s v="871000-872000"/>
          <s v="872000-873000"/>
          <s v="873000-874000"/>
          <s v="874000-875000"/>
          <s v="875000-876000"/>
          <s v="876000-877000"/>
          <s v="877000-878000"/>
          <s v="878000-879000"/>
          <s v="879000-880000"/>
          <s v="880000-881000"/>
          <s v="881000-882000"/>
          <s v="882000-883000"/>
          <s v="883000-884000"/>
          <s v="884000-885000"/>
          <s v="885000-886000"/>
          <s v="886000-887000"/>
          <s v="887000-888000"/>
          <s v="888000-889000"/>
          <s v="889000-890000"/>
          <s v="890000-891000"/>
          <s v="891000-892000"/>
          <s v="892000-893000"/>
          <s v="893000-894000"/>
          <s v="894000-895000"/>
          <s v="895000-896000"/>
          <s v="896000-897000"/>
          <s v="897000-898000"/>
          <s v="898000-899000"/>
          <s v="899000-900000"/>
          <s v="900000-901000"/>
          <s v="901000-902000"/>
          <s v="902000-903000"/>
          <s v="903000-904000"/>
          <s v="904000-905000"/>
          <s v="905000-906000"/>
          <s v="906000-907000"/>
          <s v="907000-908000"/>
          <s v="908000-909000"/>
          <s v="909000-910000"/>
          <s v="910000-911000"/>
          <s v="911000-912000"/>
          <s v="912000-913000"/>
          <s v="913000-914000"/>
          <s v="914000-915000"/>
          <s v="915000-916000"/>
          <s v="916000-917000"/>
          <s v="917000-918000"/>
          <s v="918000-919000"/>
          <s v="919000-920000"/>
          <s v="920000-921000"/>
          <s v="921000-922000"/>
          <s v="922000-923000"/>
          <s v="923000-924000"/>
          <s v="924000-925000"/>
          <s v="925000-926000"/>
          <s v="926000-927000"/>
          <s v="927000-928000"/>
          <s v="928000-929000"/>
          <s v="929000-930000"/>
          <s v="930000-931000"/>
          <s v="931000-932000"/>
          <s v="932000-933000"/>
          <s v="933000-934000"/>
          <s v="934000-935000"/>
          <s v="935000-936000"/>
          <s v="936000-937000"/>
          <s v="937000-938000"/>
          <s v="938000-939000"/>
          <s v="939000-940000"/>
          <s v="940000-941000"/>
          <s v="941000-942000"/>
          <s v="942000-943000"/>
          <s v="943000-944000"/>
          <s v="944000-945000"/>
          <s v="945000-946000"/>
          <s v="946000-947000"/>
          <s v="947000-948000"/>
          <s v="948000-949000"/>
          <s v="949000-950000"/>
          <s v="950000-951000"/>
          <s v="951000-952000"/>
          <s v="952000-953000"/>
          <s v="953000-954000"/>
          <s v="954000-955000"/>
          <s v="955000-956000"/>
          <s v="956000-957000"/>
          <s v="957000-958000"/>
          <s v="958000-959000"/>
          <s v="959000-960000"/>
          <s v="960000-961000"/>
          <s v="961000-962000"/>
          <s v="962000-963000"/>
          <s v="963000-964000"/>
          <s v="964000-965000"/>
          <s v="965000-966000"/>
          <s v="966000-967000"/>
          <s v="967000-968000"/>
          <s v="968000-969000"/>
          <s v="969000-970000"/>
          <s v="970000-971000"/>
          <s v="971000-972000"/>
          <s v="972000-973000"/>
          <s v="973000-974000"/>
          <s v="974000-975000"/>
          <s v="975000-976000"/>
          <s v="976000-977000"/>
          <s v="977000-978000"/>
          <s v="978000-979000"/>
          <s v="979000-980000"/>
          <s v="980000-981000"/>
          <s v="981000-982000"/>
          <s v="982000-983000"/>
          <s v="983000-984000"/>
          <s v="984000-985000"/>
          <s v="985000-986000"/>
          <s v="986000-987000"/>
          <s v="987000-988000"/>
          <s v="988000-989000"/>
          <s v="989000-990000"/>
          <s v="990000-991000"/>
          <s v="991000-992000"/>
          <s v="992000-993000"/>
          <s v="993000-994000"/>
          <s v="994000-995000"/>
          <s v="995000-996000"/>
          <s v="996000-997000"/>
          <s v="997000-998000"/>
          <s v="998000-999000"/>
          <s v="999000-1000000"/>
          <s v="1000000-1001000"/>
          <s v="1001000-1002000"/>
          <s v="1002000-1003000"/>
          <s v="1003000-1004000"/>
          <s v="1004000-1005000"/>
          <s v="1005000-1006000"/>
          <s v="1006000-1007000"/>
          <s v="1007000-1008000"/>
          <s v="1008000-1009000"/>
          <s v="1009000-1010000"/>
          <s v="1010000-1011000"/>
          <s v="1011000-1012000"/>
          <s v="1012000-1013000"/>
          <s v="1013000-1014000"/>
          <s v="1014000-1015000"/>
          <s v="1015000-1016000"/>
          <s v="1016000-1017000"/>
          <s v="1017000-1018000"/>
          <s v="1018000-1019000"/>
          <s v="1019000-1020000"/>
          <s v="1020000-1021000"/>
          <s v="1021000-1022000"/>
          <s v="1022000-1023000"/>
          <s v="1023000-1024000"/>
          <s v="1024000-1025000"/>
          <s v="1025000-1026000"/>
          <s v="1026000-1027000"/>
          <s v="1027000-1028000"/>
          <s v="1028000-1029000"/>
          <s v="1029000-1030000"/>
          <s v="1030000-1031000"/>
          <s v="1031000-1032000"/>
          <s v="1032000-1033000"/>
          <s v="1033000-1034000"/>
          <s v="1034000-1035000"/>
          <s v="1035000-1036000"/>
          <s v="1036000-1037000"/>
          <s v="1037000-1038000"/>
          <s v="1038000-1039000"/>
          <s v="1039000-1040000"/>
          <s v="1040000-1041000"/>
          <s v="1041000-1042000"/>
          <s v="1042000-1043000"/>
          <s v="1043000-1044000"/>
          <s v="1044000-1045000"/>
          <s v="1045000-1046000"/>
          <s v="1046000-1047000"/>
          <s v="1047000-1048000"/>
          <s v="1048000-1049000"/>
          <s v="1049000-1050000"/>
          <s v="1050000-1051000"/>
          <s v="1051000-1052000"/>
          <s v="1052000-1053000"/>
          <s v="1053000-1054000"/>
          <s v="1054000-1055000"/>
          <s v="1055000-1056000"/>
          <s v="1056000-1057000"/>
          <s v="1057000-1058000"/>
          <s v="1058000-1059000"/>
          <s v="1059000-1060000"/>
          <s v="1060000-1061000"/>
          <s v="1061000-1062000"/>
          <s v="1062000-1063000"/>
          <s v="1063000-1064000"/>
          <s v="1064000-1065000"/>
          <s v="1065000-1066000"/>
          <s v="1066000-1067000"/>
          <s v="1067000-1068000"/>
          <s v="1068000-1069000"/>
          <s v="1069000-1070000"/>
          <s v="1070000-1071000"/>
          <s v="1071000-1072000"/>
          <s v="1072000-1073000"/>
          <s v="1073000-1074000"/>
          <s v="1074000-1075000"/>
          <s v="1075000-1076000"/>
          <s v="1076000-1077000"/>
          <s v="1077000-1078000"/>
          <s v="1078000-1079000"/>
          <s v="1079000-1080000"/>
          <s v="1080000-1081000"/>
          <s v="1081000-1082000"/>
          <s v="1082000-1083000"/>
          <s v="1083000-1084000"/>
          <s v="1084000-1085000"/>
          <s v="1085000-1086000"/>
          <s v="1086000-1087000"/>
          <s v="1087000-1088000"/>
          <s v="1088000-1089000"/>
          <s v="1089000-1090000"/>
          <s v="1090000-1091000"/>
          <s v="1091000-1092000"/>
          <s v="1092000-1093000"/>
          <s v="1093000-1094000"/>
          <s v="1094000-1095000"/>
          <s v="1095000-1096000"/>
          <s v="1096000-1097000"/>
          <s v="1097000-1098000"/>
          <s v="1098000-1099000"/>
          <s v="1099000-1100000"/>
          <s v="1100000-1101000"/>
          <s v="1101000-1102000"/>
          <s v="1102000-1103000"/>
          <s v="1103000-1104000"/>
          <s v="1104000-1105000"/>
          <s v="1105000-1106000"/>
          <s v="1106000-1107000"/>
          <s v="1107000-1108000"/>
          <s v="1108000-1109000"/>
          <s v="1109000-1110000"/>
          <s v="1110000-1111000"/>
          <s v="1111000-1112000"/>
          <s v="1112000-1113000"/>
          <s v="1113000-1114000"/>
          <s v="1114000-1115000"/>
          <s v="1115000-1116000"/>
          <s v="1116000-1117000"/>
          <s v="1117000-1118000"/>
          <s v="1118000-1119000"/>
          <s v="1119000-1120000"/>
          <s v="1120000-1121000"/>
          <s v="1121000-1122000"/>
          <s v="1122000-1123000"/>
          <s v="1123000-1124000"/>
          <s v="1124000-1125000"/>
          <s v="1125000-1126000"/>
          <s v="1126000-1127000"/>
          <s v="1127000-1128000"/>
          <s v="1128000-1129000"/>
          <s v="1129000-1130000"/>
          <s v="1130000-1131000"/>
          <s v="1131000-1132000"/>
          <s v="1132000-1133000"/>
          <s v="1133000-1134000"/>
          <s v="1134000-1135000"/>
          <s v="1135000-1136000"/>
          <s v="1136000-1137000"/>
          <s v="1137000-1138000"/>
          <s v="1138000-1139000"/>
          <s v="1139000-1140000"/>
          <s v="1140000-1141000"/>
          <s v="1141000-1142000"/>
          <s v="1142000-1143000"/>
          <s v="1143000-1144000"/>
          <s v="1144000-1145000"/>
          <s v="1145000-1146000"/>
          <s v="1146000-1147000"/>
          <s v="1147000-1148000"/>
          <s v="1148000-1149000"/>
          <s v="1149000-1150000"/>
          <s v="1150000-1151000"/>
          <s v="1151000-1152000"/>
          <s v="1152000-1153000"/>
          <s v="1153000-1154000"/>
          <s v="1154000-1155000"/>
          <s v="1155000-1156000"/>
          <s v="1156000-1157000"/>
          <s v="1157000-1158000"/>
          <s v="1158000-1159000"/>
          <s v="1159000-1160000"/>
          <s v="1160000-1161000"/>
          <s v="1161000-1162000"/>
          <s v="1162000-1163000"/>
          <s v="1163000-1164000"/>
          <s v="1164000-1165000"/>
          <s v="1165000-1166000"/>
          <s v="1166000-1167000"/>
          <s v="1167000-1168000"/>
          <s v="1168000-1169000"/>
          <s v="1169000-1170000"/>
          <s v="1170000-1171000"/>
          <s v="1171000-1172000"/>
          <s v="1172000-1173000"/>
          <s v="1173000-1174000"/>
          <s v="1174000-1175000"/>
          <s v="1175000-1176000"/>
          <s v="1176000-1177000"/>
          <s v="1177000-1178000"/>
          <s v="1178000-1179000"/>
          <s v="1179000-1180000"/>
          <s v="1180000-1181000"/>
          <s v="1181000-1182000"/>
          <s v="1182000-1183000"/>
          <s v="1183000-1184000"/>
          <s v="1184000-1185000"/>
          <s v="1185000-1186000"/>
          <s v="1186000-1187000"/>
          <s v="1187000-1188000"/>
          <s v="1188000-1189000"/>
          <s v="1189000-1190000"/>
          <s v="1190000-1191000"/>
          <s v="1191000-1192000"/>
          <s v="1192000-1193000"/>
          <s v="1193000-1194000"/>
          <s v="1194000-1195000"/>
          <s v="1195000-1196000"/>
          <s v="1196000-1197000"/>
          <s v="1197000-1198000"/>
          <s v="1198000-1199000"/>
          <s v="1199000-1200000"/>
          <s v="1200000-1201000"/>
          <s v="1201000-1202000"/>
          <s v="1202000-1203000"/>
          <s v="1203000-1204000"/>
          <s v="1204000-1205000"/>
          <s v="1205000-1206000"/>
          <s v="1206000-1207000"/>
          <s v="1207000-1208000"/>
          <s v="1208000-1209000"/>
          <s v="1209000-1210000"/>
          <s v="1210000-1211000"/>
          <s v="1211000-1212000"/>
          <s v="1212000-1213000"/>
          <s v="1213000-1214000"/>
          <s v="1214000-1215000"/>
          <s v="1215000-1216000"/>
          <s v="1216000-1217000"/>
          <s v="1217000-1218000"/>
          <s v="1218000-1219000"/>
          <s v="1219000-1220000"/>
          <s v="1220000-1221000"/>
          <s v="1221000-1222000"/>
          <s v="1222000-1223000"/>
          <s v="1223000-1224000"/>
          <s v="1224000-1225000"/>
          <s v="1225000-1226000"/>
          <s v="1226000-1227000"/>
          <s v="1227000-1228000"/>
          <s v="1228000-1229000"/>
          <s v="1229000-1230000"/>
          <s v="1230000-1231000"/>
          <s v="1231000-1232000"/>
          <s v="1232000-1233000"/>
          <s v="1233000-1234000"/>
          <s v="1234000-1235000"/>
          <s v="1235000-1236000"/>
          <s v="1236000-1237000"/>
          <s v="1237000-1238000"/>
          <s v="1238000-1239000"/>
          <s v="1239000-1240000"/>
          <s v="1240000-1241000"/>
          <s v="1241000-1242000"/>
          <s v="1242000-1243000"/>
          <s v="1243000-1244000"/>
          <s v="1244000-1245000"/>
          <s v="1245000-1246000"/>
          <s v="1246000-1247000"/>
          <s v="1247000-1248000"/>
          <s v="1248000-1249000"/>
          <s v="1249000-1250000"/>
          <s v="1250000-1251000"/>
          <s v="1251000-1252000"/>
          <s v="1252000-1253000"/>
          <s v="1253000-1254000"/>
          <s v="1254000-1255000"/>
          <s v="1255000-1256000"/>
          <s v="1256000-1257000"/>
          <s v="1257000-1258000"/>
          <s v="1258000-1259000"/>
          <s v="1259000-1260000"/>
          <s v="1260000-1261000"/>
          <s v="1261000-1262000"/>
          <s v="1262000-1263000"/>
          <s v="1263000-1264000"/>
          <s v="1264000-1265000"/>
          <s v="1265000-1266000"/>
          <s v="1266000-1267000"/>
          <s v="1267000-1268000"/>
          <s v="1268000-1269000"/>
          <s v="1269000-1270000"/>
          <s v="1270000-1271000"/>
          <s v="1271000-1272000"/>
          <s v="1272000-1273000"/>
          <s v="1273000-1274000"/>
          <s v="1274000-1275000"/>
          <s v="1275000-1276000"/>
          <s v="1276000-1277000"/>
          <s v="1277000-1278000"/>
          <s v="1278000-1279000"/>
          <s v="1279000-1280000"/>
          <s v="1280000-1281000"/>
          <s v="1281000-1282000"/>
          <s v="1282000-1283000"/>
          <s v="1283000-1284000"/>
          <s v="1284000-1285000"/>
          <s v="1285000-1286000"/>
          <s v="1286000-1287000"/>
          <s v="1287000-1288000"/>
          <s v="1288000-1289000"/>
          <s v="1289000-1290000"/>
          <s v="1290000-1291000"/>
          <s v="1291000-1292000"/>
          <s v="1292000-1293000"/>
          <s v="1293000-1294000"/>
          <s v="1294000-1295000"/>
          <s v="1295000-1296000"/>
          <s v="1296000-1297000"/>
          <s v="1297000-1298000"/>
          <s v="1298000-1299000"/>
          <s v="1299000-1300000"/>
          <s v="1300000-1301000"/>
          <s v="1301000-1302000"/>
          <s v="1302000-1303000"/>
          <s v="1303000-1304000"/>
          <s v="1304000-1305000"/>
          <s v="1305000-1306000"/>
          <s v="1306000-1307000"/>
          <s v="1307000-1308000"/>
          <s v="1308000-1309000"/>
          <s v="1309000-1310000"/>
          <s v="1310000-1311000"/>
          <s v="1311000-1312000"/>
          <s v="1312000-1313000"/>
          <s v="1313000-1314000"/>
          <s v="1314000-1315000"/>
          <s v="1315000-1316000"/>
          <s v="1316000-1317000"/>
          <s v="1317000-1318000"/>
          <s v="1318000-1319000"/>
          <s v="1319000-1320000"/>
          <s v="1320000-1321000"/>
          <s v="1321000-1322000"/>
          <s v="1322000-1323000"/>
          <s v="1323000-1324000"/>
          <s v="1324000-1325000"/>
          <s v="1325000-1326000"/>
          <s v="1326000-1327000"/>
          <s v="1327000-1328000"/>
          <s v="1328000-1329000"/>
          <s v="1329000-1330000"/>
          <s v="1330000-1331000"/>
          <s v="1331000-1332000"/>
          <s v="1332000-1333000"/>
          <s v="1333000-1334000"/>
          <s v="1334000-1335000"/>
          <s v="1335000-1336000"/>
          <s v="1336000-1337000"/>
          <s v="1337000-1338000"/>
          <s v="1338000-1339000"/>
          <s v="1339000-1340000"/>
          <s v="1340000-1341000"/>
          <s v="1341000-1342000"/>
          <s v="1342000-1343000"/>
          <s v="1343000-1344000"/>
          <s v="1344000-1345000"/>
          <s v="1345000-1346000"/>
          <s v="1346000-1347000"/>
          <s v="1347000-1348000"/>
          <s v="1348000-1349000"/>
          <s v="1349000-1350000"/>
          <s v="1350000-1351000"/>
          <s v="1351000-1352000"/>
          <s v="1352000-1353000"/>
          <s v="1353000-1354000"/>
          <s v="1354000-1355000"/>
          <s v="1355000-1356000"/>
          <s v="1356000-1357000"/>
          <s v="1357000-1358000"/>
          <s v="1358000-1359000"/>
          <s v="1359000-1360000"/>
          <s v="1360000-1361000"/>
          <s v="1361000-1362000"/>
          <s v="1362000-1363000"/>
          <s v="1363000-1364000"/>
          <s v="1364000-1365000"/>
          <s v="1365000-1366000"/>
          <s v="1366000-1367000"/>
          <s v="1367000-1368000"/>
          <s v="1368000-1369000"/>
          <s v="1369000-1370000"/>
          <s v="1370000-1371000"/>
          <s v="1371000-1372000"/>
          <s v="1372000-1373000"/>
          <s v="1373000-1374000"/>
          <s v="1374000-1375000"/>
          <s v="1375000-1376000"/>
          <s v="1376000-1377000"/>
          <s v="1377000-1378000"/>
          <s v="1378000-1379000"/>
          <s v="1379000-1380000"/>
          <s v="1380000-1381000"/>
          <s v="1381000-1382000"/>
          <s v="1382000-1383000"/>
          <s v="1383000-1384000"/>
          <s v="1384000-1385000"/>
          <s v="1385000-1386000"/>
          <s v="1386000-1387000"/>
          <s v="1387000-1388000"/>
          <s v="1388000-1389000"/>
          <s v="1389000-1390000"/>
          <s v="1390000-1391000"/>
          <s v="1391000-1392000"/>
          <s v="1392000-1393000"/>
          <s v="1393000-1394000"/>
          <s v="1394000-1395000"/>
          <s v="1395000-1396000"/>
          <s v="1396000-1397000"/>
          <s v="1397000-1398000"/>
          <s v="1398000-1399000"/>
          <s v="1399000-1400000"/>
          <s v="1400000-1401000"/>
          <s v="1401000-1402000"/>
          <s v="1402000-1403000"/>
          <s v="1403000-1404000"/>
          <s v="1404000-1405000"/>
          <s v="1405000-1406000"/>
          <s v="1406000-1407000"/>
          <s v="1407000-1408000"/>
          <s v="1408000-1409000"/>
          <s v="1409000-1410000"/>
          <s v="1410000-1411000"/>
          <s v="1411000-1412000"/>
          <s v="1412000-1413000"/>
          <s v="1413000-1414000"/>
          <s v="1414000-1415000"/>
          <s v="1415000-1416000"/>
          <s v="1416000-1417000"/>
          <s v="1417000-1418000"/>
          <s v="1418000-1419000"/>
          <s v="1419000-1420000"/>
          <s v="1420000-1421000"/>
          <s v="1421000-1422000"/>
          <s v="1422000-1423000"/>
          <s v="1423000-1424000"/>
          <s v="1424000-1425000"/>
          <s v="1425000-1426000"/>
          <s v="1426000-1427000"/>
          <s v="1427000-1428000"/>
          <s v="1428000-1429000"/>
          <s v="1429000-1430000"/>
          <s v="1430000-1431000"/>
          <s v="1431000-1432000"/>
          <s v="1432000-1433000"/>
          <s v="1433000-1434000"/>
          <s v="1434000-1435000"/>
          <s v="1435000-1436000"/>
          <s v="1436000-1437000"/>
          <s v="1437000-1438000"/>
          <s v="1438000-1439000"/>
          <s v="1439000-1440000"/>
          <s v="1440000-1441000"/>
          <s v="1441000-1442000"/>
          <s v="1442000-1443000"/>
          <s v="1443000-1444000"/>
          <s v="1444000-1445000"/>
          <s v="1445000-1446000"/>
          <s v="1446000-1447000"/>
          <s v="1447000-1448000"/>
          <s v="1448000-1449000"/>
          <s v="1449000-1450000"/>
          <s v="1450000-1451000"/>
          <s v="1451000-1452000"/>
          <s v="1452000-1453000"/>
          <s v="1453000-1454000"/>
          <s v="1454000-1455000"/>
          <s v="1455000-1456000"/>
          <s v="1456000-1457000"/>
          <s v="1457000-1458000"/>
          <s v="1458000-1459000"/>
          <s v="1459000-1460000"/>
          <s v="1460000-1461000"/>
          <s v="1461000-1462000"/>
          <s v="1462000-1463000"/>
          <s v="1463000-1464000"/>
          <s v="1464000-1465000"/>
          <s v="1465000-1466000"/>
          <s v="1466000-1467000"/>
          <s v="1467000-1468000"/>
          <s v="1468000-1469000"/>
          <s v="1469000-1470000"/>
          <s v="1470000-1471000"/>
          <s v="1471000-1472000"/>
          <s v="1472000-1473000"/>
          <s v="1473000-1474000"/>
          <s v="1474000-1475000"/>
          <s v="1475000-1476000"/>
          <s v="1476000-1477000"/>
          <s v="1477000-1478000"/>
          <s v="1478000-1479000"/>
          <s v="1479000-1480000"/>
          <s v="1480000-1481000"/>
          <s v="1481000-1482000"/>
          <s v="1482000-1483000"/>
          <s v="1483000-1484000"/>
          <s v="1484000-1485000"/>
          <s v="1485000-1486000"/>
          <s v="1486000-1487000"/>
          <s v="1487000-1488000"/>
          <s v="1488000-1489000"/>
          <s v="1489000-1490000"/>
          <s v="1490000-1491000"/>
          <s v="1491000-1492000"/>
          <s v="1492000-1493000"/>
          <s v="1493000-1494000"/>
          <s v="1494000-1495000"/>
          <s v="1495000-1496000"/>
          <s v="1496000-1497000"/>
          <s v="1497000-1498000"/>
          <s v="1498000-1499000"/>
          <s v="1499000-1500000"/>
          <s v="1500000-1501000"/>
          <s v="1501000-1502000"/>
          <s v="1502000-1503000"/>
          <s v="1503000-1504000"/>
          <s v="1504000-1505000"/>
          <s v="1505000-1506000"/>
          <s v="1506000-1507000"/>
          <s v="1507000-1508000"/>
          <s v="1508000-1509000"/>
          <s v="1509000-1510000"/>
          <s v="1510000-1511000"/>
          <s v="1511000-1512000"/>
          <s v="1512000-1513000"/>
          <s v="1513000-1514000"/>
          <s v="1514000-1515000"/>
          <s v="1515000-1516000"/>
          <s v="1516000-1517000"/>
          <s v="1517000-1518000"/>
          <s v="1518000-1519000"/>
          <s v="1519000-1520000"/>
          <s v="1520000-1521000"/>
          <s v="1521000-1522000"/>
          <s v="1522000-1523000"/>
          <s v="1523000-1524000"/>
          <s v="1524000-1525000"/>
          <s v="1525000-1526000"/>
          <s v="1526000-1527000"/>
          <s v="1527000-1528000"/>
          <s v="1528000-1529000"/>
          <s v="1529000-1530000"/>
          <s v="1530000-1531000"/>
          <s v="1531000-1532000"/>
          <s v="1532000-1533000"/>
          <s v="1533000-1534000"/>
          <s v="1534000-1535000"/>
          <s v="1535000-1536000"/>
          <s v="1536000-1537000"/>
          <s v="1537000-1538000"/>
          <s v="1538000-1539000"/>
          <s v="1539000-1540000"/>
          <s v="1540000-1541000"/>
          <s v="1541000-1542000"/>
          <s v="1542000-1543000"/>
          <s v="1543000-1544000"/>
          <s v="1544000-1545000"/>
          <s v="1545000-1546000"/>
          <s v="1546000-1547000"/>
          <s v="1547000-1548000"/>
          <s v="1548000-1549000"/>
          <s v="1549000-1550000"/>
          <s v="1550000-1551000"/>
          <s v="1551000-1552000"/>
          <s v="1552000-1553000"/>
          <s v="1553000-1554000"/>
          <s v="1554000-1555000"/>
          <s v="1555000-1556000"/>
          <s v="1556000-1557000"/>
          <s v="1557000-1558000"/>
          <s v="1558000-1559000"/>
          <s v="1559000-1560000"/>
          <s v="1560000-1561000"/>
          <s v="1561000-1562000"/>
          <s v="1562000-1563000"/>
          <s v="1563000-1564000"/>
          <s v="1564000-1565000"/>
          <s v="1565000-1566000"/>
          <s v="1566000-1567000"/>
          <s v="1567000-1568000"/>
          <s v="1568000-1569000"/>
          <s v="1569000-1570000"/>
          <s v="1570000-1571000"/>
          <s v="1571000-1572000"/>
          <s v="1572000-1573000"/>
          <s v="1573000-1574000"/>
          <s v="1574000-1575000"/>
          <s v="1575000-1576000"/>
          <s v="1576000-1577000"/>
          <s v="1577000-1578000"/>
          <s v="1578000-1579000"/>
          <s v="1579000-1580000"/>
          <s v="1580000-1581000"/>
          <s v="1581000-1582000"/>
          <s v="1582000-1583000"/>
          <s v="1583000-1584000"/>
          <s v="1584000-1585000"/>
          <s v="1585000-1586000"/>
          <s v="1586000-1587000"/>
          <s v="1587000-1588000"/>
          <s v="1588000-1589000"/>
          <s v="1589000-1590000"/>
          <s v="1590000-1591000"/>
          <s v="1591000-1592000"/>
          <s v="1592000-1593000"/>
          <s v="1593000-1594000"/>
          <s v="1594000-1595000"/>
          <s v="1595000-1596000"/>
          <s v="1596000-1597000"/>
          <s v="1597000-1598000"/>
          <s v="1598000-1599000"/>
          <s v="1599000-1600000"/>
          <s v="1600000-1601000"/>
          <s v="1601000-1602000"/>
          <s v="1602000-1603000"/>
          <s v="1603000-1604000"/>
          <s v="1604000-1605000"/>
          <s v="1605000-1606000"/>
          <s v="1606000-1607000"/>
          <s v="1607000-1608000"/>
          <s v="1608000-1609000"/>
          <s v="1609000-1610000"/>
          <s v="1610000-1611000"/>
          <s v="1611000-1612000"/>
          <s v="1612000-1613000"/>
          <s v="1613000-1614000"/>
          <s v="1614000-1615000"/>
          <s v="1615000-1616000"/>
          <s v="1616000-1617000"/>
          <s v="1617000-1618000"/>
          <s v="1618000-1619000"/>
          <s v="1619000-1620000"/>
          <s v="1620000-1621000"/>
          <s v="1621000-1622000"/>
          <s v="1622000-1623000"/>
          <s v="1623000-1624000"/>
          <s v="1624000-1625000"/>
          <s v="1625000-1626000"/>
          <s v="1626000-1627000"/>
          <s v="1627000-1628000"/>
          <s v="1628000-1629000"/>
          <s v="1629000-1630000"/>
          <s v="1630000-1631000"/>
          <s v="1631000-1632000"/>
          <s v="1632000-1633000"/>
          <s v="1633000-1634000"/>
          <s v="1634000-1635000"/>
          <s v="1635000-1636000"/>
          <s v="1636000-1637000"/>
          <s v="1637000-1638000"/>
          <s v="1638000-1639000"/>
          <s v="1639000-1640000"/>
          <s v="1640000-1641000"/>
          <s v="1641000-1642000"/>
          <s v="1642000-1643000"/>
          <s v="1643000-1644000"/>
          <s v="1644000-1645000"/>
          <s v="1645000-1646000"/>
          <s v="1646000-1647000"/>
          <s v="1647000-1648000"/>
          <s v="1648000-1649000"/>
          <s v="1649000-1650000"/>
          <s v="1650000-1651000"/>
          <s v="1651000-1652000"/>
          <s v="1652000-1653000"/>
          <s v="1653000-1654000"/>
          <s v="1654000-1655000"/>
          <s v="1655000-1656000"/>
          <s v="1656000-1657000"/>
          <s v="1657000-1658000"/>
          <s v="1658000-1659000"/>
          <s v="1659000-1660000"/>
          <s v="1660000-1661000"/>
          <s v="1661000-1662000"/>
          <s v="1662000-1663000"/>
          <s v="1663000-1664000"/>
          <s v="1664000-1665000"/>
          <s v="1665000-1666000"/>
          <s v="1666000-1667000"/>
          <s v="1667000-1668000"/>
          <s v="1668000-1669000"/>
          <s v="1669000-1670000"/>
          <s v="1670000-1671000"/>
          <s v="1671000-1672000"/>
          <s v="1672000-1673000"/>
          <s v="1673000-1674000"/>
          <s v="1674000-1675000"/>
          <s v="1675000-1676000"/>
          <s v="1676000-1677000"/>
          <s v="1677000-1678000"/>
          <s v="1678000-1679000"/>
          <s v="1679000-1680000"/>
          <s v="1680000-1681000"/>
          <s v="1681000-1682000"/>
          <s v="1682000-1683000"/>
          <s v="1683000-1684000"/>
          <s v="1684000-1685000"/>
          <s v="1685000-1686000"/>
          <s v="1686000-1687000"/>
          <s v="1687000-1688000"/>
          <s v="1688000-1689000"/>
          <s v="1689000-1690000"/>
          <s v="1690000-1691000"/>
          <s v="1691000-1692000"/>
          <s v="1692000-1693000"/>
          <s v="1693000-1694000"/>
          <s v="1694000-1695000"/>
          <s v="1695000-1696000"/>
          <s v="1696000-1697000"/>
          <s v="1697000-1698000"/>
          <s v="1698000-1699000"/>
          <s v="1699000-1700000"/>
          <s v="1700000-1701000"/>
          <s v="1701000-1702000"/>
          <s v="1702000-1703000"/>
          <s v="1703000-1704000"/>
          <s v="1704000-1705000"/>
          <s v="1705000-1706000"/>
          <s v="1706000-1707000"/>
          <s v="1707000-1708000"/>
          <s v="1708000-1709000"/>
          <s v="1709000-1710000"/>
          <s v="1710000-1711000"/>
          <s v="1711000-1712000"/>
          <s v="1712000-1713000"/>
          <s v="1713000-1714000"/>
          <s v="1714000-1715000"/>
          <s v="1715000-1716000"/>
          <s v="1716000-1717000"/>
          <s v="1717000-1718000"/>
          <s v="1718000-1719000"/>
          <s v="1719000-1720000"/>
          <s v="1720000-1721000"/>
          <s v="1721000-1722000"/>
          <s v="1722000-1723000"/>
          <s v="1723000-1724000"/>
          <s v="1724000-1725000"/>
          <s v="1725000-1726000"/>
          <s v="1726000-1727000"/>
          <s v="1727000-1728000"/>
          <s v="1728000-1729000"/>
          <s v="1729000-1730000"/>
          <s v="1730000-1731000"/>
          <s v="1731000-1732000"/>
          <s v="1732000-1733000"/>
          <s v="1733000-1734000"/>
          <s v="1734000-1735000"/>
          <s v="1735000-1736000"/>
          <s v="1736000-1737000"/>
          <s v="1737000-1738000"/>
          <s v="1738000-1739000"/>
          <s v="1739000-1740000"/>
          <s v="1740000-1741000"/>
          <s v="1741000-1742000"/>
          <s v="1742000-1743000"/>
          <s v="1743000-1744000"/>
          <s v="1744000-1745000"/>
          <s v="1745000-1746000"/>
          <s v="1746000-1747000"/>
          <s v="1747000-1748000"/>
          <s v="1748000-1749000"/>
          <s v="1749000-1750000"/>
          <s v="1750000-1751000"/>
          <s v="1751000-1752000"/>
          <s v="1752000-1753000"/>
          <s v="1753000-1754000"/>
          <s v="1754000-1755000"/>
          <s v="1755000-1756000"/>
          <s v="1756000-1757000"/>
          <s v="1757000-1758000"/>
          <s v="1758000-1759000"/>
          <s v="1759000-1760000"/>
          <s v="1760000-1761000"/>
          <s v="1761000-1762000"/>
          <s v="1762000-1763000"/>
          <s v="1763000-1764000"/>
          <s v="1764000-1765000"/>
          <s v="1765000-1766000"/>
          <s v="1766000-1767000"/>
          <s v="1767000-1768000"/>
          <s v="1768000-1769000"/>
          <s v="1769000-1770000"/>
          <s v="1770000-1771000"/>
          <s v="1771000-1772000"/>
          <s v="1772000-1773000"/>
          <s v="1773000-1774000"/>
          <s v="1774000-1775000"/>
          <s v="1775000-1776000"/>
          <s v="1776000-1777000"/>
          <s v="1777000-1778000"/>
          <s v="1778000-1779000"/>
          <s v="1779000-1780000"/>
          <s v="1780000-1781000"/>
          <s v="1781000-1782000"/>
          <s v="1782000-1783000"/>
          <s v="1783000-1784000"/>
          <s v="1784000-1785000"/>
          <s v="1785000-1786000"/>
          <s v="1786000-1787000"/>
          <s v="1787000-1788000"/>
          <s v="1788000-1789000"/>
          <s v="1789000-1790000"/>
          <s v="1790000-1791000"/>
          <s v="1791000-1792000"/>
          <s v="1792000-1793000"/>
          <s v="1793000-1794000"/>
          <s v="1794000-1795000"/>
          <s v="1795000-1796000"/>
          <s v="1796000-1797000"/>
          <s v="1797000-1798000"/>
          <s v="1798000-1799000"/>
          <s v="1799000-1800000"/>
          <s v="1800000-1801000"/>
          <s v="1801000-1802000"/>
          <s v="1802000-1803000"/>
          <s v="1803000-1804000"/>
          <s v="1804000-1805000"/>
          <s v="1805000-1806000"/>
          <s v="1806000-1807000"/>
          <s v="1807000-1808000"/>
          <s v="1808000-1809000"/>
          <s v="1809000-1810000"/>
          <s v="1810000-1811000"/>
          <s v="1811000-1812000"/>
          <s v="1812000-1813000"/>
          <s v="1813000-1814000"/>
          <s v="1814000-1815000"/>
          <s v="1815000-1816000"/>
          <s v="1816000-1817000"/>
          <s v="1817000-1818000"/>
          <s v="1818000-1819000"/>
          <s v="1819000-1820000"/>
          <s v="1820000-1821000"/>
          <s v="1821000-1822000"/>
          <s v="1822000-1823000"/>
          <s v="1823000-1824000"/>
          <s v="1824000-1825000"/>
          <s v="1825000-1826000"/>
          <s v="1826000-1827000"/>
          <s v="1827000-1828000"/>
          <s v="1828000-1829000"/>
          <s v="1829000-1830000"/>
          <s v="1830000-1831000"/>
          <s v="1831000-1832000"/>
          <s v="1832000-1833000"/>
          <s v="1833000-1834000"/>
          <s v="1834000-1835000"/>
          <s v="1835000-1836000"/>
          <s v="1836000-1837000"/>
          <s v="1837000-1838000"/>
          <s v="1838000-1839000"/>
          <s v="1839000-1840000"/>
          <s v="1840000-1841000"/>
          <s v="1841000-1842000"/>
          <s v="1842000-1843000"/>
          <s v="1843000-1844000"/>
          <s v="1844000-1845000"/>
          <s v="1845000-1846000"/>
          <s v="1846000-1847000"/>
          <s v="1847000-1848000"/>
          <s v="1848000-1849000"/>
          <s v="1849000-1850000"/>
          <s v="1850000-1851000"/>
          <s v="1851000-1852000"/>
          <s v="1852000-1853000"/>
          <s v="1853000-1854000"/>
          <s v="1854000-1855000"/>
          <s v="1855000-1856000"/>
          <s v="1856000-1857000"/>
          <s v="1857000-1858000"/>
          <s v="1858000-1859000"/>
          <s v="1859000-1860000"/>
          <s v="1860000-1861000"/>
          <s v="1861000-1862000"/>
          <s v="1862000-1863000"/>
          <s v="1863000-1864000"/>
          <s v="1864000-1865000"/>
          <s v="1865000-1866000"/>
          <s v="1866000-1867000"/>
          <s v="1867000-1868000"/>
          <s v="1868000-1869000"/>
          <s v="1869000-1870000"/>
          <s v="1870000-1871000"/>
          <s v="1871000-1872000"/>
          <s v="1872000-1873000"/>
          <s v="1873000-1874000"/>
          <s v="1874000-1875000"/>
          <s v="1875000-1876000"/>
          <s v="1876000-1877000"/>
          <s v="1877000-1878000"/>
          <s v="1878000-1879000"/>
          <s v="1879000-1880000"/>
          <s v="1880000-1881000"/>
          <s v="1881000-1882000"/>
          <s v="1882000-1883000"/>
          <s v="1883000-1884000"/>
          <s v="1884000-1885000"/>
          <s v="1885000-1886000"/>
          <s v="1886000-1887000"/>
          <s v="1887000-1888000"/>
          <s v="1888000-1889000"/>
          <s v="1889000-1890000"/>
          <s v="1890000-1891000"/>
          <s v="1891000-1892000"/>
          <s v="1892000-1893000"/>
          <s v="1893000-1894000"/>
          <s v="1894000-1895000"/>
          <s v="1895000-1896000"/>
          <s v="1896000-1897000"/>
          <s v="1897000-1898000"/>
          <s v="1898000-1899000"/>
          <s v="1899000-1900000"/>
          <s v="1900000-1901000"/>
          <s v="1901000-1902000"/>
          <s v="1902000-1903000"/>
          <s v="1903000-1904000"/>
          <s v="1904000-1905000"/>
          <s v="1905000-1906000"/>
          <s v="1906000-1907000"/>
          <s v="1907000-1908000"/>
          <s v="1908000-1909000"/>
          <s v="1909000-1910000"/>
          <s v="1910000-1911000"/>
          <s v="1911000-1912000"/>
          <s v="1912000-1913000"/>
          <s v="1913000-1914000"/>
          <s v="1914000-1915000"/>
          <s v="1915000-1916000"/>
          <s v="1916000-1917000"/>
          <s v="1917000-1918000"/>
          <s v="1918000-1919000"/>
          <s v="1919000-1920000"/>
          <s v="1920000-1921000"/>
          <s v="1921000-1922000"/>
          <s v="1922000-1923000"/>
          <s v="1923000-1924000"/>
          <s v="1924000-1925000"/>
          <s v="1925000-1926000"/>
          <s v="1926000-1927000"/>
          <s v="1927000-1928000"/>
          <s v="1928000-1929000"/>
          <s v="1929000-1930000"/>
          <s v="1930000-1931000"/>
          <s v="1931000-1932000"/>
          <s v="1932000-1933000"/>
          <s v="1933000-1934000"/>
          <s v="1934000-1935000"/>
          <s v="1935000-1936000"/>
          <s v="1936000-1937000"/>
          <s v="1937000-1938000"/>
          <s v="1938000-1939000"/>
          <s v="1939000-1940000"/>
          <s v="1940000-1941000"/>
          <s v="1941000-1942000"/>
          <s v="1942000-1943000"/>
          <s v="1943000-1944000"/>
          <s v="1944000-1945000"/>
          <s v="1945000-1946000"/>
          <s v="1946000-1947000"/>
          <s v="1947000-1948000"/>
          <s v="1948000-1949000"/>
          <s v="1949000-1950000"/>
          <s v="1950000-1951000"/>
          <s v="1951000-1952000"/>
          <s v="1952000-1953000"/>
          <s v="1953000-1954000"/>
          <s v="1954000-1955000"/>
          <s v="1955000-1956000"/>
          <s v="1956000-1957000"/>
          <s v="1957000-1958000"/>
          <s v="1958000-1959000"/>
          <s v="1959000-1960000"/>
          <s v="1960000-1961000"/>
          <s v="1961000-1962000"/>
          <s v="1962000-1963000"/>
          <s v="1963000-1964000"/>
          <s v="1964000-1965000"/>
          <s v="1965000-1966000"/>
          <s v="1966000-1967000"/>
          <s v="1967000-1968000"/>
          <s v="1968000-1969000"/>
          <s v="1969000-1970000"/>
          <s v="1970000-1971000"/>
          <s v="1971000-1972000"/>
          <s v="1972000-1973000"/>
          <s v="1973000-1974000"/>
          <s v="1974000-1975000"/>
          <s v="1975000-1976000"/>
          <s v="1976000-1977000"/>
          <s v="1977000-1978000"/>
          <s v="1978000-1979000"/>
          <s v="1979000-1980000"/>
          <s v="1980000-1981000"/>
          <s v="1981000-1982000"/>
          <s v="1982000-1983000"/>
          <s v="1983000-1984000"/>
          <s v="1984000-1985000"/>
          <s v="1985000-1986000"/>
          <s v="1986000-1987000"/>
          <s v="1987000-1988000"/>
          <s v="1988000-1989000"/>
          <s v="1989000-1990000"/>
          <s v="1990000-1991000"/>
          <s v="1991000-1992000"/>
          <s v="1992000-1993000"/>
          <s v="1993000-1994000"/>
          <s v="1994000-1995000"/>
          <s v="1995000-1996000"/>
          <s v="1996000-1997000"/>
          <s v="1997000-1998000"/>
          <s v="1998000-1999000"/>
          <s v="1999000-2000000"/>
          <s v="2000000-2001000"/>
          <s v="2001000-2002000"/>
          <s v="2002000-2003000"/>
          <s v="2003000-2004000"/>
          <s v="2004000-2005000"/>
          <s v="2005000-2006000"/>
          <s v="2006000-2007000"/>
          <s v="2007000-2008000"/>
          <s v="2008000-2009000"/>
          <s v="2009000-2010000"/>
          <s v="2010000-2011000"/>
          <s v="2011000-2012000"/>
          <s v="2012000-2013000"/>
          <s v="2013000-2014000"/>
          <s v="2014000-2015000"/>
          <s v="2015000-2016000"/>
          <s v="2016000-2017000"/>
          <s v="2017000-2018000"/>
          <s v="2018000-2019000"/>
          <s v="2019000-2020000"/>
          <s v="2020000-2021000"/>
          <s v="2021000-2022000"/>
          <s v="2022000-2023000"/>
          <s v="2023000-2024000"/>
          <s v="2024000-2025000"/>
          <s v="2025000-2026000"/>
          <s v="2026000-2027000"/>
          <s v="2027000-2028000"/>
          <s v="2028000-2029000"/>
          <s v="2029000-2030000"/>
          <s v="2030000-2031000"/>
          <s v="2031000-2032000"/>
          <s v="2032000-2033000"/>
          <s v="2033000-2034000"/>
          <s v="2034000-2035000"/>
          <s v="2035000-2036000"/>
          <s v="2036000-2037000"/>
          <s v="2037000-2038000"/>
          <s v="2038000-2039000"/>
          <s v="2039000-2040000"/>
          <s v="2040000-2041000"/>
          <s v="2041000-2042000"/>
          <s v="2042000-2043000"/>
          <s v="2043000-2044000"/>
          <s v="2044000-2045000"/>
          <s v="2045000-2046000"/>
          <s v="2046000-2047000"/>
          <s v="2047000-2048000"/>
          <s v="2048000-2049000"/>
          <s v="2049000-2050000"/>
          <s v="2050000-2051000"/>
          <s v="2051000-2052000"/>
          <s v="2052000-2053000"/>
          <s v="2053000-2054000"/>
          <s v="2054000-2055000"/>
          <s v="2055000-2056000"/>
          <s v="2056000-2057000"/>
          <s v="2057000-2058000"/>
          <s v="2058000-2059000"/>
          <s v="2059000-2060000"/>
          <s v="2060000-2061000"/>
          <s v="2061000-2062000"/>
          <s v="2062000-2063000"/>
          <s v="2063000-2064000"/>
          <s v="2064000-2065000"/>
          <s v="2065000-2066000"/>
          <s v="2066000-2067000"/>
          <s v="2067000-2068000"/>
          <s v="2068000-2069000"/>
          <s v="2069000-2070000"/>
          <s v="2070000-2071000"/>
          <s v="2071000-2072000"/>
          <s v="2072000-2073000"/>
          <s v="2073000-2074000"/>
          <s v="2074000-2075000"/>
          <s v="2075000-2076000"/>
          <s v="2076000-2077000"/>
          <s v="2077000-2078000"/>
          <s v="2078000-2079000"/>
          <s v="2079000-2080000"/>
          <s v="2080000-2081000"/>
          <s v="2081000-2082000"/>
          <s v="2082000-2083000"/>
          <s v="2083000-2084000"/>
          <s v="2084000-2085000"/>
          <s v="2085000-2086000"/>
          <s v="2086000-2087000"/>
          <s v="2087000-2088000"/>
          <s v="2088000-2089000"/>
          <s v="2089000-2090000"/>
          <s v="2090000-2091000"/>
          <s v="2091000-2092000"/>
          <s v="2092000-2093000"/>
          <s v="2093000-2094000"/>
          <s v="2094000-2095000"/>
          <s v="2095000-2096000"/>
          <s v="2096000-2097000"/>
          <s v="2097000-2098000"/>
          <s v="2098000-2099000"/>
          <s v="2099000-2100000"/>
          <s v="2100000-2101000"/>
          <s v="2101000-2102000"/>
          <s v="2102000-2103000"/>
          <s v="2103000-2104000"/>
          <s v="2104000-2105000"/>
          <s v="2105000-2106000"/>
          <s v="2106000-2107000"/>
          <s v="2107000-2108000"/>
          <s v="2108000-2109000"/>
          <s v="2109000-2110000"/>
          <s v="2110000-2111000"/>
          <s v="2111000-2112000"/>
          <s v="2112000-2113000"/>
          <s v="2113000-2114000"/>
          <s v="2114000-2115000"/>
          <s v="2115000-2116000"/>
          <s v="2116000-2117000"/>
          <s v="2117000-2118000"/>
          <s v="2118000-2119000"/>
          <s v="2119000-2120000"/>
          <s v="2120000-2121000"/>
          <s v="2121000-2122000"/>
          <s v="2122000-2123000"/>
          <s v="2123000-2124000"/>
          <s v="2124000-2125000"/>
          <s v="2125000-2126000"/>
          <s v="2126000-2127000"/>
          <s v="2127000-2128000"/>
          <s v="2128000-2129000"/>
          <s v="2129000-2130000"/>
          <s v="2130000-2131000"/>
          <s v="2131000-2132000"/>
          <s v="2132000-2133000"/>
          <s v="2133000-2134000"/>
          <s v="2134000-2135000"/>
          <s v="2135000-2136000"/>
          <s v="2136000-2137000"/>
          <s v="2137000-2138000"/>
          <s v="2138000-2139000"/>
          <s v="2139000-2140000"/>
          <s v="2140000-2141000"/>
          <s v="2141000-2142000"/>
          <s v="2142000-2143000"/>
          <s v="2143000-2144000"/>
          <s v="2144000-2145000"/>
          <s v="2145000-2146000"/>
          <s v="2146000-2147000"/>
          <s v="2147000-2148000"/>
          <s v="2148000-2149000"/>
          <s v="2149000-2150000"/>
          <s v="2150000-2151000"/>
          <s v="2151000-2152000"/>
          <s v="2152000-2153000"/>
          <s v="2153000-2154000"/>
          <s v="2154000-2155000"/>
          <s v="2155000-2156000"/>
          <s v="2156000-2157000"/>
          <s v="2157000-2158000"/>
          <s v="2158000-2159000"/>
          <s v="2159000-2160000"/>
          <s v="2160000-2161000"/>
          <s v="2161000-2162000"/>
          <s v="2162000-2163000"/>
          <s v="2163000-2164000"/>
          <s v="2164000-2165000"/>
          <s v="2165000-2166000"/>
          <s v="2166000-2167000"/>
          <s v="2167000-2168000"/>
          <s v="2168000-2169000"/>
          <s v="2169000-2170000"/>
          <s v="2170000-2171000"/>
          <s v="2171000-2172000"/>
          <s v="2172000-2173000"/>
          <s v="2173000-2174000"/>
          <s v="2174000-2175000"/>
          <s v="2175000-2176000"/>
          <s v="2176000-2177000"/>
          <s v="2177000-2178000"/>
          <s v="2178000-2179000"/>
          <s v="2179000-2180000"/>
          <s v="2180000-2181000"/>
          <s v="2181000-2182000"/>
          <s v="2182000-2183000"/>
          <s v="2183000-2184000"/>
          <s v="2184000-2185000"/>
          <s v="2185000-2186000"/>
          <s v="2186000-2187000"/>
          <s v="2187000-2188000"/>
          <s v="2188000-2189000"/>
          <s v="2189000-2190000"/>
          <s v="2190000-2191000"/>
          <s v="2191000-2192000"/>
          <s v="2192000-2193000"/>
          <s v="2193000-2194000"/>
          <s v="2194000-2195000"/>
          <s v="2195000-2196000"/>
          <s v="2196000-2197000"/>
          <s v="2197000-2198000"/>
          <s v="2198000-2199000"/>
          <s v="2199000-2200000"/>
          <s v="2200000-2201000"/>
          <s v="2201000-2202000"/>
          <s v="2202000-2203000"/>
          <s v="2203000-2204000"/>
          <s v="2204000-2205000"/>
          <s v="2205000-2206000"/>
          <s v="2206000-2207000"/>
          <s v="2207000-2208000"/>
          <s v="2208000-2209000"/>
          <s v="2209000-2210000"/>
          <s v="2210000-2211000"/>
          <s v="2211000-2212000"/>
          <s v="2212000-2213000"/>
          <s v="2213000-2214000"/>
          <s v="2214000-2215000"/>
          <s v="2215000-2216000"/>
          <s v="2216000-2217000"/>
          <s v="2217000-2218000"/>
          <s v="2218000-2219000"/>
          <s v="2219000-2220000"/>
          <s v="2220000-2221000"/>
          <s v="2221000-2222000"/>
          <s v="2222000-2223000"/>
          <s v="2223000-2224000"/>
          <s v="2224000-2225000"/>
          <s v="2225000-2226000"/>
          <s v="2226000-2227000"/>
          <s v="2227000-2228000"/>
          <s v="2228000-2229000"/>
          <s v="2229000-2230000"/>
          <s v="2230000-2231000"/>
          <s v="2231000-2232000"/>
          <s v="2232000-2233000"/>
          <s v="2233000-2234000"/>
          <s v="2234000-2235000"/>
          <s v="2235000-2236000"/>
          <s v="2236000-2237000"/>
          <s v="2237000-2238000"/>
          <s v="2238000-2239000"/>
          <s v="2239000-2240000"/>
          <s v="2240000-2241000"/>
          <s v="2241000-2242000"/>
          <s v="2242000-2243000"/>
          <s v="2243000-2244000"/>
          <s v="2244000-2245000"/>
          <s v="2245000-2246000"/>
          <s v="2246000-2247000"/>
          <s v="2247000-2248000"/>
          <s v="2248000-2249000"/>
          <s v="2249000-2250000"/>
          <s v="2250000-2251000"/>
          <s v="2251000-2252000"/>
          <s v="2252000-2253000"/>
          <s v="2253000-2254000"/>
          <s v="2254000-2255000"/>
          <s v="2255000-2256000"/>
          <s v="2256000-2257000"/>
          <s v="2257000-2258000"/>
          <s v="2258000-2259000"/>
          <s v="2259000-2260000"/>
          <s v="2260000-2261000"/>
          <s v="2261000-2262000"/>
          <s v="2262000-2263000"/>
          <s v="2263000-2264000"/>
          <s v="2264000-2265000"/>
          <s v="2265000-2266000"/>
          <s v="2266000-2267000"/>
          <s v="2267000-2268000"/>
          <s v="2268000-2269000"/>
          <s v="2269000-2270000"/>
          <s v="2270000-2271000"/>
          <s v="2271000-2272000"/>
          <s v="2272000-2273000"/>
          <s v="2273000-2274000"/>
          <s v="2274000-2275000"/>
          <s v="2275000-2276000"/>
          <s v="2276000-2277000"/>
          <s v="2277000-2278000"/>
          <s v="2278000-2279000"/>
          <s v="2279000-2280000"/>
          <s v="2280000-2281000"/>
          <s v="2281000-2282000"/>
          <s v="2282000-2283000"/>
          <s v="2283000-2284000"/>
          <s v="2284000-2285000"/>
          <s v="2285000-2286000"/>
          <s v="2286000-2287000"/>
          <s v="2287000-2288000"/>
          <s v="2288000-2289000"/>
          <s v="2289000-2290000"/>
          <s v="2290000-2291000"/>
          <s v="2291000-2292000"/>
          <s v="2292000-2293000"/>
          <s v="2293000-2294000"/>
          <s v="2294000-2295000"/>
          <s v="2295000-2296000"/>
          <s v="2296000-2297000"/>
          <s v="2297000-2298000"/>
          <s v="2298000-2299000"/>
          <s v="2299000-2300000"/>
          <s v="2300000-2301000"/>
          <s v="2301000-2302000"/>
          <s v="2302000-2303000"/>
          <s v="2303000-2304000"/>
          <s v="2304000-2305000"/>
          <s v="2305000-2306000"/>
          <s v="2306000-2307000"/>
          <s v="2307000-2308000"/>
          <s v="2308000-2309000"/>
          <s v="2309000-2310000"/>
          <s v="2310000-2311000"/>
          <s v="2311000-2312000"/>
          <s v="2312000-2313000"/>
          <s v="2313000-2314000"/>
          <s v="2314000-2315000"/>
          <s v="2315000-2316000"/>
          <s v="2316000-2317000"/>
          <s v="2317000-2318000"/>
          <s v="2318000-2319000"/>
          <s v="2319000-2320000"/>
          <s v="2320000-2321000"/>
          <s v="2321000-2322000"/>
          <s v="2322000-2323000"/>
          <s v="2323000-2324000"/>
          <s v="2324000-2325000"/>
          <s v="2325000-2326000"/>
          <s v="2326000-2327000"/>
          <s v="2327000-2328000"/>
          <s v="2328000-2329000"/>
          <s v="2329000-2330000"/>
          <s v="2330000-2331000"/>
          <s v="2331000-2332000"/>
          <s v="2332000-2333000"/>
          <s v="2333000-2334000"/>
          <s v="2334000-2335000"/>
          <s v="2335000-2336000"/>
          <s v="2336000-2337000"/>
          <s v="2337000-2338000"/>
          <s v="2338000-2339000"/>
          <s v="2339000-2340000"/>
          <s v="2340000-2341000"/>
          <s v="2341000-2342000"/>
          <s v="2342000-2343000"/>
          <s v="2343000-2344000"/>
          <s v="2344000-2345000"/>
          <s v="2345000-2346000"/>
          <s v="2346000-2347000"/>
          <s v="2347000-2348000"/>
          <s v="2348000-2349000"/>
          <s v="2349000-2350000"/>
          <s v="2350000-2351000"/>
          <s v="2351000-2352000"/>
          <s v="2352000-2353000"/>
          <s v="2353000-2354000"/>
          <s v="2354000-2355000"/>
          <s v="2355000-2356000"/>
          <s v="2356000-2357000"/>
          <s v="2357000-2358000"/>
          <s v="2358000-2359000"/>
          <s v="2359000-2360000"/>
          <s v="2360000-2361000"/>
          <s v="2361000-2362000"/>
          <s v="2362000-2363000"/>
          <s v="2363000-2364000"/>
          <s v="2364000-2365000"/>
          <s v="2365000-2366000"/>
          <s v="2366000-2367000"/>
          <s v="2367000-2368000"/>
          <s v="2368000-2369000"/>
          <s v="2369000-2370000"/>
          <s v="2370000-2371000"/>
          <s v="2371000-2372000"/>
          <s v="2372000-2373000"/>
          <s v="2373000-2374000"/>
          <s v="2374000-2375000"/>
          <s v="2375000-2376000"/>
          <s v="2376000-2377000"/>
          <s v="2377000-2378000"/>
          <s v="2378000-2379000"/>
          <s v="2379000-2380000"/>
          <s v="2380000-2381000"/>
          <s v="2381000-2382000"/>
          <s v="2382000-2383000"/>
          <s v="2383000-2384000"/>
          <s v="2384000-2385000"/>
          <s v="2385000-2386000"/>
          <s v="2386000-2387000"/>
          <s v="2387000-2388000"/>
          <s v="2388000-2389000"/>
          <s v="2389000-2390000"/>
          <s v="2390000-2391000"/>
          <s v="2391000-2392000"/>
          <s v="2392000-2393000"/>
          <s v="2393000-2394000"/>
          <s v="2394000-2395000"/>
          <s v="2395000-2396000"/>
          <s v="2396000-2397000"/>
          <s v="2397000-2398000"/>
          <s v="2398000-2399000"/>
          <s v="2399000-2400000"/>
          <s v="2400000-2401000"/>
          <s v="2401000-2402000"/>
          <s v="2402000-2403000"/>
          <s v="2403000-2404000"/>
          <s v="2404000-2405000"/>
          <s v="2405000-2406000"/>
          <s v="2406000-2407000"/>
          <s v="2407000-2408000"/>
          <s v="2408000-2409000"/>
          <s v="2409000-2410000"/>
          <s v="2410000-2411000"/>
          <s v="2411000-2412000"/>
          <s v="2412000-2413000"/>
          <s v="2413000-2414000"/>
          <s v="2414000-2415000"/>
          <s v="2415000-2416000"/>
          <s v="2416000-2417000"/>
          <s v="2417000-2418000"/>
          <s v="2418000-2419000"/>
          <s v="2419000-2420000"/>
          <s v="2420000-2421000"/>
          <s v="2421000-2422000"/>
          <s v="2422000-2423000"/>
          <s v="2423000-2424000"/>
          <s v="2424000-2425000"/>
          <s v="2425000-2426000"/>
          <s v="2426000-2427000"/>
          <s v="2427000-2428000"/>
          <s v="2428000-2429000"/>
          <s v="2429000-2430000"/>
          <s v="2430000-2431000"/>
          <s v="2431000-2432000"/>
          <s v="2432000-2433000"/>
          <s v="2433000-2434000"/>
          <s v="2434000-2435000"/>
          <s v="2435000-2436000"/>
          <s v="2436000-2437000"/>
          <s v="2437000-2438000"/>
          <s v="2438000-2439000"/>
          <s v="2439000-2440000"/>
          <s v="2440000-2441000"/>
          <s v="2441000-2442000"/>
          <s v="2442000-2443000"/>
          <s v="2443000-2444000"/>
          <s v="2444000-2445000"/>
          <s v="2445000-2446000"/>
          <s v="2446000-2447000"/>
          <s v="2447000-2448000"/>
          <s v="2448000-2449000"/>
          <s v="2449000-2450000"/>
          <s v="2450000-2451000"/>
          <s v="2451000-2452000"/>
          <s v="2452000-2453000"/>
          <s v="2453000-2454000"/>
          <s v="2454000-2455000"/>
          <s v="2455000-2456000"/>
          <s v="2456000-2457000"/>
          <s v="2457000-2458000"/>
          <s v="2458000-2459000"/>
          <s v="2459000-2460000"/>
          <s v="2460000-2461000"/>
          <s v="2461000-2462000"/>
          <s v="2462000-2463000"/>
          <s v="2463000-2464000"/>
          <s v="2464000-2465000"/>
          <s v="2465000-2466000"/>
          <s v="2466000-2467000"/>
          <s v="2467000-2468000"/>
          <s v="2468000-2469000"/>
          <s v="2469000-2470000"/>
          <s v="2470000-2471000"/>
          <s v="2471000-2472000"/>
          <s v="2472000-2473000"/>
          <s v="2473000-2474000"/>
          <s v="2474000-2475000"/>
          <s v="2475000-2476000"/>
          <s v="2476000-2477000"/>
          <s v="2477000-2478000"/>
          <s v="2478000-2479000"/>
          <s v="2479000-2480000"/>
          <s v="2480000-2481000"/>
          <s v="2481000-2482000"/>
          <s v="2482000-2483000"/>
          <s v="2483000-2484000"/>
          <s v="2484000-2485000"/>
          <s v="2485000-2486000"/>
          <s v="2486000-2487000"/>
          <s v="2487000-2488000"/>
          <s v="2488000-2489000"/>
          <s v="2489000-2490000"/>
          <s v="2490000-2491000"/>
          <s v="2491000-2492000"/>
          <s v="2492000-2493000"/>
          <s v="2493000-2494000"/>
          <s v="2494000-2495000"/>
          <s v="2495000-2496000"/>
          <s v="2496000-2497000"/>
          <s v="2497000-2498000"/>
          <s v="2498000-2499000"/>
          <s v="2499000-2500000"/>
          <s v="2500000-2501000"/>
          <s v="2501000-2502000"/>
          <s v="2502000-2503000"/>
          <s v="2503000-2504000"/>
          <s v="2504000-2505000"/>
          <s v="2505000-2506000"/>
          <s v="2506000-2507000"/>
          <s v="2507000-2508000"/>
          <s v="2508000-2509000"/>
          <s v="2509000-2510000"/>
          <s v="2510000-2511000"/>
          <s v="2511000-2512000"/>
          <s v="2512000-2513000"/>
          <s v="2513000-2514000"/>
          <s v="2514000-2515000"/>
          <s v="2515000-2516000"/>
          <s v="2516000-2517000"/>
          <s v="2517000-2518000"/>
          <s v="2518000-2519000"/>
          <s v="2519000-2520000"/>
          <s v="2520000-2521000"/>
          <s v="2521000-2522000"/>
          <s v="2522000-2523000"/>
          <s v="2523000-2524000"/>
          <s v="2524000-2525000"/>
          <s v="2525000-2526000"/>
          <s v="2526000-2527000"/>
          <s v="2527000-2528000"/>
          <s v="2528000-2529000"/>
          <s v="2529000-2530000"/>
          <s v="2530000-2531000"/>
          <s v="2531000-2532000"/>
          <s v="2532000-2533000"/>
          <s v="2533000-2534000"/>
          <s v="2534000-2535000"/>
          <s v="2535000-2536000"/>
          <s v="2536000-2537000"/>
          <s v="2537000-2538000"/>
          <s v="2538000-2539000"/>
          <s v="2539000-2540000"/>
          <s v="2540000-2541000"/>
          <s v="2541000-2542000"/>
          <s v="2542000-2543000"/>
          <s v="2543000-2544000"/>
          <s v="2544000-2545000"/>
          <s v="2545000-2546000"/>
          <s v="2546000-2547000"/>
          <s v="2547000-2548000"/>
          <s v="2548000-2549000"/>
          <s v="2549000-2550000"/>
          <s v="2550000-2551000"/>
          <s v="2551000-2552000"/>
          <s v="2552000-2553000"/>
          <s v="2553000-2554000"/>
          <s v="2554000-2555000"/>
          <s v="2555000-2556000"/>
          <s v="2556000-2557000"/>
          <s v="2557000-2558000"/>
          <s v="2558000-2559000"/>
          <s v="2559000-2560000"/>
          <s v="2560000-2561000"/>
          <s v="2561000-2562000"/>
          <s v="2562000-2563000"/>
          <s v="2563000-2564000"/>
          <s v="2564000-2565000"/>
          <s v="2565000-2566000"/>
          <s v="2566000-2567000"/>
          <s v="2567000-2568000"/>
          <s v="2568000-2569000"/>
          <s v="2569000-2570000"/>
          <s v="2570000-2571000"/>
          <s v="2571000-2572000"/>
          <s v="2572000-2573000"/>
          <s v="2573000-2574000"/>
          <s v="2574000-2575000"/>
          <s v="2575000-2576000"/>
          <s v="2576000-2577000"/>
          <s v="2577000-2578000"/>
          <s v="2578000-2579000"/>
          <s v="2579000-2580000"/>
          <s v="2580000-2581000"/>
          <s v="2581000-2582000"/>
          <s v="2582000-2583000"/>
          <s v="2583000-2584000"/>
          <s v="2584000-2585000"/>
          <s v="2585000-2586000"/>
          <s v="2586000-2587000"/>
          <s v="2587000-2588000"/>
          <s v="2588000-2589000"/>
          <s v="2589000-2590000"/>
          <s v="2590000-2591000"/>
          <s v="2591000-2592000"/>
          <s v="2592000-2593000"/>
          <s v="2593000-2594000"/>
          <s v="2594000-2595000"/>
          <s v="2595000-2596000"/>
          <s v="2596000-2597000"/>
          <s v="2597000-2598000"/>
          <s v="2598000-2599000"/>
          <s v="2599000-2600000"/>
          <s v="2600000-2601000"/>
          <s v="2601000-2602000"/>
          <s v="2602000-2603000"/>
          <s v="2603000-2604000"/>
          <s v="2604000-2605000"/>
          <s v="2605000-2606000"/>
          <s v="2606000-2607000"/>
          <s v="2607000-2608000"/>
          <s v="2608000-2609000"/>
          <s v="2609000-2610000"/>
          <s v="2610000-2611000"/>
          <s v="2611000-2612000"/>
          <s v="2612000-2613000"/>
          <s v="2613000-2614000"/>
          <s v="2614000-2615000"/>
          <s v="2615000-2616000"/>
          <s v="2616000-2617000"/>
          <s v="2617000-2618000"/>
          <s v="2618000-2619000"/>
          <s v="2619000-2620000"/>
          <s v="2620000-2621000"/>
          <s v="2621000-2622000"/>
          <s v="2622000-2623000"/>
          <s v="2623000-2624000"/>
          <s v="2624000-2625000"/>
          <s v="2625000-2626000"/>
          <s v="2626000-2627000"/>
          <s v="2627000-2628000"/>
          <s v="2628000-2629000"/>
          <s v="2629000-2630000"/>
          <s v="2630000-2631000"/>
          <s v="2631000-2632000"/>
          <s v="2632000-2633000"/>
          <s v="2633000-2634000"/>
          <s v="2634000-2635000"/>
          <s v="2635000-2636000"/>
          <s v="2636000-2637000"/>
          <s v="2637000-2638000"/>
          <s v="2638000-2639000"/>
          <s v="2639000-2640000"/>
          <s v="2640000-2641000"/>
          <s v="2641000-2642000"/>
          <s v="2642000-2643000"/>
          <s v="2643000-2644000"/>
          <s v="2644000-2645000"/>
          <s v="2645000-2646000"/>
          <s v="2646000-2647000"/>
          <s v="2647000-2648000"/>
          <s v="2648000-2649000"/>
          <s v="2649000-2650000"/>
          <s v="2650000-2651000"/>
          <s v="2651000-2652000"/>
          <s v="2652000-2653000"/>
          <s v="2653000-2654000"/>
          <s v="2654000-2655000"/>
          <s v="2655000-2656000"/>
          <s v="2656000-2657000"/>
          <s v="2657000-2658000"/>
          <s v="2658000-2659000"/>
          <s v="2659000-2660000"/>
          <s v="2660000-2661000"/>
          <s v="2661000-2662000"/>
          <s v="2662000-2663000"/>
          <s v="2663000-2664000"/>
          <s v="2664000-2665000"/>
          <s v="2665000-2666000"/>
          <s v="2666000-2667000"/>
          <s v="2667000-2668000"/>
          <s v="2668000-2669000"/>
          <s v="2669000-2670000"/>
          <s v="2670000-2671000"/>
          <s v="2671000-2672000"/>
          <s v="2672000-2673000"/>
          <s v="2673000-2674000"/>
          <s v="2674000-2675000"/>
          <s v="2675000-2676000"/>
          <s v="2676000-2677000"/>
          <s v="2677000-2678000"/>
          <s v="2678000-2679000"/>
          <s v="2679000-2680000"/>
          <s v="2680000-2681000"/>
          <s v="2681000-2682000"/>
          <s v="2682000-2683000"/>
          <s v="2683000-2684000"/>
          <s v="2684000-2685000"/>
          <s v="2685000-2686000"/>
          <s v="2686000-2687000"/>
          <s v="2687000-2688000"/>
          <s v="2688000-2689000"/>
          <s v="2689000-2690000"/>
          <s v="2690000-2691000"/>
          <s v="2691000-2692000"/>
          <s v="2692000-2693000"/>
          <s v="2693000-2694000"/>
          <s v="2694000-2695000"/>
          <s v="2695000-2696000"/>
          <s v="2696000-2697000"/>
          <s v="2697000-2698000"/>
          <s v="2698000-2699000"/>
          <s v="2699000-2700000"/>
          <s v="2700000-2701000"/>
          <s v="2701000-2702000"/>
          <s v="2702000-2703000"/>
          <s v="2703000-2704000"/>
          <s v="2704000-2705000"/>
          <s v="2705000-2706000"/>
          <s v="2706000-2707000"/>
          <s v="2707000-2708000"/>
          <s v="2708000-2709000"/>
          <s v="2709000-2710000"/>
          <s v="2710000-2711000"/>
          <s v="2711000-2712000"/>
          <s v="2712000-2713000"/>
          <s v="2713000-2714000"/>
          <s v="2714000-2715000"/>
          <s v="2715000-2716000"/>
          <s v="2716000-2717000"/>
          <s v="2717000-2718000"/>
          <s v="2718000-2719000"/>
          <s v="2719000-2720000"/>
          <s v="2720000-2721000"/>
          <s v="2721000-2722000"/>
          <s v="2722000-2723000"/>
          <s v="2723000-2724000"/>
          <s v="2724000-2725000"/>
          <s v="2725000-2726000"/>
          <s v="2726000-2727000"/>
          <s v="2727000-2728000"/>
          <s v="2728000-2729000"/>
          <s v="2729000-2730000"/>
          <s v="2730000-2731000"/>
          <s v="2731000-2732000"/>
          <s v="2732000-2733000"/>
          <s v="2733000-2734000"/>
          <s v="2734000-2735000"/>
          <s v="2735000-2736000"/>
          <s v="2736000-2737000"/>
          <s v="2737000-2738000"/>
          <s v="2738000-2739000"/>
          <s v="2739000-2740000"/>
          <s v="2740000-2741000"/>
          <s v="2741000-2742000"/>
          <s v="2742000-2743000"/>
          <s v="2743000-2744000"/>
          <s v="2744000-2745000"/>
          <s v="2745000-2746000"/>
          <s v="2746000-2747000"/>
          <s v="2747000-2748000"/>
          <s v="2748000-2749000"/>
          <s v="2749000-2750000"/>
          <s v="2750000-2751000"/>
          <s v="2751000-2752000"/>
          <s v="2752000-2753000"/>
          <s v="2753000-2754000"/>
          <s v="2754000-2755000"/>
          <s v="2755000-2756000"/>
          <s v="2756000-2757000"/>
          <s v="2757000-2758000"/>
          <s v="2758000-2759000"/>
          <s v="2759000-2760000"/>
          <s v="2760000-2761000"/>
          <s v="2761000-2762000"/>
          <s v="2762000-2763000"/>
          <s v="2763000-2764000"/>
          <s v="2764000-2765000"/>
          <s v="2765000-2766000"/>
          <s v="2766000-2767000"/>
          <s v="2767000-2768000"/>
          <s v="2768000-2769000"/>
          <s v="2769000-2770000"/>
          <s v="2770000-2771000"/>
          <s v="2771000-2772000"/>
          <s v="2772000-2773000"/>
          <s v="2773000-2774000"/>
          <s v="2774000-2775000"/>
          <s v="2775000-2776000"/>
          <s v="2776000-2777000"/>
          <s v="2777000-2778000"/>
          <s v="2778000-2779000"/>
          <s v="2779000-2780000"/>
          <s v="2780000-2781000"/>
          <s v="2781000-2782000"/>
          <s v="2782000-2783000"/>
          <s v="2783000-2784000"/>
          <s v="2784000-2785000"/>
          <s v="2785000-2786000"/>
          <s v="2786000-2787000"/>
          <s v="2787000-2788000"/>
          <s v="2788000-2789000"/>
          <s v="2789000-2790000"/>
          <s v="2790000-2791000"/>
          <s v="2791000-2792000"/>
          <s v="2792000-2793000"/>
          <s v="2793000-2794000"/>
          <s v="2794000-2795000"/>
          <s v="2795000-2796000"/>
          <s v="2796000-2797000"/>
          <s v="2797000-2798000"/>
          <s v="2798000-2799000"/>
          <s v="2799000-2800000"/>
          <s v="2800000-2801000"/>
          <s v="2801000-2802000"/>
          <s v="2802000-2803000"/>
          <s v="2803000-2804000"/>
          <s v="2804000-2805000"/>
          <s v="2805000-2806000"/>
          <s v="2806000-2807000"/>
          <s v="2807000-2808000"/>
          <s v="2808000-2809000"/>
          <s v="2809000-2810000"/>
          <s v="2810000-2811000"/>
          <s v="2811000-2812000"/>
          <s v="2812000-2813000"/>
          <s v="2813000-2814000"/>
          <s v="2814000-2815000"/>
          <s v="2815000-2816000"/>
          <s v="2816000-2817000"/>
          <s v="2817000-2818000"/>
          <s v="2818000-2819000"/>
          <s v="2819000-2820000"/>
          <s v="2820000-2821000"/>
          <s v="2821000-2822000"/>
          <s v="2822000-2823000"/>
          <s v="2823000-2824000"/>
          <s v="2824000-2825000"/>
          <s v="2825000-2826000"/>
          <s v="2826000-2827000"/>
          <s v="2827000-2828000"/>
          <s v="2828000-2829000"/>
          <s v="2829000-2830000"/>
          <s v="2830000-2831000"/>
          <s v="2831000-2832000"/>
          <s v="2832000-2833000"/>
          <s v="2833000-2834000"/>
          <s v="2834000-2835000"/>
          <s v="2835000-2836000"/>
          <s v="2836000-2837000"/>
          <s v="2837000-2838000"/>
          <s v="2838000-2839000"/>
          <s v="2839000-2840000"/>
          <s v="2840000-2841000"/>
          <s v="2841000-2842000"/>
          <s v="2842000-2843000"/>
          <s v="2843000-2844000"/>
          <s v="2844000-2845000"/>
          <s v="2845000-2846000"/>
          <s v="2846000-2847000"/>
          <s v="2847000-2848000"/>
          <s v="2848000-2849000"/>
          <s v="2849000-2850000"/>
          <s v="2850000-2851000"/>
          <s v="2851000-2852000"/>
          <s v="2852000-2853000"/>
          <s v="2853000-2854000"/>
          <s v="2854000-2855000"/>
          <s v="2855000-2856000"/>
          <s v="2856000-2857000"/>
          <s v="2857000-2858000"/>
          <s v="2858000-2859000"/>
          <s v="2859000-2860000"/>
          <s v="2860000-2861000"/>
          <s v="2861000-2862000"/>
          <s v="2862000-2863000"/>
          <s v="2863000-2864000"/>
          <s v="2864000-2865000"/>
          <s v="2865000-2866000"/>
          <s v="2866000-2867000"/>
          <s v="2867000-2868000"/>
          <s v="2868000-2869000"/>
          <s v="2869000-2870000"/>
          <s v="2870000-2871000"/>
          <s v="2871000-2872000"/>
          <s v="2872000-2873000"/>
          <s v="2873000-2874000"/>
          <s v="2874000-2875000"/>
          <s v="2875000-2876000"/>
          <s v="2876000-2877000"/>
          <s v="2877000-2878000"/>
          <s v="2878000-2879000"/>
          <s v="2879000-2880000"/>
          <s v="2880000-2881000"/>
          <s v="2881000-2882000"/>
          <s v="2882000-2883000"/>
          <s v="2883000-2884000"/>
          <s v="2884000-2885000"/>
          <s v="2885000-2886000"/>
          <s v="2886000-2887000"/>
          <s v="2887000-2888000"/>
          <s v="2888000-2889000"/>
          <s v="2889000-2890000"/>
          <s v="2890000-2891000"/>
          <s v="2891000-2892000"/>
          <s v="2892000-2893000"/>
          <s v="2893000-2894000"/>
          <s v="2894000-2895000"/>
          <s v="2895000-2896000"/>
          <s v="2896000-2897000"/>
          <s v="2897000-2898000"/>
          <s v="2898000-2899000"/>
          <s v="2899000-2900000"/>
          <s v="2900000-2901000"/>
          <s v="2901000-2902000"/>
          <s v="2902000-2903000"/>
          <s v="2903000-2904000"/>
          <s v="2904000-2905000"/>
          <s v="2905000-2906000"/>
          <s v="2906000-2907000"/>
          <s v="2907000-2908000"/>
          <s v="2908000-2909000"/>
          <s v="2909000-2910000"/>
          <s v="2910000-2911000"/>
          <s v="2911000-2912000"/>
          <s v="2912000-2913000"/>
          <s v="2913000-2914000"/>
          <s v="2914000-2915000"/>
          <s v="2915000-2916000"/>
          <s v="2916000-2917000"/>
          <s v="2917000-2918000"/>
          <s v="2918000-2919000"/>
          <s v="2919000-2920000"/>
          <s v="2920000-2921000"/>
          <s v="2921000-2922000"/>
          <s v="2922000-2923000"/>
          <s v="2923000-2924000"/>
          <s v="2924000-2925000"/>
          <s v="2925000-2926000"/>
          <s v="2926000-2927000"/>
          <s v="2927000-2928000"/>
          <s v="2928000-2929000"/>
          <s v="2929000-2930000"/>
          <s v="2930000-2931000"/>
          <s v="2931000-2932000"/>
          <s v="2932000-2933000"/>
          <s v="2933000-2934000"/>
          <s v="2934000-2935000"/>
          <s v="2935000-2936000"/>
          <s v="2936000-2937000"/>
          <s v="2937000-2938000"/>
          <s v="2938000-2939000"/>
          <s v="2939000-2940000"/>
          <s v="2940000-2941000"/>
          <s v="2941000-2942000"/>
          <s v="2942000-2943000"/>
          <s v="2943000-2944000"/>
          <s v="2944000-2945000"/>
          <s v="2945000-2946000"/>
          <s v="2946000-2947000"/>
          <s v="2947000-2948000"/>
          <s v="2948000-2949000"/>
          <s v="2949000-2950000"/>
          <s v="2950000-2951000"/>
          <s v="2951000-2952000"/>
          <s v="2952000-2953000"/>
          <s v="2953000-2954000"/>
          <s v="2954000-2955000"/>
          <s v="2955000-2956000"/>
          <s v="2956000-2957000"/>
          <s v="2957000-2958000"/>
          <s v="2958000-2959000"/>
          <s v="2959000-2960000"/>
          <s v="2960000-2961000"/>
          <s v="2961000-2962000"/>
          <s v="2962000-2963000"/>
          <s v="2963000-2964000"/>
          <s v="2964000-2965000"/>
          <s v="2965000-2966000"/>
          <s v="2966000-2967000"/>
          <s v="2967000-2968000"/>
          <s v="2968000-2969000"/>
          <s v="2969000-2970000"/>
          <s v="2970000-2971000"/>
          <s v="2971000-2972000"/>
          <s v="2972000-2973000"/>
          <s v="2973000-2974000"/>
          <s v="2974000-2975000"/>
          <s v="2975000-2976000"/>
          <s v="2976000-2977000"/>
          <s v="2977000-2978000"/>
          <s v="2978000-2979000"/>
          <s v="2979000-2980000"/>
          <s v="2980000-2981000"/>
          <s v="2981000-2982000"/>
          <s v="2982000-2983000"/>
          <s v="2983000-2984000"/>
          <s v="2984000-2985000"/>
          <s v="2985000-2986000"/>
          <s v="2986000-2987000"/>
          <s v="2987000-2988000"/>
          <s v="2988000-2989000"/>
          <s v="2989000-2990000"/>
          <s v="2990000-2991000"/>
          <s v="2991000-2992000"/>
          <s v="2992000-2993000"/>
          <s v="2993000-2994000"/>
          <s v="2994000-2995000"/>
          <s v="2995000-2996000"/>
          <s v="2996000-2997000"/>
          <s v="2997000-2998000"/>
          <s v="2998000-2999000"/>
          <s v="2999000-3000000"/>
          <s v="3000000-3001000"/>
          <s v="3001000-3002000"/>
          <s v="3002000-3003000"/>
          <s v="3003000-3004000"/>
          <s v="3004000-3005000"/>
          <s v="3005000-3006000"/>
          <s v="3006000-3007000"/>
          <s v="3007000-3008000"/>
          <s v="3008000-3009000"/>
          <s v="3009000-3010000"/>
          <s v="3010000-3011000"/>
          <s v="3011000-3012000"/>
          <s v="3012000-3013000"/>
          <s v="3013000-3014000"/>
          <s v="3014000-3015000"/>
          <s v="3015000-3016000"/>
          <s v="3016000-3017000"/>
          <s v="3017000-3018000"/>
          <s v="3018000-3019000"/>
          <s v="3019000-3020000"/>
          <s v="3020000-3021000"/>
          <s v="3021000-3022000"/>
          <s v="3022000-3023000"/>
          <s v="3023000-3024000"/>
          <s v="3024000-3025000"/>
          <s v="3025000-3026000"/>
          <s v="3026000-3027000"/>
          <s v="3027000-3028000"/>
          <s v="3028000-3029000"/>
          <s v="3029000-3030000"/>
          <s v="3030000-3031000"/>
          <s v="3031000-3032000"/>
          <s v="3032000-3033000"/>
          <s v="3033000-3034000"/>
          <s v="3034000-3035000"/>
          <s v="3035000-3036000"/>
          <s v="3036000-3037000"/>
          <s v="3037000-3038000"/>
          <s v="3038000-3039000"/>
          <s v="3039000-3040000"/>
          <s v="3040000-3041000"/>
          <s v="3041000-3042000"/>
          <s v="3042000-3043000"/>
          <s v="3043000-3044000"/>
          <s v="3044000-3045000"/>
          <s v="3045000-3046000"/>
          <s v="3046000-3047000"/>
          <s v="3047000-3048000"/>
          <s v="3048000-3049000"/>
          <s v="3049000-3050000"/>
          <s v="3050000-3051000"/>
          <s v="3051000-3052000"/>
          <s v="3052000-3053000"/>
          <s v="3053000-3054000"/>
          <s v="3054000-3055000"/>
          <s v="3055000-3056000"/>
          <s v="3056000-3057000"/>
          <s v="3057000-3058000"/>
          <s v="3058000-3059000"/>
          <s v="3059000-3060000"/>
          <s v="3060000-3061000"/>
          <s v="3061000-3062000"/>
          <s v="3062000-3063000"/>
          <s v="3063000-3064000"/>
          <s v="3064000-3065000"/>
          <s v="3065000-3066000"/>
          <s v="3066000-3067000"/>
          <s v="3067000-3068000"/>
          <s v="3068000-3069000"/>
          <s v="3069000-3070000"/>
          <s v="3070000-3071000"/>
          <s v="3071000-3072000"/>
          <s v="3072000-3073000"/>
          <s v="3073000-3074000"/>
          <s v="3074000-3075000"/>
          <s v="3075000-3076000"/>
          <s v="3076000-3077000"/>
          <s v="3077000-3078000"/>
          <s v="3078000-3079000"/>
          <s v="3079000-3080000"/>
          <s v="3080000-3081000"/>
          <s v="3081000-3082000"/>
          <s v="3082000-3083000"/>
          <s v="3083000-3084000"/>
          <s v="3084000-3085000"/>
          <s v="3085000-3086000"/>
          <s v="3086000-3087000"/>
          <s v="3087000-3088000"/>
          <s v="3088000-3089000"/>
          <s v="3089000-3090000"/>
          <s v="3090000-3091000"/>
          <s v="3091000-3092000"/>
          <s v="3092000-3093000"/>
          <s v="3093000-3094000"/>
          <s v="3094000-3095000"/>
          <s v="3095000-3096000"/>
          <s v="3096000-3097000"/>
          <s v="3097000-3098000"/>
          <s v="3098000-3099000"/>
          <s v="3099000-3100000"/>
          <s v="3100000-3101000"/>
          <s v="3101000-3102000"/>
          <s v="3102000-3103000"/>
          <s v="3103000-3104000"/>
          <s v="3104000-3105000"/>
          <s v="3105000-3106000"/>
          <s v="3106000-3107000"/>
          <s v="3107000-3108000"/>
          <s v="3108000-3109000"/>
          <s v="3109000-3110000"/>
          <s v="3110000-3111000"/>
          <s v="3111000-3112000"/>
          <s v="3112000-3113000"/>
          <s v="3113000-3114000"/>
          <s v="3114000-3115000"/>
          <s v="3115000-3116000"/>
          <s v="3116000-3117000"/>
          <s v="3117000-3118000"/>
          <s v="3118000-3119000"/>
          <s v="3119000-3120000"/>
          <s v="3120000-3121000"/>
          <s v="3121000-3122000"/>
          <s v="3122000-3123000"/>
          <s v="3123000-3124000"/>
          <s v="3124000-3125000"/>
          <s v="3125000-3126000"/>
          <s v="3126000-3127000"/>
          <s v="3127000-3128000"/>
          <s v="3128000-3129000"/>
          <s v="3129000-3130000"/>
          <s v="3130000-3131000"/>
          <s v="3131000-3132000"/>
          <s v="3132000-3133000"/>
          <s v="3133000-3134000"/>
          <s v="3134000-3135000"/>
          <s v="3135000-3136000"/>
          <s v="3136000-3137000"/>
          <s v="3137000-3138000"/>
          <s v="3138000-3139000"/>
          <s v="3139000-3140000"/>
          <s v="3140000-3141000"/>
          <s v="3141000-3142000"/>
          <s v="3142000-3143000"/>
          <s v="3143000-3144000"/>
          <s v="3144000-3145000"/>
          <s v="3145000-3146000"/>
          <s v="3146000-3147000"/>
          <s v="3147000-3148000"/>
          <s v="3148000-3149000"/>
          <s v="3149000-3150000"/>
          <s v="3150000-3151000"/>
          <s v="3151000-3152000"/>
          <s v="3152000-3153000"/>
          <s v="3153000-3154000"/>
          <s v="3154000-3155000"/>
          <s v="3155000-3156000"/>
          <s v="3156000-3157000"/>
          <s v="3157000-3158000"/>
          <s v="3158000-3159000"/>
          <s v="3159000-3160000"/>
          <s v="3160000-3161000"/>
          <s v="3161000-3162000"/>
          <s v="3162000-3163000"/>
          <s v="3163000-3164000"/>
          <s v="3164000-3165000"/>
          <s v="3165000-3166000"/>
          <s v="3166000-3167000"/>
          <s v="3167000-3168000"/>
          <s v="3168000-3169000"/>
          <s v="3169000-3170000"/>
          <s v="3170000-3171000"/>
          <s v="3171000-3172000"/>
          <s v="3172000-3173000"/>
          <s v="3173000-3174000"/>
          <s v="3174000-3175000"/>
          <s v="3175000-3176000"/>
          <s v="3176000-3177000"/>
          <s v="3177000-3178000"/>
          <s v="3178000-3179000"/>
          <s v="3179000-3180000"/>
          <s v="3180000-3181000"/>
          <s v="3181000-3182000"/>
          <s v="3182000-3183000"/>
          <s v="3183000-3184000"/>
          <s v="3184000-3185000"/>
          <s v="3185000-3186000"/>
          <s v="3186000-3187000"/>
          <s v="3187000-3188000"/>
          <s v="3188000-3189000"/>
          <s v="3189000-3190000"/>
          <s v="3190000-3191000"/>
          <s v="3191000-3192000"/>
          <s v="3192000-3193000"/>
          <s v="3193000-3194000"/>
          <s v="3194000-3195000"/>
          <s v="3195000-3196000"/>
          <s v="3196000-3197000"/>
          <s v="3197000-3198000"/>
          <s v="3198000-3199000"/>
          <s v="3199000-3200000"/>
          <s v="3200000-3201000"/>
          <s v="3201000-3202000"/>
          <s v="3202000-3203000"/>
          <s v="3203000-3204000"/>
          <s v="3204000-3205000"/>
          <s v="3205000-3206000"/>
          <s v="3206000-3207000"/>
          <s v="3207000-3208000"/>
          <s v="3208000-3209000"/>
          <s v="3209000-3210000"/>
          <s v="3210000-3211000"/>
          <s v="3211000-3212000"/>
          <s v="3212000-3213000"/>
          <s v="3213000-3214000"/>
          <s v="3214000-3215000"/>
          <s v="3215000-3216000"/>
          <s v="3216000-3217000"/>
          <s v="3217000-3218000"/>
          <s v="3218000-3219000"/>
          <s v="3219000-3220000"/>
          <s v="3220000-3221000"/>
          <s v="3221000-3222000"/>
          <s v="3222000-3223000"/>
          <s v="3223000-3224000"/>
          <s v="3224000-3225000"/>
          <s v="3225000-3226000"/>
          <s v="3226000-3227000"/>
          <s v="3227000-3228000"/>
          <s v="3228000-3229000"/>
          <s v="3229000-3230000"/>
          <s v="3230000-3231000"/>
          <s v="3231000-3232000"/>
          <s v="3232000-3233000"/>
          <s v="3233000-3234000"/>
          <s v="3234000-3235000"/>
          <s v="3235000-3236000"/>
          <s v="3236000-3237000"/>
          <s v="3237000-3238000"/>
          <s v="3238000-3239000"/>
          <s v="3239000-3240000"/>
          <s v="3240000-3241000"/>
          <s v="3241000-3242000"/>
          <s v="3242000-3243000"/>
          <s v="3243000-3244000"/>
          <s v="3244000-3245000"/>
          <s v="3245000-3246000"/>
          <s v="3246000-3247000"/>
          <s v="3247000-3248000"/>
          <s v="3248000-3249000"/>
          <s v="3249000-3250000"/>
          <s v="3250000-3251000"/>
          <s v="3251000-3252000"/>
          <s v="3252000-3253000"/>
          <s v="3253000-3254000"/>
          <s v="3254000-3255000"/>
          <s v="3255000-3256000"/>
          <s v="3256000-3257000"/>
          <s v="3257000-3258000"/>
          <s v="3258000-3259000"/>
          <s v="3259000-3260000"/>
          <s v="3260000-3261000"/>
          <s v="3261000-3262000"/>
          <s v="3262000-3263000"/>
          <s v="3263000-3264000"/>
          <s v="3264000-3265000"/>
          <s v="3265000-3266000"/>
          <s v="3266000-3267000"/>
          <s v="3267000-3268000"/>
          <s v="3268000-3269000"/>
          <s v="3269000-3270000"/>
          <s v="3270000-3271000"/>
          <s v="3271000-3272000"/>
          <s v="3272000-3273000"/>
          <s v="3273000-3274000"/>
          <s v="3274000-3275000"/>
          <s v="3275000-3276000"/>
          <s v="3276000-3277000"/>
          <s v="3277000-3278000"/>
          <s v="3278000-3279000"/>
          <s v="3279000-3280000"/>
          <s v="3280000-3281000"/>
          <s v="3281000-3282000"/>
          <s v="3282000-3283000"/>
          <s v="3283000-3284000"/>
          <s v="3284000-3285000"/>
          <s v="3285000-3286000"/>
          <s v="3286000-3287000"/>
          <s v="3287000-3288000"/>
          <s v="3288000-3289000"/>
          <s v="3289000-3290000"/>
          <s v="3290000-3291000"/>
          <s v="3291000-3292000"/>
          <s v="3292000-3293000"/>
          <s v="3293000-3294000"/>
          <s v="3294000-3295000"/>
          <s v="3295000-3296000"/>
          <s v="3296000-3297000"/>
          <s v="3297000-3298000"/>
          <s v="3298000-3299000"/>
          <s v="3299000-3300000"/>
          <s v="3300000-3301000"/>
          <s v="3301000-3302000"/>
          <s v="3302000-3303000"/>
          <s v="3303000-3304000"/>
          <s v="3304000-3305000"/>
          <s v="3305000-3306000"/>
          <s v="3306000-3307000"/>
          <s v="3307000-3308000"/>
          <s v="3308000-3309000"/>
          <s v="3309000-3310000"/>
          <s v="3310000-3311000"/>
          <s v="3311000-3312000"/>
          <s v="3312000-3313000"/>
          <s v="3313000-3314000"/>
          <s v="3314000-3315000"/>
          <s v="3315000-3316000"/>
          <s v="3316000-3317000"/>
          <s v="3317000-3318000"/>
          <s v="3318000-3319000"/>
          <s v="3319000-3320000"/>
          <s v="3320000-3321000"/>
          <s v="3321000-3322000"/>
          <s v="3322000-3323000"/>
          <s v="3323000-3324000"/>
          <s v="3324000-3325000"/>
          <s v="3325000-3326000"/>
          <s v="3326000-3327000"/>
          <s v="3327000-3328000"/>
          <s v="3328000-3329000"/>
          <s v="3329000-3330000"/>
          <s v="3330000-3331000"/>
          <s v="3331000-3332000"/>
          <s v="3332000-3333000"/>
          <s v="3333000-3334000"/>
          <s v="3334000-3335000"/>
          <s v="3335000-3336000"/>
          <s v="3336000-3337000"/>
          <s v="3337000-3338000"/>
          <s v="3338000-3339000"/>
          <s v="3339000-3340000"/>
          <s v="3340000-3341000"/>
          <s v="3341000-3342000"/>
          <s v="3342000-3343000"/>
          <s v="3343000-3344000"/>
          <s v="3344000-3345000"/>
          <s v="3345000-3346000"/>
          <s v="3346000-3347000"/>
          <s v="3347000-3348000"/>
          <s v="3348000-3349000"/>
          <s v="3349000-3350000"/>
          <s v="3350000-3351000"/>
          <s v="3351000-3352000"/>
          <s v="3352000-3353000"/>
          <s v="3353000-3354000"/>
          <s v="3354000-3355000"/>
          <s v="3355000-3356000"/>
          <s v="3356000-3357000"/>
          <s v="3357000-3358000"/>
          <s v="3358000-3359000"/>
          <s v="3359000-3360000"/>
          <s v="3360000-3361000"/>
          <s v="3361000-3362000"/>
          <s v="3362000-3363000"/>
          <s v="3363000-3364000"/>
          <s v="3364000-3365000"/>
          <s v="3365000-3366000"/>
          <s v="3366000-3367000"/>
          <s v="3367000-3368000"/>
          <s v="3368000-3369000"/>
          <s v="3369000-3370000"/>
          <s v="3370000-3371000"/>
          <s v="3371000-3372000"/>
          <s v="3372000-3373000"/>
          <s v="3373000-3374000"/>
          <s v="3374000-3375000"/>
          <s v="3375000-3376000"/>
          <s v="3376000-3377000"/>
          <s v="3377000-3378000"/>
          <s v="3378000-3379000"/>
          <s v="3379000-3380000"/>
          <s v="3380000-3381000"/>
          <s v="3381000-3382000"/>
          <s v="3382000-3383000"/>
          <s v="3383000-3384000"/>
          <s v="3384000-3385000"/>
          <s v="3385000-3386000"/>
          <s v="3386000-3387000"/>
          <s v="3387000-3388000"/>
          <s v="3388000-3389000"/>
          <s v="3389000-3390000"/>
          <s v="3390000-3391000"/>
          <s v="3391000-3392000"/>
          <s v="3392000-3393000"/>
          <s v="3393000-3394000"/>
          <s v="3394000-3395000"/>
          <s v="3395000-3396000"/>
          <s v="3396000-3397000"/>
          <s v="3397000-3398000"/>
          <s v="3398000-3399000"/>
          <s v="3399000-3400000"/>
          <s v="3400000-3401000"/>
          <s v="3401000-3402000"/>
          <s v="3402000-3403000"/>
          <s v="3403000-3404000"/>
          <s v="3404000-3405000"/>
          <s v="3405000-3406000"/>
          <s v="3406000-3407000"/>
          <s v="3407000-3408000"/>
          <s v="3408000-3409000"/>
          <s v="3409000-3410000"/>
          <s v="3410000-3411000"/>
          <s v="3411000-3412000"/>
          <s v="3412000-3413000"/>
          <s v="3413000-3414000"/>
          <s v="3414000-3415000"/>
          <s v="3415000-3416000"/>
          <s v="3416000-3417000"/>
          <s v="3417000-3418000"/>
          <s v="3418000-3419000"/>
          <s v="3419000-3420000"/>
          <s v="3420000-3421000"/>
          <s v="3421000-3422000"/>
          <s v="3422000-3423000"/>
          <s v="3423000-3424000"/>
          <s v="3424000-3425000"/>
          <s v="3425000-3426000"/>
          <s v="3426000-3427000"/>
          <s v="3427000-3428000"/>
          <s v="3428000-3429000"/>
          <s v="3429000-3430000"/>
          <s v="3430000-3431000"/>
          <s v="3431000-3432000"/>
          <s v="3432000-3433000"/>
          <s v="3433000-3434000"/>
          <s v="3434000-3435000"/>
          <s v="3435000-3436000"/>
          <s v="3436000-3437000"/>
          <s v="3437000-3438000"/>
          <s v="3438000-3439000"/>
          <s v="3439000-3440000"/>
          <s v="3440000-3441000"/>
          <s v="3441000-3442000"/>
          <s v="3442000-3443000"/>
          <s v="3443000-3444000"/>
          <s v="3444000-3445000"/>
          <s v="3445000-3446000"/>
          <s v="3446000-3447000"/>
          <s v="3447000-3448000"/>
          <s v="3448000-3449000"/>
          <s v="3449000-3450000"/>
          <s v="3450000-3451000"/>
          <s v="3451000-3452000"/>
          <s v="3452000-3453000"/>
          <s v="3453000-3454000"/>
          <s v="3454000-3455000"/>
          <s v="3455000-3456000"/>
          <s v="3456000-3457000"/>
          <s v="3457000-3458000"/>
          <s v="3458000-3459000"/>
          <s v="3459000-3460000"/>
          <s v="3460000-3461000"/>
          <s v="3461000-3462000"/>
          <s v="3462000-3463000"/>
          <s v="3463000-3464000"/>
          <s v="3464000-3465000"/>
          <s v="3465000-3466000"/>
          <s v="3466000-3467000"/>
          <s v="3467000-3468000"/>
          <s v="3468000-3469000"/>
          <s v="3469000-3470000"/>
          <s v="3470000-3471000"/>
          <s v="3471000-3472000"/>
          <s v="3472000-3473000"/>
          <s v="3473000-3474000"/>
          <s v="3474000-3475000"/>
          <s v="3475000-3476000"/>
          <s v="3476000-3477000"/>
          <s v="3477000-3478000"/>
          <s v="3478000-3479000"/>
          <s v="3479000-3480000"/>
          <s v="3480000-3481000"/>
          <s v="3481000-3482000"/>
          <s v="3482000-3483000"/>
          <s v="3483000-3484000"/>
          <s v="3484000-3485000"/>
          <s v="3485000-3486000"/>
          <s v="3486000-3487000"/>
          <s v="3487000-3488000"/>
          <s v="3488000-3489000"/>
          <s v="3489000-3490000"/>
          <s v="3490000-3491000"/>
          <s v="3491000-3492000"/>
          <s v="3492000-3493000"/>
          <s v="3493000-3494000"/>
          <s v="3494000-3495000"/>
          <s v="3495000-3496000"/>
          <s v="3496000-3497000"/>
          <s v="3497000-3498000"/>
          <s v="3498000-3499000"/>
          <s v="3499000-3500000"/>
          <s v="3500000-3501000"/>
          <s v="3501000-3502000"/>
          <s v="3502000-3503000"/>
          <s v="3503000-3504000"/>
          <s v="3504000-3505000"/>
          <s v="3505000-3506000"/>
          <s v="3506000-3507000"/>
          <s v="3507000-3508000"/>
          <s v="3508000-3509000"/>
          <s v="3509000-3510000"/>
          <s v="3510000-3511000"/>
          <s v="3511000-3512000"/>
          <s v="3512000-3513000"/>
          <s v="3513000-3514000"/>
          <s v="3514000-3515000"/>
          <s v="3515000-3516000"/>
          <s v="3516000-3517000"/>
          <s v="3517000-3518000"/>
          <s v="3518000-3519000"/>
          <s v="3519000-3520000"/>
          <s v="3520000-3521000"/>
          <s v="3521000-3522000"/>
          <s v="3522000-3523000"/>
          <s v="3523000-3524000"/>
          <s v="3524000-3525000"/>
          <s v="3525000-3526000"/>
          <s v="3526000-3527000"/>
          <s v="3527000-3528000"/>
          <s v="3528000-3529000"/>
          <s v="3529000-3530000"/>
          <s v="3530000-3531000"/>
          <s v="3531000-3532000"/>
          <s v="3532000-3533000"/>
          <s v="3533000-3534000"/>
          <s v="3534000-3535000"/>
          <s v="3535000-3536000"/>
          <s v="3536000-3537000"/>
          <s v="3537000-3538000"/>
          <s v="3538000-3539000"/>
          <s v="3539000-3540000"/>
          <s v="3540000-3541000"/>
          <s v="3541000-3542000"/>
          <s v="3542000-3543000"/>
          <s v="3543000-3544000"/>
          <s v="3544000-3545000"/>
          <s v="3545000-3546000"/>
          <s v="3546000-3547000"/>
          <s v="3547000-3548000"/>
          <s v="3548000-3549000"/>
          <s v="3549000-3550000"/>
          <s v="3550000-3551000"/>
          <s v="3551000-3552000"/>
          <s v="3552000-3553000"/>
          <s v="3553000-3554000"/>
          <s v="3554000-3555000"/>
          <s v="3555000-3556000"/>
          <s v="3556000-3557000"/>
          <s v="3557000-3558000"/>
          <s v="3558000-3559000"/>
          <s v="3559000-3560000"/>
          <s v="3560000-3561000"/>
          <s v="3561000-3562000"/>
          <s v="3562000-3563000"/>
          <s v="3563000-3564000"/>
          <s v="3564000-3565000"/>
          <s v="3565000-3566000"/>
          <s v="3566000-3567000"/>
          <s v="3567000-3568000"/>
          <s v="3568000-3569000"/>
          <s v="3569000-3570000"/>
          <s v="3570000-3571000"/>
          <s v="3571000-3572000"/>
          <s v="3572000-3573000"/>
          <s v="3573000-3574000"/>
          <s v="3574000-3575000"/>
          <s v="3575000-3576000"/>
          <s v="3576000-3577000"/>
          <s v="3577000-3578000"/>
          <s v="3578000-3579000"/>
          <s v="3579000-3580000"/>
          <s v="3580000-3581000"/>
          <s v="3581000-3582000"/>
          <s v="3582000-3583000"/>
          <s v="3583000-3584000"/>
          <s v="3584000-3585000"/>
          <s v="3585000-3586000"/>
          <s v="3586000-3587000"/>
          <s v="3587000-3588000"/>
          <s v="3588000-3589000"/>
          <s v="3589000-3590000"/>
          <s v="3590000-3591000"/>
          <s v="3591000-3592000"/>
          <s v="3592000-3593000"/>
          <s v="3593000-3594000"/>
          <s v="3594000-3595000"/>
          <s v="3595000-3596000"/>
          <s v="3596000-3597000"/>
          <s v="3597000-3598000"/>
          <s v="3598000-3599000"/>
          <s v="3599000-3600000"/>
          <s v="3600000-3601000"/>
          <s v="3601000-3602000"/>
          <s v="3602000-3603000"/>
          <s v="3603000-3604000"/>
          <s v="3604000-3605000"/>
          <s v="3605000-3606000"/>
          <s v="3606000-3607000"/>
          <s v="3607000-3608000"/>
          <s v="3608000-3609000"/>
          <s v="3609000-3610000"/>
          <s v="3610000-3611000"/>
          <s v="3611000-3612000"/>
          <s v="3612000-3613000"/>
          <s v="3613000-3614000"/>
          <s v="3614000-3615000"/>
          <s v="3615000-3616000"/>
          <s v="3616000-3617000"/>
          <s v="3617000-3618000"/>
          <s v="3618000-3619000"/>
          <s v="3619000-3620000"/>
          <s v="3620000-3621000"/>
          <s v="3621000-3622000"/>
          <s v="3622000-3623000"/>
          <s v="3623000-3624000"/>
          <s v="3624000-3625000"/>
          <s v="3625000-3626000"/>
          <s v="3626000-3627000"/>
          <s v="3627000-3628000"/>
          <s v="3628000-3629000"/>
          <s v="3629000-3630000"/>
          <s v="3630000-3631000"/>
          <s v="3631000-3632000"/>
          <s v="3632000-3633000"/>
          <s v="3633000-3634000"/>
          <s v="3634000-3635000"/>
          <s v="3635000-3636000"/>
          <s v="3636000-3637000"/>
          <s v="3637000-3638000"/>
          <s v="3638000-3639000"/>
          <s v="3639000-3640000"/>
          <s v="3640000-3641000"/>
          <s v="3641000-3642000"/>
          <s v="3642000-3643000"/>
          <s v="3643000-3644000"/>
          <s v="3644000-3645000"/>
          <s v="3645000-3646000"/>
          <s v="3646000-3647000"/>
          <s v="3647000-3648000"/>
          <s v="3648000-3649000"/>
          <s v="3649000-3650000"/>
          <s v="3650000-3651000"/>
          <s v="3651000-3652000"/>
          <s v="3652000-3653000"/>
          <s v="3653000-3654000"/>
          <s v="3654000-3655000"/>
          <s v="3655000-3656000"/>
          <s v="3656000-3657000"/>
          <s v="3657000-3658000"/>
          <s v="3658000-3659000"/>
          <s v="3659000-3660000"/>
          <s v="3660000-3661000"/>
          <s v="3661000-3662000"/>
          <s v="3662000-3663000"/>
          <s v="3663000-3664000"/>
          <s v="3664000-3665000"/>
          <s v="3665000-3666000"/>
          <s v="3666000-3667000"/>
          <s v="3667000-3668000"/>
          <s v="3668000-3669000"/>
          <s v="3669000-3670000"/>
          <s v="3670000-3671000"/>
          <s v="3671000-3672000"/>
          <s v="3672000-3673000"/>
          <s v="3673000-3674000"/>
          <s v="3674000-3675000"/>
          <s v="3675000-3676000"/>
          <s v="3676000-3677000"/>
          <s v="3677000-3678000"/>
          <s v="3678000-3679000"/>
          <s v="3679000-3680000"/>
          <s v="3680000-3681000"/>
          <s v="3681000-3682000"/>
          <s v="3682000-3683000"/>
          <s v="3683000-3684000"/>
          <s v="3684000-3685000"/>
          <s v="3685000-3686000"/>
          <s v="3686000-3687000"/>
          <s v="3687000-3688000"/>
          <s v="3688000-3689000"/>
          <s v="3689000-3690000"/>
          <s v="3690000-3691000"/>
          <s v="3691000-3692000"/>
          <s v="3692000-3693000"/>
          <s v="3693000-3694000"/>
          <s v="3694000-3695000"/>
          <s v="3695000-3696000"/>
          <s v="3696000-3697000"/>
          <s v="3697000-3698000"/>
          <s v="3698000-3699000"/>
          <s v="3699000-3700000"/>
          <s v="3700000-3701000"/>
          <s v="3701000-3702000"/>
          <s v="3702000-3703000"/>
          <s v="3703000-3704000"/>
          <s v="3704000-3705000"/>
          <s v="3705000-3706000"/>
          <s v="3706000-3707000"/>
          <s v="3707000-3708000"/>
          <s v="3708000-3709000"/>
          <s v="3709000-3710000"/>
          <s v="3710000-3711000"/>
          <s v="3711000-3712000"/>
          <s v="3712000-3713000"/>
          <s v="3713000-3714000"/>
          <s v="3714000-3715000"/>
          <s v="3715000-3716000"/>
          <s v="3716000-3717000"/>
          <s v="3717000-3718000"/>
          <s v="3718000-3719000"/>
          <s v="3719000-3720000"/>
          <s v="3720000-3721000"/>
          <s v="3721000-3722000"/>
          <s v="3722000-3723000"/>
          <s v="3723000-3724000"/>
          <s v="3724000-3725000"/>
          <s v="3725000-3726000"/>
          <s v="3726000-3727000"/>
          <s v="3727000-3728000"/>
          <s v="3728000-3729000"/>
          <s v="3729000-3730000"/>
          <s v="3730000-3731000"/>
          <s v="3731000-3732000"/>
          <s v="3732000-3733000"/>
          <s v="3733000-3734000"/>
          <s v="3734000-3735000"/>
          <s v="3735000-3736000"/>
          <s v="3736000-3737000"/>
          <s v="3737000-3738000"/>
          <s v="3738000-3739000"/>
          <s v="3739000-3740000"/>
          <s v="3740000-3741000"/>
          <s v="3741000-3742000"/>
          <s v="3742000-3743000"/>
          <s v="3743000-3744000"/>
          <s v="3744000-3745000"/>
          <s v="3745000-3746000"/>
          <s v="3746000-3747000"/>
          <s v="3747000-3748000"/>
          <s v="3748000-3749000"/>
          <s v="3749000-3750000"/>
          <s v="3750000-3751000"/>
          <s v="3751000-3752000"/>
          <s v="3752000-3753000"/>
          <s v="3753000-3754000"/>
          <s v="3754000-3755000"/>
          <s v="3755000-3756000"/>
          <s v="3756000-3757000"/>
          <s v="3757000-3758000"/>
          <s v="3758000-3759000"/>
          <s v="3759000-3760000"/>
          <s v="3760000-3761000"/>
          <s v="3761000-3762000"/>
          <s v="3762000-3763000"/>
          <s v="3763000-3764000"/>
          <s v="3764000-3765000"/>
          <s v="3765000-3766000"/>
          <s v="3766000-3767000"/>
          <s v="3767000-3768000"/>
          <s v="3768000-3769000"/>
          <s v="3769000-3770000"/>
          <s v="3770000-3771000"/>
          <s v="3771000-3772000"/>
          <s v="3772000-3773000"/>
          <s v="3773000-3774000"/>
          <s v="3774000-3775000"/>
          <s v="3775000-3776000"/>
          <s v="3776000-3777000"/>
          <s v="3777000-3778000"/>
          <s v="3778000-3779000"/>
          <s v="3779000-3780000"/>
          <s v="3780000-3781000"/>
          <s v="3781000-3782000"/>
          <s v="3782000-3783000"/>
          <s v="3783000-3784000"/>
          <s v="3784000-3785000"/>
          <s v="3785000-3786000"/>
          <s v="3786000-3787000"/>
          <s v="3787000-3788000"/>
          <s v="3788000-3789000"/>
          <s v="3789000-3790000"/>
          <s v="3790000-3791000"/>
          <s v="3791000-3792000"/>
          <s v="3792000-3793000"/>
          <s v="3793000-3794000"/>
          <s v="3794000-3795000"/>
          <s v="3795000-3796000"/>
          <s v="3796000-3797000"/>
          <s v="3797000-3798000"/>
          <s v="3798000-3799000"/>
          <s v="3799000-3800000"/>
          <s v="3800000-3801000"/>
          <s v="3801000-3802000"/>
          <s v="3802000-3803000"/>
          <s v="3803000-3804000"/>
          <s v="3804000-3805000"/>
          <s v="3805000-3806000"/>
          <s v="3806000-3807000"/>
          <s v="3807000-3808000"/>
          <s v="3808000-3809000"/>
          <s v="3809000-3810000"/>
          <s v="3810000-3811000"/>
          <s v="3811000-3812000"/>
          <s v="3812000-3813000"/>
          <s v="3813000-3814000"/>
          <s v="3814000-3815000"/>
          <s v="3815000-3816000"/>
          <s v="3816000-3817000"/>
          <s v="3817000-3818000"/>
          <s v="3818000-3819000"/>
          <s v="3819000-3820000"/>
          <s v="3820000-3821000"/>
          <s v="3821000-3822000"/>
          <s v="3822000-3823000"/>
          <s v="3823000-3824000"/>
          <s v="3824000-3825000"/>
          <s v="3825000-3826000"/>
          <s v="3826000-3827000"/>
          <s v="3827000-3828000"/>
          <s v="3828000-3829000"/>
          <s v="3829000-3830000"/>
          <s v="3830000-3831000"/>
          <s v="3831000-3832000"/>
          <s v="3832000-3833000"/>
          <s v="3833000-3834000"/>
          <s v="3834000-3835000"/>
          <s v="3835000-3836000"/>
          <s v="3836000-3837000"/>
          <s v="3837000-3838000"/>
          <s v="3838000-3839000"/>
          <s v="3839000-3840000"/>
          <s v="3840000-3841000"/>
          <s v="3841000-3842000"/>
          <s v="3842000-3843000"/>
          <s v="3843000-3844000"/>
          <s v="3844000-3845000"/>
          <s v="3845000-3846000"/>
          <s v="3846000-3847000"/>
          <s v="3847000-3848000"/>
          <s v="3848000-3849000"/>
          <s v="3849000-3850000"/>
          <s v="3850000-3851000"/>
          <s v="3851000-3852000"/>
          <s v="3852000-3853000"/>
          <s v="3853000-3854000"/>
          <s v="3854000-3855000"/>
          <s v="3855000-3856000"/>
          <s v="3856000-3857000"/>
          <s v="3857000-3858000"/>
          <s v="3858000-3859000"/>
          <s v="3859000-3860000"/>
          <s v="3860000-3861000"/>
          <s v="3861000-3862000"/>
          <s v="3862000-3863000"/>
          <s v="3863000-3864000"/>
          <s v="3864000-3865000"/>
          <s v="3865000-3866000"/>
          <s v="3866000-3867000"/>
          <s v="3867000-3868000"/>
          <s v="3868000-3869000"/>
          <s v="3869000-3870000"/>
          <s v="3870000-3871000"/>
          <s v="3871000-3872000"/>
          <s v="3872000-3873000"/>
          <s v="3873000-3874000"/>
          <s v="3874000-3875000"/>
          <s v="3875000-3876000"/>
          <s v="3876000-3877000"/>
          <s v="3877000-3878000"/>
          <s v="3878000-3879000"/>
          <s v="3879000-3880000"/>
          <s v="3880000-3881000"/>
          <s v="3881000-3882000"/>
          <s v="3882000-3883000"/>
          <s v="3883000-3884000"/>
          <s v="3884000-3885000"/>
          <s v="3885000-3886000"/>
          <s v="3886000-3887000"/>
          <s v="3887000-3888000"/>
          <s v="3888000-3889000"/>
          <s v="3889000-3890000"/>
          <s v="3890000-3891000"/>
          <s v="3891000-3892000"/>
          <s v="3892000-3893000"/>
          <s v="3893000-3894000"/>
          <s v="3894000-3895000"/>
          <s v="3895000-3896000"/>
          <s v="3896000-3897000"/>
          <s v="3897000-3898000"/>
          <s v="3898000-3899000"/>
          <s v="3899000-3900000"/>
          <s v="3900000-3901000"/>
          <s v="3901000-3902000"/>
          <s v="3902000-3903000"/>
          <s v="3903000-3904000"/>
          <s v="3904000-3905000"/>
          <s v="3905000-3906000"/>
          <s v="3906000-3907000"/>
          <s v="3907000-3908000"/>
          <s v="3908000-3909000"/>
          <s v="3909000-3910000"/>
          <s v="3910000-3911000"/>
          <s v="3911000-3912000"/>
          <s v="3912000-3913000"/>
          <s v="3913000-3914000"/>
          <s v="3914000-3915000"/>
          <s v="3915000-3916000"/>
          <s v="3916000-3917000"/>
          <s v="3917000-3918000"/>
          <s v="3918000-3919000"/>
          <s v="3919000-3920000"/>
          <s v="3920000-3921000"/>
          <s v="3921000-3922000"/>
          <s v="3922000-3923000"/>
          <s v="3923000-3924000"/>
          <s v="3924000-3925000"/>
          <s v="3925000-3926000"/>
          <s v="3926000-3927000"/>
          <s v="3927000-3928000"/>
          <s v="3928000-3929000"/>
          <s v="3929000-3930000"/>
          <s v="3930000-3931000"/>
          <s v="3931000-3932000"/>
          <s v="3932000-3933000"/>
          <s v="3933000-3934000"/>
          <s v="3934000-3935000"/>
          <s v="3935000-3936000"/>
          <s v="3936000-3937000"/>
          <s v="3937000-3938000"/>
          <s v="3938000-3939000"/>
          <s v="3939000-3940000"/>
          <s v="3940000-3941000"/>
          <s v="3941000-3942000"/>
          <s v="3942000-3943000"/>
          <s v="3943000-3944000"/>
          <s v="3944000-3945000"/>
          <s v="3945000-3946000"/>
          <s v="3946000-3947000"/>
          <s v="3947000-3948000"/>
          <s v="3948000-3949000"/>
          <s v="3949000-3950000"/>
          <s v="3950000-3951000"/>
          <s v="3951000-3952000"/>
          <s v="3952000-3953000"/>
          <s v="3953000-3954000"/>
          <s v="3954000-3955000"/>
          <s v="3955000-3956000"/>
          <s v="3956000-3957000"/>
          <s v="3957000-3958000"/>
          <s v="3958000-3959000"/>
          <s v="3959000-3960000"/>
          <s v="3960000-3961000"/>
          <s v="3961000-3962000"/>
          <s v="3962000-3963000"/>
          <s v="3963000-3964000"/>
          <s v="3964000-3965000"/>
          <s v="3965000-3966000"/>
          <s v="3966000-3967000"/>
          <s v="3967000-3968000"/>
          <s v="3968000-3969000"/>
          <s v="3969000-3970000"/>
          <s v="3970000-3971000"/>
          <s v="3971000-3972000"/>
          <s v="3972000-3973000"/>
          <s v="3973000-3974000"/>
          <s v="3974000-3975000"/>
          <s v="3975000-3976000"/>
          <s v="3976000-3977000"/>
          <s v="3977000-3978000"/>
          <s v="3978000-3979000"/>
          <s v="3979000-3980000"/>
          <s v="3980000-3981000"/>
          <s v="3981000-3982000"/>
          <s v="3982000-3983000"/>
          <s v="3983000-3984000"/>
          <s v="3984000-3985000"/>
          <s v="3985000-3986000"/>
          <s v="3986000-3987000"/>
          <s v="3987000-3988000"/>
          <s v="3988000-3989000"/>
          <s v="3989000-3990000"/>
          <s v="3990000-3991000"/>
          <s v="3991000-3992000"/>
          <s v="3992000-3993000"/>
          <s v="3993000-3994000"/>
          <s v="3994000-3995000"/>
          <s v="3995000-3996000"/>
          <s v="3996000-3997000"/>
          <s v="3997000-3998000"/>
          <s v="3998000-3999000"/>
          <s v="3999000-4000000"/>
          <s v="4000000-4001000"/>
          <s v="4001000-4002000"/>
          <s v="4002000-4003000"/>
          <s v="4003000-4004000"/>
          <s v="4004000-4005000"/>
          <s v="4005000-4006000"/>
          <s v="4006000-4007000"/>
          <s v="4007000-4008000"/>
          <s v="4008000-4009000"/>
          <s v="4009000-4010000"/>
          <s v="4010000-4011000"/>
          <s v="4011000-4012000"/>
          <s v="4012000-4013000"/>
          <s v="4013000-4014000"/>
          <s v="4014000-4015000"/>
          <s v="4015000-4016000"/>
          <s v="4016000-4017000"/>
          <s v="4017000-4018000"/>
          <s v="4018000-4019000"/>
          <s v="4019000-4020000"/>
          <s v="4020000-4021000"/>
          <s v="4021000-4022000"/>
          <s v="4022000-4023000"/>
          <s v="4023000-4024000"/>
          <s v="4024000-4025000"/>
          <s v="4025000-4026000"/>
          <s v="4026000-4027000"/>
          <s v="4027000-4028000"/>
          <s v="4028000-4029000"/>
          <s v="4029000-4030000"/>
          <s v="4030000-4031000"/>
          <s v="4031000-4032000"/>
          <s v="4032000-4033000"/>
          <s v="4033000-4034000"/>
          <s v="4034000-4035000"/>
          <s v="4035000-4036000"/>
          <s v="4036000-4037000"/>
          <s v="4037000-4038000"/>
          <s v="4038000-4039000"/>
          <s v="4039000-4040000"/>
          <s v="4040000-4041000"/>
          <s v="4041000-4042000"/>
          <s v="4042000-4043000"/>
          <s v="4043000-4044000"/>
          <s v="4044000-4045000"/>
          <s v="4045000-4046000"/>
          <s v="4046000-4047000"/>
          <s v="4047000-4048000"/>
          <s v="4048000-4049000"/>
          <s v="4049000-4050000"/>
          <s v="4050000-4051000"/>
          <s v="4051000-4052000"/>
          <s v="4052000-4053000"/>
          <s v="4053000-4054000"/>
          <s v="4054000-4055000"/>
          <s v="4055000-4056000"/>
          <s v="4056000-4057000"/>
          <s v="4057000-4058000"/>
          <s v="4058000-4059000"/>
          <s v="4059000-4060000"/>
          <s v="4060000-4061000"/>
          <s v="4061000-4062000"/>
          <s v="4062000-4063000"/>
          <s v="4063000-4064000"/>
          <s v="4064000-4065000"/>
          <s v="4065000-4066000"/>
          <s v="4066000-4067000"/>
          <s v="4067000-4068000"/>
          <s v="4068000-4069000"/>
          <s v="4069000-4070000"/>
          <s v="4070000-4071000"/>
          <s v="4071000-4072000"/>
          <s v="4072000-4073000"/>
          <s v="4073000-4074000"/>
          <s v="4074000-4075000"/>
          <s v="4075000-4076000"/>
          <s v="4076000-4077000"/>
          <s v="4077000-4078000"/>
          <s v="4078000-4079000"/>
          <s v="4079000-4080000"/>
          <s v="4080000-4081000"/>
          <s v="4081000-4082000"/>
          <s v="4082000-4083000"/>
          <s v="4083000-4084000"/>
          <s v="4084000-4085000"/>
          <s v="4085000-4086000"/>
          <s v="4086000-4087000"/>
          <s v="4087000-4088000"/>
          <s v="4088000-4089000"/>
          <s v="4089000-4090000"/>
          <s v="4090000-4091000"/>
          <s v="4091000-4092000"/>
          <s v="4092000-4093000"/>
          <s v="4093000-4094000"/>
          <s v="4094000-4095000"/>
          <s v="4095000-4096000"/>
          <s v="4096000-4097000"/>
          <s v="4097000-4098000"/>
          <s v="4098000-4099000"/>
          <s v="4099000-4100000"/>
          <s v="4100000-4101000"/>
          <s v="4101000-4102000"/>
          <s v="4102000-4103000"/>
          <s v="4103000-4104000"/>
          <s v="4104000-4105000"/>
          <s v="4105000-4106000"/>
          <s v="4106000-4107000"/>
          <s v="4107000-4108000"/>
          <s v="4108000-4109000"/>
          <s v="4109000-4110000"/>
          <s v="4110000-4111000"/>
          <s v="4111000-4112000"/>
          <s v="4112000-4113000"/>
          <s v="4113000-4114000"/>
          <s v="4114000-4115000"/>
          <s v="4115000-4116000"/>
          <s v="4116000-4117000"/>
          <s v="4117000-4118000"/>
          <s v="4118000-4119000"/>
          <s v="4119000-4120000"/>
          <s v="4120000-4121000"/>
          <s v="4121000-4122000"/>
          <s v="4122000-4123000"/>
          <s v="4123000-4124000"/>
          <s v="4124000-4125000"/>
          <s v="4125000-4126000"/>
          <s v="4126000-4127000"/>
          <s v="4127000-4128000"/>
          <s v="4128000-4129000"/>
          <s v="4129000-4130000"/>
          <s v="4130000-4131000"/>
          <s v="4131000-4132000"/>
          <s v="4132000-4133000"/>
          <s v="4133000-4134000"/>
          <s v="4134000-4135000"/>
          <s v="4135000-4136000"/>
          <s v="4136000-4137000"/>
          <s v="4137000-4138000"/>
          <s v="4138000-4139000"/>
          <s v="4139000-4140000"/>
          <s v="4140000-4141000"/>
          <s v="4141000-4142000"/>
          <s v="4142000-4143000"/>
          <s v="4143000-4144000"/>
          <s v="4144000-4145000"/>
          <s v="4145000-4146000"/>
          <s v="4146000-4147000"/>
          <s v="4147000-4148000"/>
          <s v="4148000-4149000"/>
          <s v="4149000-4150000"/>
          <s v="4150000-4151000"/>
          <s v="4151000-4152000"/>
          <s v="4152000-4153000"/>
          <s v="4153000-4154000"/>
          <s v="4154000-4155000"/>
          <s v="4155000-4156000"/>
          <s v="4156000-4157000"/>
          <s v="4157000-4158000"/>
          <s v="4158000-4159000"/>
          <s v="4159000-4160000"/>
          <s v="4160000-4161000"/>
          <s v="4161000-4162000"/>
          <s v="4162000-4163000"/>
          <s v="4163000-4164000"/>
          <s v="4164000-4165000"/>
          <s v="4165000-4166000"/>
          <s v="4166000-4167000"/>
          <s v="4167000-4168000"/>
          <s v="4168000-4169000"/>
          <s v="4169000-4170000"/>
          <s v="4170000-4171000"/>
          <s v="4171000-4172000"/>
          <s v="4172000-4173000"/>
          <s v="4173000-4174000"/>
          <s v="4174000-4175000"/>
          <s v="4175000-4176000"/>
          <s v="4176000-4177000"/>
          <s v="4177000-4178000"/>
          <s v="4178000-4179000"/>
          <s v="4179000-4180000"/>
          <s v="4180000-4181000"/>
          <s v="4181000-4182000"/>
          <s v="4182000-4183000"/>
          <s v="4183000-4184000"/>
          <s v="4184000-4185000"/>
          <s v="4185000-4186000"/>
          <s v="4186000-4187000"/>
          <s v="4187000-4188000"/>
          <s v="4188000-4189000"/>
          <s v="4189000-4190000"/>
          <s v="4190000-4191000"/>
          <s v="4191000-4192000"/>
          <s v="4192000-4193000"/>
          <s v="4193000-4194000"/>
          <s v="4194000-4195000"/>
          <s v="4195000-4196000"/>
          <s v="4196000-4197000"/>
          <s v="4197000-4198000"/>
          <s v="4198000-4199000"/>
          <s v="4199000-4200000"/>
          <s v="4200000-4201000"/>
          <s v="4201000-4202000"/>
          <s v="4202000-4203000"/>
          <s v="4203000-4204000"/>
          <s v="4204000-4205000"/>
          <s v="4205000-4206000"/>
          <s v="4206000-4207000"/>
          <s v="4207000-4208000"/>
          <s v="4208000-4209000"/>
          <s v="4209000-4210000"/>
          <s v="4210000-4211000"/>
          <s v="4211000-4212000"/>
          <s v="4212000-4213000"/>
          <s v="4213000-4214000"/>
          <s v="4214000-4215000"/>
          <s v="4215000-4216000"/>
          <s v="4216000-4217000"/>
          <s v="4217000-4218000"/>
          <s v="4218000-4219000"/>
          <s v="4219000-4220000"/>
          <s v="4220000-4221000"/>
          <s v="4221000-4222000"/>
          <s v="4222000-4223000"/>
          <s v="4223000-4224000"/>
          <s v="4224000-4225000"/>
          <s v="4225000-4226000"/>
          <s v="4226000-4227000"/>
          <s v="4227000-4228000"/>
          <s v="4228000-4229000"/>
          <s v="4229000-4230000"/>
          <s v="4230000-4231000"/>
          <s v="4231000-4232000"/>
          <s v="4232000-4233000"/>
          <s v="4233000-4234000"/>
          <s v="4234000-4235000"/>
          <s v="4235000-4236000"/>
          <s v="4236000-4237000"/>
          <s v="4237000-4238000"/>
          <s v="4238000-4239000"/>
          <s v="4239000-4240000"/>
          <s v="4240000-4241000"/>
          <s v="4241000-4242000"/>
          <s v="4242000-4243000"/>
          <s v="4243000-4244000"/>
          <s v="4244000-4245000"/>
          <s v="4245000-4246000"/>
          <s v="4246000-4247000"/>
          <s v="4247000-4248000"/>
          <s v="4248000-4249000"/>
          <s v="4249000-4250000"/>
          <s v="4250000-4251000"/>
          <s v="4251000-4252000"/>
          <s v="4252000-4253000"/>
          <s v="4253000-4254000"/>
          <s v="4254000-4255000"/>
          <s v="4255000-4256000"/>
          <s v="4256000-4257000"/>
          <s v="4257000-4258000"/>
          <s v="4258000-4259000"/>
          <s v="4259000-4260000"/>
          <s v="4260000-4261000"/>
          <s v="4261000-4262000"/>
          <s v="4262000-4263000"/>
          <s v="4263000-4264000"/>
          <s v="4264000-4265000"/>
          <s v="4265000-4266000"/>
          <s v="4266000-4267000"/>
          <s v="4267000-4268000"/>
          <s v="4268000-4269000"/>
          <s v="4269000-4270000"/>
          <s v="4270000-4271000"/>
          <s v="4271000-4272000"/>
          <s v="4272000-4273000"/>
          <s v="4273000-4274000"/>
          <s v="4274000-4275000"/>
          <s v="4275000-4276000"/>
          <s v="4276000-4277000"/>
          <s v="4277000-4278000"/>
          <s v="4278000-4279000"/>
          <s v="4279000-4280000"/>
          <s v="4280000-4281000"/>
          <s v="4281000-4282000"/>
          <s v="4282000-4283000"/>
          <s v="4283000-4284000"/>
          <s v="4284000-4285000"/>
          <s v="4285000-4286000"/>
          <s v="4286000-4287000"/>
          <s v="4287000-4288000"/>
          <s v="4288000-4289000"/>
          <s v="4289000-4290000"/>
          <s v="4290000-4291000"/>
          <s v="4291000-4292000"/>
          <s v="4292000-4293000"/>
          <s v="4293000-4294000"/>
          <s v="4294000-4295000"/>
          <s v="4295000-4296000"/>
          <s v="4296000-4297000"/>
          <s v="4297000-4298000"/>
          <s v="4298000-4299000"/>
          <s v="4299000-4300000"/>
          <s v="4300000-4301000"/>
          <s v="4301000-4302000"/>
          <s v="4302000-4303000"/>
          <s v="4303000-4304000"/>
          <s v="4304000-4305000"/>
          <s v="4305000-4306000"/>
          <s v="4306000-4307000"/>
          <s v="4307000-4308000"/>
          <s v="4308000-4309000"/>
          <s v="4309000-4310000"/>
          <s v="4310000-4311000"/>
          <s v="4311000-4312000"/>
          <s v="4312000-4313000"/>
          <s v="4313000-4314000"/>
          <s v="4314000-4315000"/>
          <s v="4315000-4316000"/>
          <s v="4316000-4317000"/>
          <s v="4317000-4318000"/>
          <s v="4318000-4319000"/>
          <s v="4319000-4320000"/>
          <s v="4320000-4321000"/>
          <s v="4321000-4322000"/>
          <s v="4322000-4323000"/>
          <s v="4323000-4324000"/>
          <s v="4324000-4325000"/>
          <s v="4325000-4326000"/>
          <s v="4326000-4327000"/>
          <s v="4327000-4328000"/>
          <s v="4328000-4329000"/>
          <s v="4329000-4330000"/>
          <s v="4330000-4331000"/>
          <s v="4331000-4332000"/>
          <s v="4332000-4333000"/>
          <s v="4333000-4334000"/>
          <s v="4334000-4335000"/>
          <s v="4335000-4336000"/>
          <s v="4336000-4337000"/>
          <s v="4337000-4338000"/>
          <s v="4338000-4339000"/>
          <s v="4339000-4340000"/>
          <s v="4340000-4341000"/>
          <s v="4341000-4342000"/>
          <s v="4342000-4343000"/>
          <s v="4343000-4344000"/>
          <s v="4344000-4345000"/>
          <s v="4345000-4346000"/>
          <s v="4346000-4347000"/>
          <s v="4347000-4348000"/>
          <s v="4348000-4349000"/>
          <s v="4349000-4350000"/>
          <s v="4350000-4351000"/>
          <s v="4351000-4352000"/>
          <s v="4352000-4353000"/>
          <s v="4353000-4354000"/>
          <s v="4354000-4355000"/>
          <s v="4355000-4356000"/>
          <s v="4356000-4357000"/>
          <s v="4357000-4358000"/>
          <s v="4358000-4359000"/>
          <s v="4359000-4360000"/>
          <s v="4360000-4361000"/>
          <s v="4361000-4362000"/>
          <s v="4362000-4363000"/>
          <s v="4363000-4364000"/>
          <s v="4364000-4365000"/>
          <s v="4365000-4366000"/>
          <s v="4366000-4367000"/>
          <s v="4367000-4368000"/>
          <s v="4368000-4369000"/>
          <s v="4369000-4370000"/>
          <s v="4370000-4371000"/>
          <s v="4371000-4372000"/>
          <s v="4372000-4373000"/>
          <s v="4373000-4374000"/>
          <s v="4374000-4375000"/>
          <s v="4375000-4376000"/>
          <s v="4376000-4377000"/>
          <s v="4377000-4378000"/>
          <s v="4378000-4379000"/>
          <s v="4379000-4380000"/>
          <s v="4380000-4381000"/>
          <s v="4381000-4382000"/>
          <s v="4382000-4383000"/>
          <s v="4383000-4384000"/>
          <s v="4384000-4385000"/>
          <s v="4385000-4386000"/>
          <s v="4386000-4387000"/>
          <s v="4387000-4388000"/>
          <s v="4388000-4389000"/>
          <s v="4389000-4390000"/>
          <s v="4390000-4391000"/>
          <s v="4391000-4392000"/>
          <s v="4392000-4393000"/>
          <s v="4393000-4394000"/>
          <s v="4394000-4395000"/>
          <s v="4395000-4396000"/>
          <s v="4396000-4397000"/>
          <s v="4397000-4398000"/>
          <s v="4398000-4399000"/>
          <s v="4399000-4400000"/>
          <s v="4400000-4401000"/>
          <s v="4401000-4402000"/>
          <s v="4402000-4403000"/>
          <s v="4403000-4404000"/>
          <s v="4404000-4405000"/>
          <s v="4405000-4406000"/>
          <s v="4406000-4407000"/>
          <s v="4407000-4408000"/>
          <s v="4408000-4409000"/>
          <s v="4409000-4410000"/>
          <s v="4410000-4411000"/>
          <s v="4411000-4412000"/>
          <s v="4412000-4413000"/>
          <s v="4413000-4414000"/>
          <s v="4414000-4415000"/>
          <s v="4415000-4416000"/>
          <s v="4416000-4417000"/>
          <s v="4417000-4418000"/>
          <s v="4418000-4419000"/>
          <s v="4419000-4420000"/>
          <s v="4420000-4421000"/>
          <s v="4421000-4422000"/>
          <s v="4422000-4423000"/>
          <s v="4423000-4424000"/>
          <s v="4424000-4425000"/>
          <s v="4425000-4426000"/>
          <s v="4426000-4427000"/>
          <s v="4427000-4428000"/>
          <s v="4428000-4429000"/>
          <s v="4429000-4430000"/>
          <s v="4430000-4431000"/>
          <s v="4431000-4432000"/>
          <s v="4432000-4433000"/>
          <s v="4433000-4434000"/>
          <s v="4434000-4435000"/>
          <s v="4435000-4436000"/>
          <s v="4436000-4437000"/>
          <s v="4437000-4438000"/>
          <s v="4438000-4439000"/>
          <s v="4439000-4440000"/>
          <s v="4440000-4441000"/>
          <s v="4441000-4442000"/>
          <s v="4442000-4443000"/>
          <s v="4443000-4444000"/>
          <s v="4444000-4445000"/>
          <s v="4445000-4446000"/>
          <s v="4446000-4447000"/>
          <s v="4447000-4448000"/>
          <s v="4448000-4449000"/>
          <s v="4449000-4450000"/>
          <s v="4450000-4451000"/>
          <s v="4451000-4452000"/>
          <s v="4452000-4453000"/>
          <s v="4453000-4454000"/>
          <s v="4454000-4455000"/>
          <s v="4455000-4456000"/>
          <s v="4456000-4457000"/>
          <s v="4457000-4458000"/>
          <s v="4458000-4459000"/>
          <s v="4459000-4460000"/>
          <s v="4460000-4461000"/>
          <s v="4461000-4462000"/>
          <s v="4462000-4463000"/>
          <s v="4463000-4464000"/>
          <s v="4464000-4465000"/>
          <s v="4465000-4466000"/>
          <s v="4466000-4467000"/>
          <s v="4467000-4468000"/>
          <s v="4468000-4469000"/>
          <s v="4469000-4470000"/>
          <s v="4470000-4471000"/>
          <s v="4471000-4472000"/>
          <s v="4472000-4473000"/>
          <s v="4473000-4474000"/>
          <s v="4474000-4475000"/>
          <s v="4475000-4476000"/>
          <s v="4476000-4477000"/>
          <s v="4477000-4478000"/>
          <s v="4478000-4479000"/>
          <s v="4479000-4480000"/>
          <s v="4480000-4481000"/>
          <s v="4481000-4482000"/>
          <s v="4482000-4483000"/>
          <s v="4483000-4484000"/>
          <s v="4484000-4485000"/>
          <s v="4485000-4486000"/>
          <s v="4486000-4487000"/>
          <s v="4487000-4488000"/>
          <s v="4488000-4489000"/>
          <s v="4489000-4490000"/>
          <s v="4490000-4491000"/>
          <s v="4491000-4492000"/>
          <s v="4492000-4493000"/>
          <s v="4493000-4494000"/>
          <s v="4494000-4495000"/>
          <s v="4495000-4496000"/>
          <s v="4496000-4497000"/>
          <s v="4497000-4498000"/>
          <s v="4498000-4499000"/>
          <s v="4499000-4500000"/>
          <s v="4500000-4501000"/>
          <s v="4501000-4502000"/>
          <s v="4502000-4503000"/>
          <s v="4503000-4504000"/>
          <s v="4504000-4505000"/>
          <s v="4505000-4506000"/>
          <s v="4506000-4507000"/>
          <s v="4507000-4508000"/>
          <s v="4508000-4509000"/>
          <s v="4509000-4510000"/>
          <s v="4510000-4511000"/>
          <s v="4511000-4512000"/>
          <s v="4512000-4513000"/>
          <s v="4513000-4514000"/>
          <s v="4514000-4515000"/>
          <s v="4515000-4516000"/>
          <s v="4516000-4517000"/>
          <s v="4517000-4518000"/>
          <s v="4518000-4519000"/>
          <s v="4519000-4520000"/>
          <s v="4520000-4521000"/>
          <s v="4521000-4522000"/>
          <s v="4522000-4523000"/>
          <s v="4523000-4524000"/>
          <s v="4524000-4525000"/>
          <s v="4525000-4526000"/>
          <s v="4526000-4527000"/>
          <s v="4527000-4528000"/>
          <s v="4528000-4529000"/>
          <s v="4529000-4530000"/>
          <s v="4530000-4531000"/>
          <s v="4531000-4532000"/>
          <s v="4532000-4533000"/>
          <s v="4533000-4534000"/>
          <s v="4534000-4535000"/>
          <s v="4535000-4536000"/>
          <s v="4536000-4537000"/>
          <s v="4537000-4538000"/>
          <s v="4538000-4539000"/>
          <s v="4539000-4540000"/>
          <s v="4540000-4541000"/>
          <s v="4541000-4542000"/>
          <s v="4542000-4543000"/>
          <s v="4543000-4544000"/>
          <s v="4544000-4545000"/>
          <s v="4545000-4546000"/>
          <s v="4546000-4547000"/>
          <s v="4547000-4548000"/>
          <s v="4548000-4549000"/>
          <s v="4549000-4550000"/>
          <s v="4550000-4551000"/>
          <s v="4551000-4552000"/>
          <s v="4552000-4553000"/>
          <s v="4553000-4554000"/>
          <s v="4554000-4555000"/>
          <s v="4555000-4556000"/>
          <s v="4556000-4557000"/>
          <s v="4557000-4558000"/>
          <s v="4558000-4559000"/>
          <s v="4559000-4560000"/>
          <s v="4560000-4561000"/>
          <s v="4561000-4562000"/>
          <s v="4562000-4563000"/>
          <s v="4563000-4564000"/>
          <s v="4564000-4565000"/>
          <s v="4565000-4566000"/>
          <s v="4566000-4567000"/>
          <s v="4567000-4568000"/>
          <s v="4568000-4569000"/>
          <s v="4569000-4570000"/>
          <s v="4570000-4571000"/>
          <s v="4571000-4572000"/>
          <s v="4572000-4573000"/>
          <s v="4573000-4574000"/>
          <s v="4574000-4575000"/>
          <s v="4575000-4576000"/>
          <s v="4576000-4577000"/>
          <s v="4577000-4578000"/>
          <s v="4578000-4579000"/>
          <s v="4579000-4580000"/>
          <s v="4580000-4581000"/>
          <s v="4581000-4582000"/>
          <s v="4582000-4583000"/>
          <s v="4583000-4584000"/>
          <s v="4584000-4585000"/>
          <s v="4585000-4586000"/>
          <s v="4586000-4587000"/>
          <s v="4587000-4588000"/>
          <s v="4588000-4589000"/>
          <s v="4589000-4590000"/>
          <s v="4590000-4591000"/>
          <s v="4591000-4592000"/>
          <s v="4592000-4593000"/>
          <s v="4593000-4594000"/>
          <s v="4594000-4595000"/>
          <s v="4595000-4596000"/>
          <s v="4596000-4597000"/>
          <s v="4597000-4598000"/>
          <s v="4598000-4599000"/>
          <s v="4599000-4600000"/>
          <s v="4600000-4601000"/>
          <s v="4601000-4602000"/>
          <s v="4602000-4603000"/>
          <s v="4603000-4604000"/>
          <s v="4604000-4605000"/>
          <s v="4605000-4606000"/>
          <s v="4606000-4607000"/>
          <s v="4607000-4608000"/>
          <s v="4608000-4609000"/>
          <s v="4609000-4610000"/>
          <s v="4610000-4611000"/>
          <s v="4611000-4612000"/>
          <s v="4612000-4613000"/>
          <s v="4613000-4614000"/>
          <s v="4614000-4615000"/>
          <s v="4615000-4616000"/>
          <s v="4616000-4617000"/>
          <s v="4617000-4618000"/>
          <s v="4618000-4619000"/>
          <s v="4619000-4620000"/>
          <s v="4620000-4621000"/>
          <s v="4621000-4622000"/>
          <s v="4622000-4623000"/>
          <s v="4623000-4624000"/>
          <s v="4624000-4625000"/>
          <s v="4625000-4626000"/>
          <s v="4626000-4627000"/>
          <s v="4627000-4628000"/>
          <s v="4628000-4629000"/>
          <s v="4629000-4630000"/>
          <s v="4630000-4631000"/>
          <s v="4631000-4632000"/>
          <s v="4632000-4633000"/>
          <s v="4633000-4634000"/>
          <s v="4634000-4635000"/>
          <s v="4635000-4636000"/>
          <s v="4636000-4637000"/>
          <s v="4637000-4638000"/>
          <s v="4638000-4639000"/>
          <s v="4639000-4640000"/>
          <s v="4640000-4641000"/>
          <s v="4641000-4642000"/>
          <s v="4642000-4643000"/>
          <s v="4643000-4644000"/>
          <s v="4644000-4645000"/>
          <s v="4645000-4646000"/>
          <s v="4646000-4647000"/>
          <s v="4647000-4648000"/>
          <s v="4648000-4649000"/>
          <s v="4649000-4650000"/>
          <s v="4650000-4651000"/>
          <s v="4651000-4652000"/>
          <s v="4652000-4653000"/>
          <s v="4653000-4654000"/>
          <s v="4654000-4655000"/>
          <s v="4655000-4656000"/>
          <s v="4656000-4657000"/>
          <s v="4657000-4658000"/>
          <s v="4658000-4659000"/>
          <s v="4659000-4660000"/>
          <s v="4660000-4661000"/>
          <s v="4661000-4662000"/>
          <s v="4662000-4663000"/>
          <s v="4663000-4664000"/>
          <s v="4664000-4665000"/>
          <s v="4665000-4666000"/>
          <s v="4666000-4667000"/>
          <s v="4667000-4668000"/>
          <s v="4668000-4669000"/>
          <s v="4669000-4670000"/>
          <s v="4670000-4671000"/>
          <s v="4671000-4672000"/>
          <s v="4672000-4673000"/>
          <s v="4673000-4674000"/>
          <s v="4674000-4675000"/>
          <s v="4675000-4676000"/>
          <s v="4676000-4677000"/>
          <s v="4677000-4678000"/>
          <s v="4678000-4679000"/>
          <s v="4679000-4680000"/>
          <s v="4680000-4681000"/>
          <s v="4681000-4682000"/>
          <s v="4682000-4683000"/>
          <s v="4683000-4684000"/>
          <s v="4684000-4685000"/>
          <s v="4685000-4686000"/>
          <s v="4686000-4687000"/>
          <s v="4687000-4688000"/>
          <s v="4688000-4689000"/>
          <s v="4689000-4690000"/>
          <s v="4690000-4691000"/>
          <s v="4691000-4692000"/>
          <s v="4692000-4693000"/>
          <s v="4693000-4694000"/>
          <s v="4694000-4695000"/>
          <s v="4695000-4696000"/>
          <s v="4696000-4697000"/>
          <s v="4697000-4698000"/>
          <s v="4698000-4699000"/>
          <s v="4699000-4700000"/>
          <s v="4700000-4701000"/>
          <s v="4701000-4702000"/>
          <s v="4702000-4703000"/>
          <s v="4703000-4704000"/>
          <s v="4704000-4705000"/>
          <s v="4705000-4706000"/>
          <s v="4706000-4707000"/>
          <s v="4707000-4708000"/>
          <s v="4708000-4709000"/>
          <s v="4709000-4710000"/>
          <s v="4710000-4711000"/>
          <s v="4711000-4712000"/>
          <s v="4712000-4713000"/>
          <s v="4713000-4714000"/>
          <s v="4714000-4715000"/>
          <s v="4715000-4716000"/>
          <s v="4716000-4717000"/>
          <s v="4717000-4718000"/>
          <s v="4718000-4719000"/>
          <s v="4719000-4720000"/>
          <s v="4720000-4721000"/>
          <s v="4721000-4722000"/>
          <s v="4722000-4723000"/>
          <s v="4723000-4724000"/>
          <s v="4724000-4725000"/>
          <s v="4725000-4726000"/>
          <s v="4726000-4727000"/>
          <s v="4727000-4728000"/>
          <s v="4728000-4729000"/>
          <s v="4729000-4730000"/>
          <s v="4730000-4731000"/>
          <s v="4731000-4732000"/>
          <s v="4732000-4733000"/>
          <s v="4733000-4734000"/>
          <s v="4734000-4735000"/>
          <s v="4735000-4736000"/>
          <s v="4736000-4737000"/>
          <s v="4737000-4738000"/>
          <s v="4738000-4739000"/>
          <s v="4739000-4740000"/>
          <s v="4740000-4741000"/>
          <s v="4741000-4742000"/>
          <s v="4742000-4743000"/>
          <s v="4743000-4744000"/>
          <s v="4744000-4745000"/>
          <s v="4745000-4746000"/>
          <s v="4746000-4747000"/>
          <s v="4747000-4748000"/>
          <s v="4748000-4749000"/>
          <s v="4749000-4750000"/>
          <s v="4750000-4751000"/>
          <s v="4751000-4752000"/>
          <s v="4752000-4753000"/>
          <s v="4753000-4754000"/>
          <s v="4754000-4755000"/>
          <s v="4755000-4756000"/>
          <s v="4756000-4757000"/>
          <s v="4757000-4758000"/>
          <s v="4758000-4759000"/>
          <s v="4759000-4760000"/>
          <s v="4760000-4761000"/>
          <s v="4761000-4762000"/>
          <s v="4762000-4763000"/>
          <s v="4763000-4764000"/>
          <s v="4764000-4765000"/>
          <s v="4765000-4766000"/>
          <s v="4766000-4767000"/>
          <s v="4767000-4768000"/>
          <s v="4768000-4769000"/>
          <s v="4769000-4770000"/>
          <s v="4770000-4771000"/>
          <s v="4771000-4772000"/>
          <s v="4772000-4773000"/>
          <s v="4773000-4774000"/>
          <s v="4774000-4775000"/>
          <s v="4775000-4776000"/>
          <s v="4776000-4777000"/>
          <s v="4777000-4778000"/>
          <s v="4778000-4779000"/>
          <s v="4779000-4780000"/>
          <s v="4780000-4781000"/>
          <s v="4781000-4782000"/>
          <s v="4782000-4783000"/>
          <s v="4783000-4784000"/>
          <s v="4784000-4785000"/>
          <s v="4785000-4786000"/>
          <s v="4786000-4787000"/>
          <s v="4787000-4788000"/>
          <s v="4788000-4789000"/>
          <s v="4789000-4790000"/>
          <s v="4790000-4791000"/>
          <s v="4791000-4792000"/>
          <s v="4792000-4793000"/>
          <s v="4793000-4794000"/>
          <s v="4794000-4795000"/>
          <s v="4795000-4796000"/>
          <s v="4796000-4797000"/>
          <s v="4797000-4798000"/>
          <s v="4798000-4799000"/>
          <s v="4799000-4800000"/>
          <s v="4800000-4801000"/>
          <s v="4801000-4802000"/>
          <s v="4802000-4803000"/>
          <s v="4803000-4804000"/>
          <s v="4804000-4805000"/>
          <s v="4805000-4806000"/>
          <s v="4806000-4807000"/>
          <s v="4807000-4808000"/>
          <s v="4808000-4809000"/>
          <s v="4809000-4810000"/>
          <s v="4810000-4811000"/>
          <s v="4811000-4812000"/>
          <s v="4812000-4813000"/>
          <s v="4813000-4814000"/>
          <s v="4814000-4815000"/>
          <s v="4815000-4816000"/>
          <s v="4816000-4817000"/>
          <s v="4817000-4818000"/>
          <s v="4818000-4819000"/>
          <s v="4819000-4820000"/>
          <s v="4820000-4821000"/>
          <s v="4821000-4822000"/>
          <s v="4822000-4823000"/>
          <s v="4823000-4824000"/>
          <s v="4824000-4825000"/>
          <s v="4825000-4826000"/>
          <s v="4826000-4827000"/>
          <s v="4827000-4828000"/>
          <s v="4828000-4829000"/>
          <s v="4829000-4830000"/>
          <s v="4830000-4831000"/>
          <s v="4831000-4832000"/>
          <s v="4832000-4833000"/>
          <s v="4833000-4834000"/>
          <s v="4834000-4835000"/>
          <s v="4835000-4836000"/>
          <s v="4836000-4837000"/>
          <s v="4837000-4838000"/>
          <s v="4838000-4839000"/>
          <s v="4839000-4840000"/>
          <s v="4840000-4841000"/>
          <s v="4841000-4842000"/>
          <s v="4842000-4843000"/>
          <s v="4843000-4844000"/>
          <s v="4844000-4845000"/>
          <s v="4845000-4846000"/>
          <s v="4846000-4847000"/>
          <s v="4847000-4848000"/>
          <s v="4848000-4849000"/>
          <s v="4849000-4850000"/>
          <s v="4850000-4851000"/>
          <s v="4851000-4852000"/>
          <s v="4852000-4853000"/>
          <s v="4853000-4854000"/>
          <s v="4854000-4855000"/>
          <s v="4855000-4856000"/>
          <s v="4856000-4857000"/>
          <s v="4857000-4858000"/>
          <s v="4858000-4859000"/>
          <s v="4859000-4860000"/>
          <s v="4860000-4861000"/>
          <s v="4861000-4862000"/>
          <s v="4862000-4863000"/>
          <s v="4863000-4864000"/>
          <s v="4864000-4865000"/>
          <s v="4865000-4866000"/>
          <s v="4866000-4867000"/>
          <s v="4867000-4868000"/>
          <s v="4868000-4869000"/>
          <s v="4869000-4870000"/>
          <s v="4870000-4871000"/>
          <s v="4871000-4872000"/>
          <s v="4872000-4873000"/>
          <s v="4873000-4874000"/>
          <s v="4874000-4875000"/>
          <s v="4875000-4876000"/>
          <s v="4876000-4877000"/>
          <s v="4877000-4878000"/>
          <s v="4878000-4879000"/>
          <s v="4879000-4880000"/>
          <s v="4880000-4881000"/>
          <s v="4881000-4882000"/>
          <s v="4882000-4883000"/>
          <s v="4883000-4884000"/>
          <s v="4884000-4885000"/>
          <s v="4885000-4886000"/>
          <s v="4886000-4887000"/>
          <s v="4887000-4888000"/>
          <s v="4888000-4889000"/>
          <s v="4889000-4890000"/>
          <s v="4890000-4891000"/>
          <s v="4891000-4892000"/>
          <s v="4892000-4893000"/>
          <s v="4893000-4894000"/>
          <s v="4894000-4895000"/>
          <s v="4895000-4896000"/>
          <s v="4896000-4897000"/>
          <s v="4897000-4898000"/>
          <s v="4898000-4899000"/>
          <s v="4899000-4900000"/>
          <s v="4900000-4901000"/>
          <s v="4901000-4902000"/>
          <s v="4902000-4903000"/>
          <s v="4903000-4904000"/>
          <s v="4904000-4905000"/>
          <s v="4905000-4906000"/>
          <s v="4906000-4907000"/>
          <s v="4907000-4908000"/>
          <s v="4908000-4909000"/>
          <s v="4909000-4910000"/>
          <s v="4910000-4911000"/>
          <s v="4911000-4912000"/>
          <s v="4912000-4913000"/>
          <s v="4913000-4914000"/>
          <s v="4914000-4915000"/>
          <s v="4915000-4916000"/>
          <s v="4916000-4917000"/>
          <s v="4917000-4918000"/>
          <s v="4918000-4919000"/>
          <s v="4919000-4920000"/>
          <s v="4920000-4921000"/>
          <s v="4921000-4922000"/>
          <s v="4922000-4923000"/>
          <s v="4923000-4924000"/>
          <s v="4924000-4925000"/>
          <s v="4925000-4926000"/>
          <s v="4926000-4927000"/>
          <s v="4927000-4928000"/>
          <s v="4928000-4929000"/>
          <s v="4929000-4930000"/>
          <s v="4930000-4931000"/>
          <s v="4931000-4932000"/>
          <s v="4932000-4933000"/>
          <s v="4933000-4934000"/>
          <s v="4934000-4935000"/>
          <s v="4935000-4936000"/>
          <s v="4936000-4937000"/>
          <s v="4937000-4938000"/>
          <s v="4938000-4939000"/>
          <s v="4939000-4940000"/>
          <s v="4940000-4941000"/>
          <s v="4941000-4942000"/>
          <s v="4942000-4943000"/>
          <s v="4943000-4944000"/>
          <s v="4944000-4945000"/>
          <s v="4945000-4946000"/>
          <s v="4946000-4947000"/>
          <s v="4947000-4948000"/>
          <s v="4948000-4949000"/>
          <s v="4949000-4950000"/>
          <s v="4950000-4951000"/>
          <s v="4951000-4952000"/>
          <s v="4952000-4953000"/>
          <s v="4953000-4954000"/>
          <s v="4954000-4955000"/>
          <s v="4955000-4956000"/>
          <s v="4956000-4957000"/>
          <s v="4957000-4958000"/>
          <s v="4958000-4959000"/>
          <s v="4959000-4960000"/>
          <s v="4960000-4961000"/>
          <s v="4961000-4962000"/>
          <s v="4962000-4963000"/>
          <s v="4963000-4964000"/>
          <s v="4964000-4965000"/>
          <s v="4965000-4966000"/>
          <s v="4966000-4967000"/>
          <s v="4967000-4968000"/>
          <s v="4968000-4969000"/>
          <s v="4969000-4970000"/>
          <s v="4970000-4971000"/>
          <s v="4971000-4972000"/>
          <s v="4972000-4973000"/>
          <s v="4973000-4974000"/>
          <s v="4974000-4975000"/>
          <s v="4975000-4976000"/>
          <s v="4976000-4977000"/>
          <s v="4977000-4978000"/>
          <s v="4978000-4979000"/>
          <s v="4979000-4980000"/>
          <s v="4980000-4981000"/>
          <s v="4981000-4982000"/>
          <s v="4982000-4983000"/>
          <s v="4983000-4984000"/>
          <s v="4984000-4985000"/>
          <s v="4985000-4986000"/>
          <s v="4986000-4987000"/>
          <s v="4987000-4988000"/>
          <s v="4988000-4989000"/>
          <s v="4989000-4990000"/>
          <s v="4990000-4991000"/>
          <s v="4991000-4992000"/>
          <s v="4992000-4993000"/>
          <s v="4993000-4994000"/>
          <s v="4994000-4995000"/>
          <s v="4995000-4996000"/>
          <s v="4996000-4997000"/>
          <s v="4997000-4998000"/>
          <s v="4998000-4999000"/>
          <s v="4999000-5000000"/>
          <s v="5000000-5001000"/>
          <s v="5001000-5002000"/>
          <s v="5002000-5003000"/>
          <s v="5003000-5004000"/>
          <s v="5004000-5005000"/>
          <s v="5005000-5006000"/>
          <s v="5006000-5007000"/>
          <s v="5007000-5008000"/>
          <s v="5008000-5009000"/>
          <s v="5009000-5010000"/>
          <s v="5010000-5011000"/>
          <s v="5011000-5012000"/>
          <s v="5012000-5013000"/>
          <s v="5013000-5014000"/>
          <s v="5014000-5015000"/>
          <s v="5015000-5016000"/>
          <s v="5016000-5017000"/>
          <s v="5017000-5018000"/>
          <s v="5018000-5019000"/>
          <s v="5019000-5020000"/>
          <s v="5020000-5021000"/>
          <s v="5021000-5022000"/>
          <s v="5022000-5023000"/>
          <s v="5023000-5024000"/>
          <s v="5024000-5025000"/>
          <s v="5025000-5026000"/>
          <s v="5026000-5027000"/>
          <s v="5027000-5028000"/>
          <s v="5028000-5029000"/>
          <s v="5029000-5030000"/>
          <s v="5030000-5031000"/>
          <s v="5031000-5032000"/>
          <s v="5032000-5033000"/>
          <s v="5033000-5034000"/>
          <s v="5034000-5035000"/>
          <s v="5035000-5036000"/>
          <s v="5036000-5037000"/>
          <s v="5037000-5038000"/>
          <s v="5038000-5039000"/>
          <s v="5039000-5040000"/>
          <s v="5040000-5041000"/>
          <s v="5041000-5042000"/>
          <s v="5042000-5043000"/>
          <s v="5043000-5044000"/>
          <s v="5044000-5045000"/>
          <s v="5045000-5046000"/>
          <s v="5046000-5047000"/>
          <s v="5047000-5048000"/>
          <s v="5048000-5049000"/>
          <s v="5049000-5050000"/>
          <s v="5050000-5051000"/>
          <s v="5051000-5052000"/>
          <s v="5052000-5053000"/>
          <s v="5053000-5054000"/>
          <s v="5054000-5055000"/>
          <s v="5055000-5056000"/>
          <s v="5056000-5057000"/>
          <s v="5057000-5058000"/>
          <s v="5058000-5059000"/>
          <s v="5059000-5060000"/>
          <s v="5060000-5061000"/>
          <s v="5061000-5062000"/>
          <s v="5062000-5063000"/>
          <s v="5063000-5064000"/>
          <s v="5064000-5065000"/>
          <s v="5065000-5066000"/>
          <s v="5066000-5067000"/>
          <s v="5067000-5068000"/>
          <s v="5068000-5069000"/>
          <s v="5069000-5070000"/>
          <s v="5070000-5071000"/>
          <s v="5071000-5072000"/>
          <s v="5072000-5073000"/>
          <s v="5073000-5074000"/>
          <s v="5074000-5075000"/>
          <s v="5075000-5076000"/>
          <s v="5076000-5077000"/>
          <s v="5077000-5078000"/>
          <s v="5078000-5079000"/>
          <s v="5079000-5080000"/>
          <s v="5080000-5081000"/>
          <s v="5081000-5082000"/>
          <s v="5082000-5083000"/>
          <s v="5083000-5084000"/>
          <s v="5084000-5085000"/>
          <s v="5085000-5086000"/>
          <s v="5086000-5087000"/>
          <s v="5087000-5088000"/>
          <s v="5088000-5089000"/>
          <s v="5089000-5090000"/>
          <s v="5090000-5091000"/>
          <s v="5091000-5092000"/>
          <s v="5092000-5093000"/>
          <s v="5093000-5094000"/>
          <s v="5094000-5095000"/>
          <s v="5095000-5096000"/>
          <s v="5096000-5097000"/>
          <s v="5097000-5098000"/>
          <s v="5098000-5099000"/>
          <s v="5099000-5100000"/>
          <s v="5100000-5101000"/>
          <s v="5101000-5102000"/>
          <s v="5102000-5103000"/>
          <s v="5103000-5104000"/>
          <s v="5104000-5105000"/>
          <s v="5105000-5106000"/>
          <s v="5106000-5107000"/>
          <s v="5107000-5108000"/>
          <s v="5108000-5109000"/>
          <s v="5109000-5110000"/>
          <s v="5110000-5111000"/>
          <s v="5111000-5112000"/>
          <s v="5112000-5113000"/>
          <s v="5113000-5114000"/>
          <s v="5114000-5115000"/>
          <s v="5115000-5116000"/>
          <s v="5116000-5117000"/>
          <s v="5117000-5118000"/>
          <s v="5118000-5119000"/>
          <s v="5119000-5120000"/>
          <s v="5120000-5121000"/>
          <s v="5121000-5122000"/>
          <s v="5122000-5123000"/>
          <s v="5123000-5124000"/>
          <s v="5124000-5125000"/>
          <s v="5125000-5126000"/>
          <s v="5126000-5127000"/>
          <s v="5127000-5128000"/>
          <s v="5128000-5129000"/>
          <s v="5129000-5130000"/>
          <s v="5130000-5131000"/>
          <s v="5131000-5132000"/>
          <s v="5132000-5133000"/>
          <s v="5133000-5134000"/>
          <s v="5134000-5135000"/>
          <s v="5135000-5136000"/>
          <s v="5136000-5137000"/>
          <s v="5137000-5138000"/>
          <s v="5138000-5139000"/>
          <s v="5139000-5140000"/>
          <s v="5140000-5141000"/>
          <s v="5141000-5142000"/>
          <s v="5142000-5143000"/>
          <s v="5143000-5144000"/>
          <s v="5144000-5145000"/>
          <s v="5145000-5146000"/>
          <s v="5146000-5147000"/>
          <s v="5147000-5148000"/>
          <s v="5148000-5149000"/>
          <s v="5149000-5150000"/>
          <s v="5150000-5151000"/>
          <s v="5151000-5152000"/>
          <s v="5152000-5153000"/>
          <s v="5153000-5154000"/>
          <s v="5154000-5155000"/>
          <s v="5155000-5156000"/>
          <s v="5156000-5157000"/>
          <s v="5157000-5158000"/>
          <s v="5158000-5159000"/>
          <s v="5159000-5160000"/>
          <s v="5160000-5161000"/>
          <s v="5161000-5162000"/>
          <s v="5162000-5163000"/>
          <s v="5163000-5164000"/>
          <s v="5164000-5165000"/>
          <s v="5165000-5166000"/>
          <s v="5166000-5167000"/>
          <s v="5167000-5168000"/>
          <s v="5168000-5169000"/>
          <s v="5169000-5170000"/>
          <s v="5170000-5171000"/>
          <s v="5171000-5172000"/>
          <s v="5172000-5173000"/>
          <s v="5173000-5174000"/>
          <s v="5174000-5175000"/>
          <s v="5175000-5176000"/>
          <s v="5176000-5177000"/>
          <s v="5177000-5178000"/>
          <s v="5178000-5179000"/>
          <s v="5179000-5180000"/>
          <s v="5180000-5181000"/>
          <s v="5181000-5182000"/>
          <s v="5182000-5183000"/>
          <s v="5183000-5184000"/>
          <s v="5184000-5185000"/>
          <s v="5185000-5186000"/>
          <s v="5186000-5187000"/>
          <s v="5187000-5188000"/>
          <s v="5188000-5189000"/>
          <s v="5189000-5190000"/>
          <s v="5190000-5191000"/>
          <s v="5191000-5192000"/>
          <s v="5192000-5193000"/>
          <s v="5193000-5194000"/>
          <s v="5194000-5195000"/>
          <s v="5195000-5196000"/>
          <s v="5196000-5197000"/>
          <s v="5197000-5198000"/>
          <s v="5198000-5199000"/>
          <s v="5199000-5200000"/>
          <s v="5200000-5201000"/>
          <s v="5201000-5202000"/>
          <s v="5202000-5203000"/>
          <s v="5203000-5204000"/>
          <s v="5204000-5205000"/>
          <s v="5205000-5206000"/>
          <s v="5206000-5207000"/>
          <s v="5207000-5208000"/>
          <s v="5208000-5209000"/>
          <s v="5209000-5210000"/>
          <s v="5210000-5211000"/>
          <s v="5211000-5212000"/>
          <s v="5212000-5213000"/>
          <s v="5213000-5214000"/>
          <s v="5214000-5215000"/>
          <s v="5215000-5216000"/>
          <s v="5216000-5217000"/>
          <s v="5217000-5218000"/>
          <s v="5218000-5219000"/>
          <s v="5219000-5220000"/>
          <s v="5220000-5221000"/>
          <s v="5221000-5222000"/>
          <s v="5222000-5223000"/>
          <s v="5223000-5224000"/>
          <s v="5224000-5225000"/>
          <s v="5225000-5226000"/>
          <s v="5226000-5227000"/>
          <s v="5227000-5228000"/>
          <s v="5228000-5229000"/>
          <s v="5229000-5230000"/>
          <s v="5230000-5231000"/>
          <s v="5231000-5232000"/>
          <s v="5232000-5233000"/>
          <s v="5233000-5234000"/>
          <s v="5234000-5235000"/>
          <s v="5235000-5236000"/>
          <s v="5236000-5237000"/>
          <s v="5237000-5238000"/>
          <s v="5238000-5239000"/>
          <s v="5239000-5240000"/>
          <s v="5240000-5241000"/>
          <s v="5241000-5242000"/>
          <s v="5242000-5243000"/>
          <s v="5243000-5244000"/>
          <s v="5244000-5245000"/>
          <s v="5245000-5246000"/>
          <s v="5246000-5247000"/>
          <s v="5247000-5248000"/>
          <s v="5248000-5249000"/>
          <s v="5249000-5250000"/>
          <s v="5250000-5251000"/>
          <s v="5251000-5252000"/>
          <s v="5252000-5253000"/>
          <s v="5253000-5254000"/>
          <s v="5254000-5255000"/>
          <s v="5255000-5256000"/>
          <s v="5256000-5257000"/>
          <s v="5257000-5258000"/>
          <s v="5258000-5259000"/>
          <s v="5259000-5260000"/>
          <s v="5260000-5261000"/>
          <s v="5261000-5262000"/>
          <s v="5262000-5263000"/>
          <s v="5263000-5264000"/>
          <s v="5264000-5265000"/>
          <s v="5265000-5266000"/>
          <s v="5266000-5267000"/>
          <s v="5267000-5268000"/>
          <s v="5268000-5269000"/>
          <s v="5269000-5270000"/>
          <s v="5270000-5271000"/>
          <s v="5271000-5272000"/>
          <s v="5272000-5273000"/>
          <s v="5273000-5274000"/>
          <s v="5274000-5275000"/>
          <s v="5275000-5276000"/>
          <s v="5276000-5277000"/>
          <s v="5277000-5278000"/>
          <s v="5278000-5279000"/>
          <s v="5279000-5280000"/>
          <s v="5280000-5281000"/>
          <s v="5281000-5282000"/>
          <s v="5282000-5283000"/>
          <s v="5283000-5284000"/>
          <s v="5284000-5285000"/>
          <s v="5285000-5286000"/>
          <s v="5286000-5287000"/>
          <s v="5287000-5288000"/>
          <s v="5288000-5289000"/>
          <s v="5289000-5290000"/>
          <s v="5290000-5291000"/>
          <s v="5291000-5292000"/>
          <s v="5292000-5293000"/>
          <s v="5293000-5294000"/>
          <s v="5294000-5295000"/>
          <s v="5295000-5296000"/>
          <s v="5296000-5297000"/>
          <s v="5297000-5298000"/>
          <s v="5298000-5299000"/>
          <s v="5299000-5300000"/>
          <s v="5300000-5301000"/>
          <s v="5301000-5302000"/>
          <s v="5302000-5303000"/>
          <s v="5303000-5304000"/>
          <s v="5304000-5305000"/>
          <s v="5305000-5306000"/>
          <s v="5306000-5307000"/>
          <s v="5307000-5308000"/>
          <s v="5308000-5309000"/>
          <s v="5309000-5310000"/>
          <s v="5310000-5311000"/>
          <s v="5311000-5312000"/>
          <s v="5312000-5313000"/>
          <s v="5313000-5314000"/>
          <s v="5314000-5315000"/>
          <s v="5315000-5316000"/>
          <s v="5316000-5317000"/>
          <s v="5317000-5318000"/>
          <s v="5318000-5319000"/>
          <s v="5319000-5320000"/>
          <s v="5320000-5321000"/>
          <s v="5321000-5322000"/>
          <s v="5322000-5323000"/>
          <s v="5323000-5324000"/>
          <s v="5324000-5325000"/>
          <s v="5325000-5326000"/>
          <s v="5326000-5327000"/>
          <s v="5327000-5328000"/>
          <s v="5328000-5329000"/>
          <s v="5329000-5330000"/>
          <s v="5330000-5331000"/>
          <s v="5331000-5332000"/>
          <s v="5332000-5333000"/>
          <s v="5333000-5334000"/>
          <s v="5334000-5335000"/>
          <s v="5335000-5336000"/>
          <s v="5336000-5337000"/>
          <s v="5337000-5338000"/>
          <s v="5338000-5339000"/>
          <s v="5339000-5340000"/>
          <s v="5340000-5341000"/>
          <s v="5341000-5342000"/>
          <s v="5342000-5343000"/>
          <s v="5343000-5344000"/>
          <s v="5344000-5345000"/>
          <s v="5345000-5346000"/>
          <s v="5346000-5347000"/>
          <s v="5347000-5348000"/>
          <s v="5348000-5349000"/>
          <s v="5349000-5350000"/>
          <s v="5350000-5351000"/>
          <s v="5351000-5352000"/>
          <s v="5352000-5353000"/>
          <s v="5353000-5354000"/>
          <s v="5354000-5355000"/>
          <s v="5355000-5356000"/>
          <s v="5356000-5357000"/>
          <s v="5357000-5358000"/>
          <s v="5358000-5359000"/>
          <s v="5359000-5360000"/>
          <s v="5360000-5361000"/>
          <s v="5361000-5362000"/>
          <s v="5362000-5363000"/>
          <s v="5363000-5364000"/>
          <s v="5364000-5365000"/>
          <s v="5365000-5366000"/>
          <s v="5366000-5367000"/>
          <s v="5367000-5368000"/>
          <s v="5368000-5369000"/>
          <s v="5369000-5370000"/>
          <s v="5370000-5371000"/>
          <s v="5371000-5372000"/>
          <s v="5372000-5373000"/>
          <s v="5373000-5374000"/>
          <s v="5374000-5375000"/>
          <s v="5375000-5376000"/>
          <s v="5376000-5377000"/>
          <s v="5377000-5378000"/>
          <s v="5378000-5379000"/>
          <s v="5379000-5380000"/>
          <s v="5380000-5381000"/>
          <s v="5381000-5382000"/>
          <s v="5382000-5383000"/>
          <s v="5383000-5384000"/>
          <s v="5384000-5385000"/>
          <s v="5385000-5386000"/>
          <s v="5386000-5387000"/>
          <s v="5387000-5388000"/>
          <s v="5388000-5389000"/>
          <s v="5389000-5390000"/>
          <s v="5390000-5391000"/>
          <s v="5391000-5392000"/>
          <s v="5392000-5393000"/>
          <s v="5393000-5394000"/>
          <s v="5394000-5395000"/>
          <s v="5395000-5396000"/>
          <s v="5396000-5397000"/>
          <s v="5397000-5398000"/>
          <s v="5398000-5399000"/>
          <s v="5399000-5400000"/>
          <s v="5400000-5401000"/>
          <s v="5401000-5402000"/>
          <s v="5402000-5403000"/>
          <s v="5403000-5404000"/>
          <s v="5404000-5405000"/>
          <s v="5405000-5406000"/>
          <s v="5406000-5407000"/>
          <s v="5407000-5408000"/>
          <s v="5408000-5409000"/>
          <s v="5409000-5410000"/>
          <s v="5410000-5411000"/>
          <s v="5411000-5412000"/>
          <s v="5412000-5413000"/>
          <s v="5413000-5414000"/>
          <s v="5414000-5415000"/>
          <s v="5415000-5416000"/>
          <s v="5416000-5417000"/>
          <s v="5417000-5418000"/>
          <s v="5418000-5419000"/>
          <s v="5419000-5420000"/>
          <s v="5420000-5421000"/>
          <s v="5421000-5422000"/>
          <s v="5422000-5423000"/>
          <s v="5423000-5424000"/>
          <s v="5424000-5425000"/>
          <s v="5425000-5426000"/>
          <s v="5426000-5427000"/>
          <s v="5427000-5428000"/>
          <s v="5428000-5429000"/>
          <s v="5429000-5430000"/>
          <s v="5430000-5431000"/>
          <s v="5431000-5432000"/>
          <s v="5432000-5433000"/>
          <s v="5433000-5434000"/>
          <s v="5434000-5435000"/>
          <s v="5435000-5436000"/>
          <s v="5436000-5437000"/>
          <s v="5437000-5438000"/>
          <s v="5438000-5439000"/>
          <s v="5439000-5440000"/>
          <s v="5440000-5441000"/>
          <s v="5441000-5442000"/>
          <s v="5442000-5443000"/>
          <s v="5443000-5444000"/>
          <s v="5444000-5445000"/>
          <s v="5445000-5446000"/>
          <s v="5446000-5447000"/>
          <s v="5447000-5448000"/>
          <s v="5448000-5449000"/>
          <s v="5449000-5450000"/>
          <s v="5450000-5451000"/>
          <s v="5451000-5452000"/>
          <s v="5452000-5453000"/>
          <s v="5453000-5454000"/>
          <s v="5454000-5455000"/>
          <s v="5455000-5456000"/>
          <s v="5456000-5457000"/>
          <s v="5457000-5458000"/>
          <s v="5458000-5459000"/>
          <s v="5459000-5460000"/>
          <s v="5460000-5461000"/>
          <s v="5461000-5462000"/>
          <s v="5462000-5463000"/>
          <s v="5463000-5464000"/>
          <s v="5464000-5465000"/>
          <s v="5465000-5466000"/>
          <s v="5466000-5467000"/>
          <s v="5467000-5468000"/>
          <s v="5468000-5469000"/>
          <s v="5469000-5470000"/>
          <s v="5470000-5471000"/>
          <s v="5471000-5472000"/>
          <s v="5472000-5473000"/>
          <s v="5473000-5474000"/>
          <s v="5474000-5475000"/>
          <s v="5475000-5476000"/>
          <s v="5476000-5477000"/>
          <s v="5477000-5478000"/>
          <s v="5478000-5479000"/>
          <s v="5479000-5480000"/>
          <s v="5480000-5481000"/>
          <s v="5481000-5482000"/>
          <s v="5482000-5483000"/>
          <s v="5483000-5484000"/>
          <s v="5484000-5485000"/>
          <s v="5485000-5486000"/>
          <s v="5486000-5487000"/>
          <s v="5487000-5488000"/>
          <s v="5488000-5489000"/>
          <s v="5489000-5490000"/>
          <s v="5490000-5491000"/>
          <s v="5491000-5492000"/>
          <s v="5492000-5493000"/>
          <s v="5493000-5494000"/>
          <s v="5494000-5495000"/>
          <s v="5495000-5496000"/>
          <s v="5496000-5497000"/>
          <s v="5497000-5498000"/>
          <s v="5498000-5499000"/>
          <s v="5499000-5500000"/>
          <s v="5500000-5501000"/>
          <s v="5501000-5502000"/>
          <s v="5502000-5503000"/>
          <s v="5503000-5504000"/>
          <s v="5504000-5505000"/>
          <s v="5505000-5506000"/>
          <s v="5506000-5507000"/>
          <s v="5507000-5508000"/>
          <s v="5508000-5509000"/>
          <s v="5509000-5510000"/>
          <s v="5510000-5511000"/>
          <s v="5511000-5512000"/>
          <s v="5512000-5513000"/>
          <s v="5513000-5514000"/>
          <s v="5514000-5515000"/>
          <s v="5515000-5516000"/>
          <s v="5516000-5517000"/>
          <s v="5517000-5518000"/>
          <s v="5518000-5519000"/>
          <s v="5519000-5520000"/>
          <s v="5520000-5521000"/>
          <s v="5521000-5522000"/>
          <s v="5522000-5523000"/>
          <s v="5523000-5524000"/>
          <s v="5524000-5525000"/>
          <s v="5525000-5526000"/>
          <s v="5526000-5527000"/>
          <s v="5527000-5528000"/>
          <s v="5528000-5529000"/>
          <s v="5529000-5530000"/>
          <s v="5530000-5531000"/>
          <s v="5531000-5532000"/>
          <s v="5532000-5533000"/>
          <s v="5533000-5534000"/>
          <s v="5534000-5535000"/>
          <s v="5535000-5536000"/>
          <s v="5536000-5537000"/>
          <s v="5537000-5538000"/>
          <s v="5538000-5539000"/>
          <s v="5539000-5540000"/>
          <s v="5540000-5541000"/>
          <s v="5541000-5542000"/>
          <s v="5542000-5543000"/>
          <s v="5543000-5544000"/>
          <s v="5544000-5545000"/>
          <s v="5545000-5546000"/>
          <s v="5546000-5547000"/>
          <s v="5547000-5548000"/>
          <s v="5548000-5549000"/>
          <s v="5549000-5550000"/>
          <s v="5550000-5551000"/>
          <s v="5551000-5552000"/>
          <s v="5552000-5553000"/>
          <s v="5553000-5554000"/>
          <s v="5554000-5555000"/>
          <s v="5555000-5556000"/>
          <s v="5556000-5557000"/>
          <s v="5557000-5558000"/>
          <s v="5558000-5559000"/>
          <s v="5559000-5560000"/>
          <s v="5560000-5561000"/>
          <s v="5561000-5562000"/>
          <s v="5562000-5563000"/>
          <s v="5563000-5564000"/>
          <s v="5564000-5565000"/>
          <s v="5565000-5566000"/>
          <s v="5566000-5567000"/>
          <s v="5567000-5568000"/>
          <s v="5568000-5569000"/>
          <s v="5569000-5570000"/>
          <s v="5570000-5571000"/>
          <s v="5571000-5572000"/>
          <s v="5572000-5573000"/>
          <s v="5573000-5574000"/>
          <s v="5574000-5575000"/>
          <s v="5575000-5576000"/>
          <s v="5576000-5577000"/>
          <s v="5577000-5578000"/>
          <s v="5578000-5579000"/>
          <s v="5579000-5580000"/>
          <s v="5580000-5581000"/>
          <s v="5581000-5582000"/>
          <s v="5582000-5583000"/>
          <s v="5583000-5584000"/>
          <s v="5584000-5585000"/>
          <s v="5585000-5586000"/>
          <s v="5586000-5587000"/>
          <s v="5587000-5588000"/>
          <s v="5588000-5589000"/>
          <s v="5589000-5590000"/>
          <s v="5590000-5591000"/>
          <s v="5591000-5592000"/>
          <s v="5592000-5593000"/>
          <s v="5593000-5594000"/>
          <s v="5594000-5595000"/>
          <s v="5595000-5596000"/>
          <s v="5596000-5597000"/>
          <s v="5597000-5598000"/>
          <s v="5598000-5599000"/>
          <s v="5599000-5600000"/>
          <s v="5600000-5601000"/>
          <s v="5601000-5602000"/>
          <s v="5602000-5603000"/>
          <s v="5603000-5604000"/>
          <s v="5604000-5605000"/>
          <s v="5605000-5606000"/>
          <s v="5606000-5607000"/>
          <s v="5607000-5608000"/>
          <s v="5608000-5609000"/>
          <s v="5609000-5610000"/>
          <s v="5610000-5611000"/>
          <s v="5611000-5612000"/>
          <s v="5612000-5613000"/>
          <s v="5613000-5614000"/>
          <s v="5614000-5615000"/>
          <s v="5615000-5616000"/>
          <s v="5616000-5617000"/>
          <s v="5617000-5618000"/>
          <s v="5618000-5619000"/>
          <s v="5619000-5620000"/>
          <s v="5620000-5621000"/>
          <s v="5621000-5622000"/>
          <s v="5622000-5623000"/>
          <s v="5623000-5624000"/>
          <s v="5624000-5625000"/>
          <s v="5625000-5626000"/>
          <s v="5626000-5627000"/>
          <s v="5627000-5628000"/>
          <s v="5628000-5629000"/>
          <s v="5629000-5630000"/>
          <s v="5630000-5631000"/>
          <s v="5631000-5632000"/>
          <s v="5632000-5633000"/>
          <s v="5633000-5634000"/>
          <s v="5634000-5635000"/>
          <s v="5635000-5636000"/>
          <s v="5636000-5637000"/>
          <s v="5637000-5638000"/>
          <s v="5638000-5639000"/>
          <s v="5639000-5640000"/>
          <s v="5640000-5641000"/>
          <s v="5641000-5642000"/>
          <s v="5642000-5643000"/>
          <s v="5643000-5644000"/>
          <s v="5644000-5645000"/>
          <s v="5645000-5646000"/>
          <s v="5646000-5647000"/>
          <s v="5647000-5648000"/>
          <s v="5648000-5649000"/>
          <s v="5649000-5650000"/>
          <s v="5650000-5651000"/>
          <s v="5651000-5652000"/>
          <s v="5652000-5653000"/>
          <s v="5653000-5654000"/>
          <s v="5654000-5655000"/>
          <s v="5655000-5656000"/>
          <s v="5656000-5657000"/>
          <s v="5657000-5658000"/>
          <s v="5658000-5659000"/>
          <s v="5659000-5660000"/>
          <s v="5660000-5661000"/>
          <s v="5661000-5662000"/>
          <s v="5662000-5663000"/>
          <s v="5663000-5664000"/>
          <s v="5664000-5665000"/>
          <s v="5665000-5666000"/>
          <s v="5666000-5667000"/>
          <s v="5667000-5668000"/>
          <s v="5668000-5669000"/>
          <s v="5669000-5670000"/>
          <s v="5670000-5671000"/>
          <s v="5671000-5672000"/>
          <s v="5672000-5673000"/>
          <s v="5673000-5674000"/>
          <s v="5674000-5675000"/>
          <s v="5675000-5676000"/>
          <s v="5676000-5677000"/>
          <s v="5677000-5678000"/>
          <s v="5678000-5679000"/>
          <s v="5679000-5680000"/>
          <s v="5680000-5681000"/>
          <s v="5681000-5682000"/>
          <s v="5682000-5683000"/>
          <s v="5683000-5684000"/>
          <s v="5684000-5685000"/>
          <s v="5685000-5686000"/>
          <s v="5686000-5687000"/>
          <s v="5687000-5688000"/>
          <s v="5688000-5689000"/>
          <s v="5689000-5690000"/>
          <s v="5690000-5691000"/>
          <s v="5691000-5692000"/>
          <s v="5692000-5693000"/>
          <s v="5693000-5694000"/>
          <s v="5694000-5695000"/>
          <s v="5695000-5696000"/>
          <s v="5696000-5697000"/>
          <s v="5697000-5698000"/>
          <s v="5698000-5699000"/>
          <s v="5699000-5700000"/>
          <s v="5700000-5701000"/>
          <s v="5701000-5702000"/>
          <s v="5702000-5703000"/>
          <s v="5703000-5704000"/>
          <s v="5704000-5705000"/>
          <s v="5705000-5706000"/>
          <s v="5706000-5707000"/>
          <s v="5707000-5708000"/>
          <s v="5708000-5709000"/>
          <s v="5709000-5710000"/>
          <s v="5710000-5711000"/>
          <s v="5711000-5712000"/>
          <s v="5712000-5713000"/>
          <s v="5713000-5714000"/>
          <s v="5714000-5715000"/>
          <s v="5715000-5716000"/>
          <s v="5716000-5717000"/>
          <s v="5717000-5718000"/>
          <s v="5718000-5719000"/>
          <s v="5719000-5720000"/>
          <s v="5720000-5721000"/>
          <s v="5721000-5722000"/>
          <s v="5722000-5723000"/>
          <s v="5723000-5724000"/>
          <s v="5724000-5725000"/>
          <s v="5725000-5726000"/>
          <s v="5726000-5727000"/>
          <s v="5727000-5728000"/>
          <s v="5728000-5729000"/>
          <s v="5729000-5730000"/>
          <s v="5730000-5731000"/>
          <s v="5731000-5732000"/>
          <s v="5732000-5733000"/>
          <s v="5733000-5734000"/>
          <s v="5734000-5735000"/>
          <s v="5735000-5736000"/>
          <s v="5736000-5737000"/>
          <s v="5737000-5738000"/>
          <s v="5738000-5739000"/>
          <s v="5739000-5740000"/>
          <s v="5740000-5741000"/>
          <s v="5741000-5742000"/>
          <s v="5742000-5743000"/>
          <s v="5743000-5744000"/>
          <s v="5744000-5745000"/>
          <s v="5745000-5746000"/>
          <s v="5746000-5747000"/>
          <s v="5747000-5748000"/>
          <s v="5748000-5749000"/>
          <s v="5749000-5750000"/>
          <s v="5750000-5751000"/>
          <s v="5751000-5752000"/>
          <s v="5752000-5753000"/>
          <s v="5753000-5754000"/>
          <s v="5754000-5755000"/>
          <s v="5755000-5756000"/>
          <s v="5756000-5757000"/>
          <s v="5757000-5758000"/>
          <s v="5758000-5759000"/>
          <s v="5759000-5760000"/>
          <s v="5760000-5761000"/>
          <s v="5761000-5762000"/>
          <s v="5762000-5763000"/>
          <s v="5763000-5764000"/>
          <s v="5764000-5765000"/>
          <s v="5765000-5766000"/>
          <s v="5766000-5767000"/>
          <s v="5767000-5768000"/>
          <s v="5768000-5769000"/>
          <s v="5769000-5770000"/>
          <s v="5770000-5771000"/>
          <s v="5771000-5772000"/>
          <s v="5772000-5773000"/>
          <s v="5773000-5774000"/>
          <s v="5774000-5775000"/>
          <s v="5775000-5776000"/>
          <s v="5776000-5777000"/>
          <s v="5777000-5778000"/>
          <s v="5778000-5779000"/>
          <s v="5779000-5780000"/>
          <s v="5780000-5781000"/>
          <s v="5781000-5782000"/>
          <s v="5782000-5783000"/>
          <s v="5783000-5784000"/>
          <s v="5784000-5785000"/>
          <s v="5785000-5786000"/>
          <s v="5786000-5787000"/>
          <s v="5787000-5788000"/>
          <s v="5788000-5789000"/>
          <s v="5789000-5790000"/>
          <s v="5790000-5791000"/>
          <s v="5791000-5792000"/>
          <s v="5792000-5793000"/>
          <s v="5793000-5794000"/>
          <s v="5794000-5795000"/>
          <s v="5795000-5796000"/>
          <s v="5796000-5797000"/>
          <s v="5797000-5798000"/>
          <s v="5798000-5799000"/>
          <s v="5799000-5800000"/>
          <s v="5800000-5801000"/>
          <s v="5801000-5802000"/>
          <s v="5802000-5803000"/>
          <s v="5803000-5804000"/>
          <s v="5804000-5805000"/>
          <s v="5805000-5806000"/>
          <s v="5806000-5807000"/>
          <s v="5807000-5808000"/>
          <s v="5808000-5809000"/>
          <s v="5809000-5810000"/>
          <s v="5810000-5811000"/>
          <s v="5811000-5812000"/>
          <s v="5812000-5813000"/>
          <s v="5813000-5814000"/>
          <s v="5814000-5815000"/>
          <s v="5815000-5816000"/>
          <s v="5816000-5817000"/>
          <s v="5817000-5818000"/>
          <s v="5818000-5819000"/>
          <s v="5819000-5820000"/>
          <s v="5820000-5821000"/>
          <s v="5821000-5822000"/>
          <s v="5822000-5823000"/>
          <s v="5823000-5824000"/>
          <s v="5824000-5825000"/>
          <s v="5825000-5826000"/>
          <s v="5826000-5827000"/>
          <s v="5827000-5828000"/>
          <s v="5828000-5829000"/>
          <s v="5829000-5830000"/>
          <s v="5830000-5831000"/>
          <s v="5831000-5832000"/>
          <s v="5832000-5833000"/>
          <s v="5833000-5834000"/>
          <s v="5834000-5835000"/>
          <s v="5835000-5836000"/>
          <s v="5836000-5837000"/>
          <s v="5837000-5838000"/>
          <s v="5838000-5839000"/>
          <s v="5839000-5840000"/>
          <s v="5840000-5841000"/>
          <s v="5841000-5842000"/>
          <s v="5842000-5843000"/>
          <s v="5843000-5844000"/>
          <s v="5844000-5845000"/>
          <s v="5845000-5846000"/>
          <s v="5846000-5847000"/>
          <s v="5847000-5848000"/>
          <s v="5848000-5849000"/>
          <s v="5849000-5850000"/>
          <s v="5850000-5851000"/>
          <s v="5851000-5852000"/>
          <s v="5852000-5853000"/>
          <s v="5853000-5854000"/>
          <s v="5854000-5855000"/>
          <s v="5855000-5856000"/>
          <s v="5856000-5857000"/>
          <s v="5857000-5858000"/>
          <s v="5858000-5859000"/>
          <s v="5859000-5860000"/>
          <s v="5860000-5861000"/>
          <s v="5861000-5862000"/>
          <s v="5862000-5863000"/>
          <s v="5863000-5864000"/>
          <s v="5864000-5865000"/>
          <s v="5865000-5866000"/>
          <s v="5866000-5867000"/>
          <s v="5867000-5868000"/>
          <s v="5868000-5869000"/>
          <s v="5869000-5870000"/>
          <s v="5870000-5871000"/>
          <s v="5871000-5872000"/>
          <s v="5872000-5873000"/>
          <s v="5873000-5874000"/>
          <s v="5874000-5875000"/>
          <s v="5875000-5876000"/>
          <s v="5876000-5877000"/>
          <s v="5877000-5878000"/>
          <s v="5878000-5879000"/>
          <s v="5879000-5880000"/>
          <s v="5880000-5881000"/>
          <s v="5881000-5882000"/>
          <s v="5882000-5883000"/>
          <s v="5883000-5884000"/>
          <s v="5884000-5885000"/>
          <s v="5885000-5886000"/>
          <s v="5886000-5887000"/>
          <s v="5887000-5888000"/>
          <s v="5888000-5889000"/>
          <s v="5889000-5890000"/>
          <s v="5890000-5891000"/>
          <s v="5891000-5892000"/>
          <s v="5892000-5893000"/>
          <s v="5893000-5894000"/>
          <s v="5894000-5895000"/>
          <s v="5895000-5896000"/>
          <s v="5896000-5897000"/>
          <s v="5897000-5898000"/>
          <s v="5898000-5899000"/>
          <s v="5899000-5900000"/>
          <s v="5900000-5901000"/>
          <s v="5901000-5902000"/>
          <s v="5902000-5903000"/>
          <s v="5903000-5904000"/>
          <s v="5904000-5905000"/>
          <s v="5905000-5906000"/>
          <s v="5906000-5907000"/>
          <s v="5907000-5908000"/>
          <s v="5908000-5909000"/>
          <s v="5909000-5910000"/>
          <s v="5910000-5911000"/>
          <s v="5911000-5912000"/>
          <s v="5912000-5913000"/>
          <s v="5913000-5914000"/>
          <s v="5914000-5915000"/>
          <s v="5915000-5916000"/>
          <s v="5916000-5917000"/>
          <s v="5917000-5918000"/>
          <s v="5918000-5919000"/>
          <s v="5919000-5920000"/>
          <s v="5920000-5921000"/>
          <s v="5921000-5922000"/>
          <s v="5922000-5923000"/>
          <s v="5923000-5924000"/>
          <s v="5924000-5925000"/>
          <s v="5925000-5926000"/>
          <s v="5926000-5927000"/>
          <s v="5927000-5928000"/>
          <s v="5928000-5929000"/>
          <s v="5929000-5930000"/>
          <s v="5930000-5931000"/>
          <s v="5931000-5932000"/>
          <s v="5932000-5933000"/>
          <s v="5933000-5934000"/>
          <s v="5934000-5935000"/>
          <s v="5935000-5936000"/>
          <s v="5936000-5937000"/>
          <s v="5937000-5938000"/>
          <s v="5938000-5939000"/>
          <s v="5939000-5940000"/>
          <s v="5940000-5941000"/>
          <s v="5941000-5942000"/>
          <s v="5942000-5943000"/>
          <s v="5943000-5944000"/>
          <s v="5944000-5945000"/>
          <s v="5945000-5946000"/>
          <s v="5946000-5947000"/>
          <s v="5947000-5948000"/>
          <s v="5948000-5949000"/>
          <s v="5949000-5950000"/>
          <s v="5950000-5951000"/>
          <s v="5951000-5952000"/>
          <s v="5952000-5953000"/>
          <s v="5953000-5954000"/>
          <s v="5954000-5955000"/>
          <s v="5955000-5956000"/>
          <s v="5956000-5957000"/>
          <s v="5957000-5958000"/>
          <s v="5958000-5959000"/>
          <s v="5959000-5960000"/>
          <s v="5960000-5961000"/>
          <s v="5961000-5962000"/>
          <s v="5962000-5963000"/>
          <s v="5963000-5964000"/>
          <s v="5964000-5965000"/>
          <s v="5965000-5966000"/>
          <s v="5966000-5967000"/>
          <s v="5967000-5968000"/>
          <s v="5968000-5969000"/>
          <s v="5969000-5970000"/>
          <s v="5970000-5971000"/>
          <s v="5971000-5972000"/>
          <s v="5972000-5973000"/>
          <s v="5973000-5974000"/>
          <s v="5974000-5975000"/>
          <s v="5975000-5976000"/>
          <s v="5976000-5977000"/>
          <s v="5977000-5978000"/>
          <s v="5978000-5979000"/>
          <s v="5979000-5980000"/>
          <s v="5980000-5981000"/>
          <s v="5981000-5982000"/>
          <s v="5982000-5983000"/>
          <s v="5983000-5984000"/>
          <s v="5984000-5985000"/>
          <s v="5985000-5986000"/>
          <s v="5986000-5987000"/>
          <s v="5987000-5988000"/>
          <s v="5988000-5989000"/>
          <s v="5989000-5990000"/>
          <s v="5990000-5991000"/>
          <s v="5991000-5992000"/>
          <s v="5992000-5993000"/>
          <s v="5993000-5994000"/>
          <s v="5994000-5995000"/>
          <s v="5995000-5996000"/>
          <s v="5996000-5997000"/>
          <s v="5997000-5998000"/>
          <s v="5998000-5999000"/>
          <s v="5999000-6000000"/>
          <s v="6000000-6001000"/>
          <s v="6001000-6002000"/>
          <s v="6002000-6003000"/>
          <s v="6003000-6004000"/>
          <s v="6004000-6005000"/>
          <s v="6005000-6006000"/>
          <s v="6006000-6007000"/>
          <s v="6007000-6008000"/>
          <s v="6008000-6009000"/>
          <s v="6009000-6010000"/>
          <s v="6010000-6011000"/>
          <s v="6011000-6012000"/>
          <s v="6012000-6013000"/>
          <s v="6013000-6014000"/>
          <s v="6014000-6015000"/>
          <s v="6015000-6016000"/>
          <s v="6016000-6017000"/>
          <s v="6017000-6018000"/>
          <s v="6018000-6019000"/>
          <s v="6019000-6020000"/>
          <s v="6020000-6021000"/>
          <s v="6021000-6022000"/>
          <s v="6022000-6023000"/>
          <s v="6023000-6024000"/>
          <s v="6024000-6025000"/>
          <s v="6025000-6026000"/>
          <s v="6026000-6027000"/>
          <s v="6027000-6028000"/>
          <s v="6028000-6029000"/>
          <s v="6029000-6030000"/>
          <s v="6030000-6031000"/>
          <s v="6031000-6032000"/>
          <s v="6032000-6033000"/>
          <s v="6033000-6034000"/>
          <s v="6034000-6035000"/>
          <s v="6035000-6036000"/>
          <s v="6036000-6037000"/>
          <s v="6037000-6038000"/>
          <s v="6038000-6039000"/>
          <s v="6039000-6040000"/>
          <s v="6040000-6041000"/>
          <s v="6041000-6042000"/>
          <s v="6042000-6043000"/>
          <s v="6043000-6044000"/>
          <s v="6044000-6045000"/>
          <s v="6045000-6046000"/>
          <s v="6046000-6047000"/>
          <s v="6047000-6048000"/>
          <s v="6048000-6049000"/>
          <s v="6049000-6050000"/>
          <s v="6050000-6051000"/>
          <s v="6051000-6052000"/>
          <s v="6052000-6053000"/>
          <s v="6053000-6054000"/>
          <s v="6054000-6055000"/>
          <s v="6055000-6056000"/>
          <s v="6056000-6057000"/>
          <s v="6057000-6058000"/>
          <s v="6058000-6059000"/>
          <s v="6059000-6060000"/>
          <s v="6060000-6061000"/>
          <s v="6061000-6062000"/>
          <s v="6062000-6063000"/>
          <s v="6063000-6064000"/>
          <s v="6064000-6065000"/>
          <s v="6065000-6066000"/>
          <s v="6066000-6067000"/>
          <s v="6067000-6068000"/>
          <s v="6068000-6069000"/>
          <s v="6069000-6070000"/>
          <s v="6070000-6071000"/>
          <s v="6071000-6072000"/>
          <s v="6072000-6073000"/>
          <s v="6073000-6074000"/>
          <s v="6074000-6075000"/>
          <s v="6075000-6076000"/>
          <s v="6076000-6077000"/>
          <s v="6077000-6078000"/>
          <s v="6078000-6079000"/>
          <s v="6079000-6080000"/>
          <s v="6080000-6081000"/>
          <s v="6081000-6082000"/>
          <s v="6082000-6083000"/>
          <s v="6083000-6084000"/>
          <s v="6084000-6085000"/>
          <s v="6085000-6086000"/>
          <s v="6086000-6087000"/>
          <s v="6087000-6088000"/>
          <s v="6088000-6089000"/>
          <s v="6089000-6090000"/>
          <s v="6090000-6091000"/>
          <s v="6091000-6092000"/>
          <s v="6092000-6093000"/>
          <s v="6093000-6094000"/>
          <s v="6094000-6095000"/>
          <s v="6095000-6096000"/>
          <s v="6096000-6097000"/>
          <s v="6097000-6098000"/>
          <s v="6098000-6099000"/>
          <s v="6099000-6100000"/>
          <s v="6100000-6101000"/>
          <s v="6101000-6102000"/>
          <s v="6102000-6103000"/>
          <s v="6103000-6104000"/>
          <s v="6104000-6105000"/>
          <s v="6105000-6106000"/>
          <s v="6106000-6107000"/>
          <s v="6107000-6108000"/>
          <s v="6108000-6109000"/>
          <s v="6109000-6110000"/>
          <s v="6110000-6111000"/>
          <s v="6111000-6112000"/>
          <s v="6112000-6113000"/>
          <s v="6113000-6114000"/>
          <s v="6114000-6115000"/>
          <s v="6115000-6116000"/>
          <s v="6116000-6117000"/>
          <s v="6117000-6118000"/>
          <s v="6118000-6119000"/>
          <s v="6119000-6120000"/>
          <s v="6120000-6121000"/>
          <s v="6121000-6122000"/>
          <s v="6122000-6123000"/>
          <s v="6123000-6124000"/>
          <s v="6124000-6125000"/>
          <s v="6125000-6126000"/>
          <s v="6126000-6127000"/>
          <s v="6127000-6128000"/>
          <s v="6128000-6129000"/>
          <s v="6129000-6130000"/>
          <s v="6130000-6131000"/>
          <s v="6131000-6132000"/>
          <s v="6132000-6133000"/>
          <s v="6133000-6134000"/>
          <s v="6134000-6135000"/>
          <s v="6135000-6136000"/>
          <s v="6136000-6137000"/>
          <s v="6137000-6138000"/>
          <s v="6138000-6139000"/>
          <s v="6139000-6140000"/>
          <s v="6140000-6141000"/>
          <s v="6141000-6142000"/>
          <s v="6142000-6143000"/>
          <s v="6143000-6144000"/>
          <s v="6144000-6145000"/>
          <s v="6145000-6146000"/>
          <s v="6146000-6147000"/>
          <s v="6147000-6148000"/>
          <s v="6148000-6149000"/>
          <s v="6149000-6150000"/>
          <s v="6150000-6151000"/>
          <s v="6151000-6152000"/>
          <s v="6152000-6153000"/>
          <s v="6153000-6154000"/>
          <s v="6154000-6155000"/>
          <s v="6155000-6156000"/>
          <s v="6156000-6157000"/>
          <s v="6157000-6158000"/>
          <s v="6158000-6159000"/>
          <s v="6159000-6160000"/>
          <s v="6160000-6161000"/>
          <s v="6161000-6162000"/>
          <s v="6162000-6163000"/>
          <s v="6163000-6164000"/>
          <s v="6164000-6165000"/>
          <s v="6165000-6166000"/>
          <s v="6166000-6167000"/>
          <s v="6167000-6168000"/>
          <s v="6168000-6169000"/>
          <s v="6169000-6170000"/>
          <s v="6170000-6171000"/>
          <s v="6171000-6172000"/>
          <s v="6172000-6173000"/>
          <s v="6173000-6174000"/>
          <s v="6174000-6175000"/>
          <s v="6175000-6176000"/>
          <s v="6176000-6177000"/>
          <s v="6177000-6178000"/>
          <s v="6178000-6179000"/>
          <s v="6179000-6180000"/>
          <s v="6180000-6181000"/>
          <s v="6181000-6182000"/>
          <s v="6182000-6183000"/>
          <s v="6183000-6184000"/>
          <s v="6184000-6185000"/>
          <s v="6185000-6186000"/>
          <s v="6186000-6187000"/>
          <s v="6187000-6188000"/>
          <s v="6188000-6189000"/>
          <s v="6189000-6190000"/>
          <s v="6190000-6191000"/>
          <s v="6191000-6192000"/>
          <s v="6192000-6193000"/>
          <s v="6193000-6194000"/>
          <s v="6194000-6195000"/>
          <s v="6195000-6196000"/>
          <s v="6196000-6197000"/>
          <s v="6197000-6198000"/>
          <s v="6198000-6199000"/>
          <s v="6199000-6200000"/>
          <s v="6200000-6201000"/>
          <s v="6201000-6202000"/>
          <s v="6202000-6203000"/>
          <s v="6203000-6204000"/>
          <s v="6204000-6205000"/>
          <s v="6205000-6206000"/>
          <s v="6206000-6207000"/>
          <s v="6207000-6208000"/>
          <s v="6208000-6209000"/>
          <s v="6209000-6210000"/>
          <s v="6210000-6211000"/>
          <s v="6211000-6212000"/>
          <s v="6212000-6213000"/>
          <s v="6213000-6214000"/>
          <s v="6214000-6215000"/>
          <s v="6215000-6216000"/>
          <s v="6216000-6217000"/>
          <s v="6217000-6218000"/>
          <s v="6218000-6219000"/>
          <s v="6219000-6220000"/>
          <s v="6220000-6221000"/>
          <s v="6221000-6222000"/>
          <s v="6222000-6223000"/>
          <s v="6223000-6224000"/>
          <s v="6224000-6225000"/>
          <s v="6225000-6226000"/>
          <s v="6226000-6227000"/>
          <s v="6227000-6228000"/>
          <s v="6228000-6229000"/>
          <s v="6229000-6230000"/>
          <s v="6230000-6231000"/>
          <s v="6231000-6232000"/>
          <s v="6232000-6233000"/>
          <s v="6233000-6234000"/>
          <s v="6234000-6235000"/>
          <s v="6235000-6236000"/>
          <s v="6236000-6237000"/>
          <s v="6237000-6238000"/>
          <s v="6238000-6239000"/>
          <s v="6239000-6240000"/>
          <s v="6240000-6241000"/>
          <s v="6241000-6242000"/>
          <s v="6242000-6243000"/>
          <s v="6243000-6244000"/>
          <s v="6244000-6245000"/>
          <s v="6245000-6246000"/>
          <s v="6246000-6247000"/>
          <s v="6247000-6248000"/>
          <s v="6248000-6249000"/>
          <s v="6249000-6250000"/>
          <s v="6250000-6251000"/>
          <s v="6251000-6252000"/>
          <s v="6252000-6253000"/>
          <s v="6253000-6254000"/>
          <s v="6254000-6255000"/>
          <s v="6255000-6256000"/>
          <s v="6256000-6257000"/>
          <s v="6257000-6258000"/>
          <s v="6258000-6259000"/>
          <s v="6259000-6260000"/>
          <s v="6260000-6261000"/>
          <s v="6261000-6262000"/>
          <s v="6262000-6263000"/>
          <s v="6263000-6264000"/>
          <s v="6264000-6265000"/>
          <s v="6265000-6266000"/>
          <s v="6266000-6267000"/>
          <s v="6267000-6268000"/>
          <s v="6268000-6269000"/>
          <s v="6269000-6270000"/>
          <s v="6270000-6271000"/>
          <s v="6271000-6272000"/>
          <s v="6272000-6273000"/>
          <s v="6273000-6274000"/>
          <s v="6274000-6275000"/>
          <s v="6275000-6276000"/>
          <s v="6276000-6277000"/>
          <s v="6277000-6278000"/>
          <s v="6278000-6279000"/>
          <s v="6279000-6280000"/>
          <s v="6280000-6281000"/>
          <s v="6281000-6282000"/>
          <s v="6282000-6283000"/>
          <s v="6283000-6284000"/>
          <s v="6284000-6285000"/>
          <s v="6285000-6286000"/>
          <s v="6286000-6287000"/>
          <s v="6287000-6288000"/>
          <s v="6288000-6289000"/>
          <s v="6289000-6290000"/>
          <s v="6290000-6291000"/>
          <s v="6291000-6292000"/>
          <s v="6292000-6293000"/>
          <s v="6293000-6294000"/>
          <s v="6294000-6295000"/>
          <s v="6295000-6296000"/>
          <s v="6296000-6297000"/>
          <s v="6297000-6298000"/>
          <s v="6298000-6299000"/>
          <s v="6299000-6300000"/>
          <s v="6300000-6301000"/>
          <s v="6301000-6302000"/>
          <s v="6302000-6303000"/>
          <s v="6303000-6304000"/>
          <s v="6304000-6305000"/>
          <s v="6305000-6306000"/>
          <s v="6306000-6307000"/>
          <s v="6307000-6308000"/>
          <s v="6308000-6309000"/>
          <s v="6309000-6310000"/>
          <s v="6310000-6311000"/>
          <s v="6311000-6312000"/>
          <s v="6312000-6313000"/>
          <s v="6313000-6314000"/>
          <s v="6314000-6315000"/>
          <s v="6315000-6316000"/>
          <s v="6316000-6317000"/>
          <s v="6317000-6318000"/>
          <s v="6318000-6319000"/>
          <s v="6319000-6320000"/>
          <s v="6320000-6321000"/>
          <s v="6321000-6322000"/>
          <s v="6322000-6323000"/>
          <s v="6323000-6324000"/>
          <s v="6324000-6325000"/>
          <s v="6325000-6326000"/>
          <s v="6326000-6327000"/>
          <s v="6327000-6328000"/>
          <s v="6328000-6329000"/>
          <s v="6329000-6330000"/>
          <s v="6330000-6331000"/>
          <s v="6331000-6332000"/>
          <s v="6332000-6333000"/>
          <s v="6333000-6334000"/>
          <s v="6334000-6335000"/>
          <s v="6335000-6336000"/>
          <s v="6336000-6337000"/>
          <s v="6337000-6338000"/>
          <s v="6338000-6339000"/>
          <s v="6339000-6340000"/>
          <s v="6340000-6341000"/>
          <s v="6341000-6342000"/>
          <s v="6342000-6343000"/>
          <s v="6343000-6344000"/>
          <s v="6344000-6345000"/>
          <s v="6345000-6346000"/>
          <s v="6346000-6347000"/>
          <s v="6347000-6348000"/>
          <s v="6348000-6349000"/>
          <s v="6349000-6350000"/>
          <s v="6350000-6351000"/>
          <s v="6351000-6352000"/>
          <s v="6352000-6353000"/>
          <s v="6353000-6354000"/>
          <s v="6354000-6355000"/>
          <s v="6355000-6356000"/>
          <s v="6356000-6357000"/>
          <s v="6357000-6358000"/>
          <s v="6358000-6359000"/>
          <s v="6359000-6360000"/>
          <s v="6360000-6361000"/>
          <s v="6361000-6362000"/>
          <s v="6362000-6363000"/>
          <s v="6363000-6364000"/>
          <s v="6364000-6365000"/>
          <s v="6365000-6366000"/>
          <s v="6366000-6367000"/>
          <s v="6367000-6368000"/>
          <s v="6368000-6369000"/>
          <s v="6369000-6370000"/>
          <s v="6370000-6371000"/>
          <s v="6371000-6372000"/>
          <s v="6372000-6373000"/>
          <s v="6373000-6374000"/>
          <s v="6374000-6375000"/>
          <s v="6375000-6376000"/>
          <s v="6376000-6377000"/>
          <s v="6377000-6378000"/>
          <s v="6378000-6379000"/>
          <s v="6379000-6380000"/>
          <s v="6380000-6381000"/>
          <s v="6381000-6382000"/>
          <s v="6382000-6383000"/>
          <s v="6383000-6384000"/>
          <s v="6384000-6385000"/>
          <s v="6385000-6386000"/>
          <s v="6386000-6387000"/>
          <s v="6387000-6388000"/>
          <s v="6388000-6389000"/>
          <s v="6389000-6390000"/>
          <s v="6390000-6391000"/>
          <s v="6391000-6392000"/>
          <s v="6392000-6393000"/>
          <s v="6393000-6394000"/>
          <s v="6394000-6395000"/>
          <s v="6395000-6396000"/>
          <s v="6396000-6397000"/>
          <s v="6397000-6398000"/>
          <s v="6398000-6399000"/>
          <s v="6399000-6400000"/>
          <s v="6400000-6401000"/>
          <s v="6401000-6402000"/>
          <s v="6402000-6403000"/>
          <s v="6403000-6404000"/>
          <s v="6404000-6405000"/>
          <s v="6405000-6406000"/>
          <s v="6406000-6407000"/>
          <s v="6407000-6408000"/>
          <s v="6408000-6409000"/>
          <s v="6409000-6410000"/>
          <s v="6410000-6411000"/>
          <s v="6411000-6412000"/>
          <s v="6412000-6413000"/>
          <s v="6413000-6414000"/>
          <s v="6414000-6415000"/>
          <s v="6415000-6416000"/>
          <s v="6416000-6417000"/>
          <s v="6417000-6418000"/>
          <s v="6418000-6419000"/>
          <s v="6419000-6420000"/>
          <s v="6420000-6421000"/>
          <s v="6421000-6422000"/>
          <s v="6422000-6423000"/>
          <s v="6423000-6424000"/>
          <s v="6424000-6425000"/>
          <s v="6425000-6426000"/>
          <s v="6426000-6427000"/>
          <s v="6427000-6428000"/>
          <s v="6428000-6429000"/>
          <s v="6429000-6430000"/>
          <s v="6430000-6431000"/>
          <s v="6431000-6432000"/>
          <s v="6432000-6433000"/>
          <s v="6433000-6434000"/>
          <s v="6434000-6435000"/>
          <s v="6435000-6436000"/>
          <s v="6436000-6437000"/>
          <s v="6437000-6438000"/>
          <s v="6438000-6439000"/>
          <s v="6439000-6440000"/>
          <s v="6440000-6441000"/>
          <s v="6441000-6442000"/>
          <s v="6442000-6443000"/>
          <s v="6443000-6444000"/>
          <s v="6444000-6445000"/>
          <s v="6445000-6446000"/>
          <s v="6446000-6447000"/>
          <s v="6447000-6448000"/>
          <s v="6448000-6449000"/>
          <s v="6449000-6450000"/>
          <s v="6450000-6451000"/>
          <s v="6451000-6452000"/>
          <s v="6452000-6453000"/>
          <s v="6453000-6454000"/>
          <s v="6454000-6455000"/>
          <s v="6455000-6456000"/>
          <s v="6456000-6457000"/>
          <s v="6457000-6458000"/>
          <s v="6458000-6459000"/>
          <s v="6459000-6460000"/>
          <s v="6460000-6461000"/>
          <s v="6461000-6462000"/>
          <s v="6462000-6463000"/>
          <s v="6463000-6464000"/>
          <s v="6464000-6465000"/>
          <s v="6465000-6466000"/>
          <s v="6466000-6467000"/>
          <s v="6467000-6468000"/>
          <s v="6468000-6469000"/>
          <s v="6469000-6470000"/>
          <s v="6470000-6471000"/>
          <s v="6471000-6472000"/>
          <s v="6472000-6473000"/>
          <s v="6473000-6474000"/>
          <s v="6474000-6475000"/>
          <s v="6475000-6476000"/>
          <s v="6476000-6477000"/>
          <s v="6477000-6478000"/>
          <s v="6478000-6479000"/>
          <s v="6479000-6480000"/>
          <s v="6480000-6481000"/>
          <s v="6481000-6482000"/>
          <s v="6482000-6483000"/>
          <s v="6483000-6484000"/>
          <s v="6484000-6485000"/>
          <s v="6485000-6486000"/>
          <s v="6486000-6487000"/>
          <s v="6487000-6488000"/>
          <s v="6488000-6489000"/>
          <s v="6489000-6490000"/>
          <s v="6490000-6491000"/>
          <s v="6491000-6492000"/>
          <s v="6492000-6493000"/>
          <s v="6493000-6494000"/>
          <s v="6494000-6495000"/>
          <s v="6495000-6496000"/>
          <s v="6496000-6497000"/>
          <s v="6497000-6498000"/>
          <s v="6498000-6499000"/>
          <s v="6499000-6500000"/>
          <s v="6500000-6501000"/>
          <s v="6501000-6502000"/>
          <s v="6502000-6503000"/>
          <s v="6503000-6504000"/>
          <s v="6504000-6505000"/>
          <s v="6505000-6506000"/>
          <s v="6506000-6507000"/>
          <s v="6507000-6508000"/>
          <s v="6508000-6509000"/>
          <s v="6509000-6510000"/>
          <s v="6510000-6511000"/>
          <s v="6511000-6512000"/>
          <s v="6512000-6513000"/>
          <s v="6513000-6514000"/>
          <s v="6514000-6515000"/>
          <s v="6515000-6516000"/>
          <s v="6516000-6517000"/>
          <s v="6517000-6518000"/>
          <s v="6518000-6519000"/>
          <s v="6519000-6520000"/>
          <s v="6520000-6521000"/>
          <s v="6521000-6522000"/>
          <s v="6522000-6523000"/>
          <s v="6523000-6524000"/>
          <s v="6524000-6525000"/>
          <s v="6525000-6526000"/>
          <s v="6526000-6527000"/>
          <s v="6527000-6528000"/>
          <s v="6528000-6529000"/>
          <s v="6529000-6530000"/>
          <s v="6530000-6531000"/>
          <s v="6531000-6532000"/>
          <s v="6532000-6533000"/>
          <s v="6533000-6534000"/>
          <s v="6534000-6535000"/>
          <s v="6535000-6536000"/>
          <s v="6536000-6537000"/>
          <s v="6537000-6538000"/>
          <s v="6538000-6539000"/>
          <s v="6539000-6540000"/>
          <s v="6540000-6541000"/>
          <s v="6541000-6542000"/>
          <s v="6542000-6543000"/>
          <s v="6543000-6544000"/>
          <s v="6544000-6545000"/>
          <s v="6545000-6546000"/>
          <s v="6546000-6547000"/>
          <s v="6547000-6548000"/>
          <s v="6548000-6549000"/>
          <s v="6549000-6550000"/>
          <s v="6550000-6551000"/>
          <s v="6551000-6552000"/>
          <s v="6552000-6553000"/>
          <s v="6553000-6554000"/>
          <s v="6554000-6555000"/>
          <s v="6555000-6556000"/>
          <s v="6556000-6557000"/>
          <s v="6557000-6558000"/>
          <s v="6558000-6559000"/>
          <s v="6559000-6560000"/>
          <s v="6560000-6561000"/>
          <s v="6561000-6562000"/>
          <s v="6562000-6563000"/>
          <s v="6563000-6564000"/>
          <s v="6564000-6565000"/>
          <s v="6565000-6566000"/>
          <s v="6566000-6567000"/>
          <s v="6567000-6568000"/>
          <s v="6568000-6569000"/>
          <s v="6569000-6570000"/>
          <s v="6570000-6571000"/>
          <s v="6571000-6572000"/>
          <s v="6572000-6573000"/>
          <s v="6573000-6574000"/>
          <s v="6574000-6575000"/>
          <s v="6575000-6576000"/>
          <s v="6576000-6577000"/>
          <s v="6577000-6578000"/>
          <s v="6578000-6579000"/>
          <s v="6579000-6580000"/>
          <s v="6580000-6581000"/>
          <s v="6581000-6582000"/>
          <s v="6582000-6583000"/>
          <s v="6583000-6584000"/>
          <s v="6584000-6585000"/>
          <s v="6585000-6586000"/>
          <s v="6586000-6587000"/>
          <s v="6587000-6588000"/>
          <s v="6588000-6589000"/>
          <s v="6589000-6590000"/>
          <s v="6590000-6591000"/>
          <s v="6591000-6592000"/>
          <s v="6592000-6593000"/>
          <s v="6593000-6594000"/>
          <s v="6594000-6595000"/>
          <s v="6595000-6596000"/>
          <s v="6596000-6597000"/>
          <s v="6597000-6598000"/>
          <s v="6598000-6599000"/>
          <s v="6599000-6600000"/>
          <s v="6600000-6601000"/>
          <s v="6601000-6602000"/>
          <s v="6602000-6603000"/>
          <s v="6603000-6604000"/>
          <s v="6604000-6605000"/>
          <s v="6605000-6606000"/>
          <s v="6606000-6607000"/>
          <s v="6607000-6608000"/>
          <s v="6608000-6609000"/>
          <s v="6609000-6610000"/>
          <s v="6610000-6611000"/>
          <s v="6611000-6612000"/>
          <s v="6612000-6613000"/>
          <s v="6613000-6614000"/>
          <s v="6614000-6615000"/>
          <s v="6615000-6616000"/>
          <s v="6616000-6617000"/>
          <s v="6617000-6618000"/>
          <s v="6618000-6619000"/>
          <s v="6619000-6620000"/>
          <s v="6620000-6621000"/>
          <s v="6621000-6622000"/>
          <s v="6622000-6623000"/>
          <s v="6623000-6624000"/>
          <s v="6624000-6625000"/>
          <s v="6625000-6626000"/>
          <s v="6626000-6627000"/>
          <s v="6627000-6628000"/>
          <s v="6628000-6629000"/>
          <s v="6629000-6630000"/>
          <s v="6630000-6631000"/>
          <s v="6631000-6632000"/>
          <s v="6632000-6633000"/>
          <s v="6633000-6634000"/>
          <s v="6634000-6635000"/>
          <s v="6635000-6636000"/>
          <s v="6636000-6637000"/>
          <s v="6637000-6638000"/>
          <s v="6638000-6639000"/>
          <s v="6639000-6640000"/>
          <s v="6640000-6641000"/>
          <s v="6641000-6642000"/>
          <s v="6642000-6643000"/>
          <s v="6643000-6644000"/>
          <s v="6644000-6645000"/>
          <s v="6645000-6646000"/>
          <s v="6646000-6647000"/>
          <s v="6647000-6648000"/>
          <s v="6648000-6649000"/>
          <s v="6649000-6650000"/>
          <s v="6650000-6651000"/>
          <s v="6651000-6652000"/>
          <s v="6652000-6653000"/>
          <s v="6653000-6654000"/>
          <s v="6654000-6655000"/>
          <s v="6655000-6656000"/>
          <s v="6656000-6657000"/>
          <s v="6657000-6658000"/>
          <s v="6658000-6659000"/>
          <s v="6659000-6660000"/>
          <s v="6660000-6661000"/>
          <s v="6661000-6662000"/>
          <s v="6662000-6663000"/>
          <s v="6663000-6664000"/>
          <s v="6664000-6665000"/>
          <s v="6665000-6666000"/>
          <s v="6666000-6667000"/>
          <s v="6667000-6668000"/>
          <s v="6668000-6669000"/>
          <s v="6669000-6670000"/>
          <s v="6670000-6671000"/>
          <s v="6671000-6672000"/>
          <s v="6672000-6673000"/>
          <s v="6673000-6674000"/>
          <s v="6674000-6675000"/>
          <s v="6675000-6676000"/>
          <s v="6676000-6677000"/>
          <s v="6677000-6678000"/>
          <s v="6678000-6679000"/>
          <s v="6679000-6680000"/>
          <s v="6680000-6681000"/>
          <s v="6681000-6682000"/>
          <s v="6682000-6683000"/>
          <s v="6683000-6684000"/>
          <s v="6684000-6685000"/>
          <s v="6685000-6686000"/>
          <s v="6686000-6687000"/>
          <s v="6687000-6688000"/>
          <s v="6688000-6689000"/>
          <s v="6689000-6690000"/>
          <s v="6690000-6691000"/>
          <s v="6691000-6692000"/>
          <s v="6692000-6693000"/>
          <s v="6693000-6694000"/>
          <s v="6694000-6695000"/>
          <s v="6695000-6696000"/>
          <s v="6696000-6697000"/>
          <s v="6697000-6698000"/>
          <s v="6698000-6699000"/>
          <s v="6699000-6700000"/>
          <s v="6700000-6701000"/>
          <s v="6701000-6702000"/>
          <s v="6702000-6703000"/>
          <s v="6703000-6704000"/>
          <s v="6704000-6705000"/>
          <s v="6705000-6706000"/>
          <s v="6706000-6707000"/>
          <s v="6707000-6708000"/>
          <s v="6708000-6709000"/>
          <s v="6709000-6710000"/>
          <s v="6710000-6711000"/>
          <s v="6711000-6712000"/>
          <s v="6712000-6713000"/>
          <s v="6713000-6714000"/>
          <s v="6714000-6715000"/>
          <s v="6715000-6716000"/>
          <s v="6716000-6717000"/>
          <s v="6717000-6718000"/>
          <s v="6718000-6719000"/>
          <s v="6719000-6720000"/>
          <s v="6720000-6721000"/>
          <s v="6721000-6722000"/>
          <s v="6722000-6723000"/>
          <s v="6723000-6724000"/>
          <s v="6724000-6725000"/>
          <s v="6725000-6726000"/>
          <s v="6726000-6727000"/>
          <s v="6727000-6728000"/>
          <s v="6728000-6729000"/>
          <s v="6729000-6730000"/>
          <s v="6730000-6731000"/>
          <s v="6731000-6732000"/>
          <s v="6732000-6733000"/>
          <s v="6733000-6734000"/>
          <s v="6734000-6735000"/>
          <s v="6735000-6736000"/>
          <s v="6736000-6737000"/>
          <s v="6737000-6738000"/>
          <s v="6738000-6739000"/>
          <s v="6739000-6740000"/>
          <s v="6740000-6741000"/>
          <s v="6741000-6742000"/>
          <s v="6742000-6743000"/>
          <s v="6743000-6744000"/>
          <s v="6744000-6745000"/>
          <s v="6745000-6746000"/>
          <s v="6746000-6747000"/>
          <s v="6747000-6748000"/>
          <s v="6748000-6749000"/>
          <s v="6749000-6750000"/>
          <s v="6750000-6751000"/>
          <s v="6751000-6752000"/>
          <s v="6752000-6753000"/>
          <s v="6753000-6754000"/>
          <s v="6754000-6755000"/>
          <s v="6755000-6756000"/>
          <s v="6756000-6757000"/>
          <s v="6757000-6758000"/>
          <s v="6758000-6759000"/>
          <s v="6759000-6760000"/>
          <s v="6760000-6761000"/>
          <s v="6761000-6762000"/>
          <s v="6762000-6763000"/>
          <s v="6763000-6764000"/>
          <s v="6764000-6765000"/>
          <s v="6765000-6766000"/>
          <s v="6766000-6767000"/>
          <s v="6767000-6768000"/>
          <s v="6768000-6769000"/>
          <s v="6769000-6770000"/>
          <s v="6770000-6771000"/>
          <s v="6771000-6772000"/>
          <s v="6772000-6773000"/>
          <s v="6773000-6774000"/>
          <s v="6774000-6775000"/>
          <s v="6775000-6776000"/>
          <s v="6776000-6777000"/>
          <s v="6777000-6778000"/>
          <s v="6778000-6779000"/>
          <s v="6779000-6780000"/>
          <s v="6780000-6781000"/>
          <s v="6781000-6782000"/>
          <s v="6782000-6783000"/>
          <s v="6783000-6784000"/>
          <s v="6784000-6785000"/>
          <s v="6785000-6786000"/>
          <s v="6786000-6787000"/>
          <s v="6787000-6788000"/>
          <s v="6788000-6789000"/>
          <s v="6789000-6790000"/>
          <s v="6790000-6791000"/>
          <s v="6791000-6792000"/>
          <s v="6792000-6793000"/>
          <s v="6793000-6794000"/>
          <s v="6794000-6795000"/>
          <s v="6795000-6796000"/>
          <s v="6796000-6797000"/>
          <s v="6797000-6798000"/>
          <s v="6798000-6799000"/>
          <s v="6799000-6800000"/>
          <s v="6800000-6801000"/>
          <s v="6801000-6802000"/>
          <s v="6802000-6803000"/>
          <s v="6803000-6804000"/>
          <s v="6804000-6805000"/>
          <s v="6805000-6806000"/>
          <s v="6806000-6807000"/>
          <s v="6807000-6808000"/>
          <s v="6808000-6809000"/>
          <s v="6809000-6810000"/>
          <s v="6810000-6811000"/>
          <s v="6811000-6812000"/>
          <s v="6812000-6813000"/>
          <s v="6813000-6814000"/>
          <s v="6814000-6815000"/>
          <s v="6815000-6816000"/>
          <s v="6816000-6817000"/>
          <s v="6817000-6818000"/>
          <s v="6818000-6819000"/>
          <s v="6819000-6820000"/>
          <s v="6820000-6821000"/>
          <s v="6821000-6822000"/>
          <s v="6822000-6823000"/>
          <s v="6823000-6824000"/>
          <s v="6824000-6825000"/>
          <s v="6825000-6826000"/>
          <s v="6826000-6827000"/>
          <s v="6827000-6828000"/>
          <s v="6828000-6829000"/>
          <s v="6829000-6830000"/>
          <s v="6830000-6831000"/>
          <s v="6831000-6832000"/>
          <s v="6832000-6833000"/>
          <s v="6833000-6834000"/>
          <s v="6834000-6835000"/>
          <s v="6835000-6836000"/>
          <s v="6836000-6837000"/>
          <s v="6837000-6838000"/>
          <s v="6838000-6839000"/>
          <s v="6839000-6840000"/>
          <s v="6840000-6841000"/>
          <s v="6841000-6842000"/>
          <s v="6842000-6843000"/>
          <s v="6843000-6844000"/>
          <s v="6844000-6845000"/>
          <s v="6845000-6846000"/>
          <s v="6846000-6847000"/>
          <s v="6847000-6848000"/>
          <s v="6848000-6849000"/>
          <s v="6849000-6850000"/>
          <s v="6850000-6851000"/>
          <s v="6851000-6852000"/>
          <s v="6852000-6853000"/>
          <s v="6853000-6854000"/>
          <s v="6854000-6855000"/>
          <s v="6855000-6856000"/>
          <s v="6856000-6857000"/>
          <s v="6857000-6858000"/>
          <s v="6858000-6859000"/>
          <s v="6859000-6860000"/>
          <s v="6860000-6861000"/>
          <s v="6861000-6862000"/>
          <s v="6862000-6863000"/>
          <s v="6863000-6864000"/>
          <s v="6864000-6865000"/>
          <s v="6865000-6866000"/>
          <s v="6866000-6867000"/>
          <s v="6867000-6868000"/>
          <s v="6868000-6869000"/>
          <s v="6869000-6870000"/>
          <s v="6870000-6871000"/>
          <s v="6871000-6872000"/>
          <s v="6872000-6873000"/>
          <s v="6873000-6874000"/>
          <s v="6874000-6875000"/>
          <s v="6875000-6876000"/>
          <s v="6876000-6877000"/>
          <s v="6877000-6878000"/>
          <s v="6878000-6879000"/>
          <s v="6879000-6880000"/>
          <s v="6880000-6881000"/>
          <s v="6881000-6882000"/>
          <s v="6882000-6883000"/>
          <s v="6883000-6884000"/>
          <s v="6884000-6885000"/>
          <s v="6885000-6886000"/>
          <s v="6886000-6887000"/>
          <s v="6887000-6888000"/>
          <s v="6888000-6889000"/>
          <s v="6889000-6890000"/>
          <s v="6890000-6891000"/>
          <s v="6891000-6892000"/>
          <s v="6892000-6893000"/>
          <s v="6893000-6894000"/>
          <s v="6894000-6895000"/>
          <s v="6895000-6896000"/>
          <s v="6896000-6897000"/>
          <s v="6897000-6898000"/>
          <s v="6898000-6899000"/>
          <s v="6899000-6900000"/>
          <s v="6900000-6901000"/>
          <s v="6901000-6902000"/>
          <s v="6902000-6903000"/>
          <s v="6903000-6904000"/>
          <s v="6904000-6905000"/>
          <s v="6905000-6906000"/>
          <s v="6906000-6907000"/>
          <s v="6907000-6908000"/>
          <s v="6908000-6909000"/>
          <s v="6909000-6910000"/>
          <s v="6910000-6911000"/>
          <s v="6911000-6912000"/>
          <s v="6912000-6913000"/>
          <s v="6913000-6914000"/>
          <s v="6914000-6915000"/>
          <s v="6915000-6916000"/>
          <s v="6916000-6917000"/>
          <s v="6917000-6918000"/>
          <s v="6918000-6919000"/>
          <s v="6919000-6920000"/>
          <s v="6920000-6921000"/>
          <s v="6921000-6922000"/>
          <s v="6922000-6923000"/>
          <s v="6923000-6924000"/>
          <s v="6924000-6925000"/>
          <s v="6925000-6926000"/>
          <s v="6926000-6927000"/>
          <s v="6927000-6928000"/>
          <s v="6928000-6929000"/>
          <s v="6929000-6930000"/>
          <s v="6930000-6931000"/>
          <s v="6931000-6932000"/>
          <s v="6932000-6933000"/>
          <s v="6933000-6934000"/>
          <s v="6934000-6935000"/>
          <s v="6935000-6936000"/>
          <s v="6936000-6937000"/>
          <s v="6937000-6938000"/>
          <s v="6938000-6939000"/>
          <s v="6939000-6940000"/>
          <s v="6940000-6941000"/>
          <s v="6941000-6942000"/>
          <s v="6942000-6943000"/>
          <s v="6943000-6944000"/>
          <s v="6944000-6945000"/>
          <s v="6945000-6946000"/>
          <s v="6946000-6947000"/>
          <s v="6947000-6948000"/>
          <s v="6948000-6949000"/>
          <s v="6949000-6950000"/>
          <s v="6950000-6951000"/>
          <s v="6951000-6952000"/>
          <s v="6952000-6953000"/>
          <s v="6953000-6954000"/>
          <s v="6954000-6955000"/>
          <s v="6955000-6956000"/>
          <s v="6956000-6957000"/>
          <s v="6957000-6958000"/>
          <s v="6958000-6959000"/>
          <s v="6959000-6960000"/>
          <s v="6960000-6961000"/>
          <s v="6961000-6962000"/>
          <s v="6962000-6963000"/>
          <s v="6963000-6964000"/>
          <s v="6964000-6965000"/>
          <s v="6965000-6966000"/>
          <s v="6966000-6967000"/>
          <s v="6967000-6968000"/>
          <s v="6968000-6969000"/>
          <s v="6969000-6970000"/>
          <s v="6970000-6971000"/>
          <s v="6971000-6972000"/>
          <s v="6972000-6973000"/>
          <s v="6973000-6974000"/>
          <s v="6974000-6975000"/>
          <s v="6975000-6976000"/>
          <s v="6976000-6977000"/>
          <s v="6977000-6978000"/>
          <s v="6978000-6979000"/>
          <s v="6979000-6980000"/>
          <s v="6980000-6981000"/>
          <s v="6981000-6982000"/>
          <s v="6982000-6983000"/>
          <s v="6983000-6984000"/>
          <s v="6984000-6985000"/>
          <s v="6985000-6986000"/>
          <s v="6986000-6987000"/>
          <s v="6987000-6988000"/>
          <s v="6988000-6989000"/>
          <s v="6989000-6990000"/>
          <s v="6990000-6991000"/>
          <s v="6991000-6992000"/>
          <s v="6992000-6993000"/>
          <s v="6993000-6994000"/>
          <s v="6994000-6995000"/>
          <s v="6995000-6996000"/>
          <s v="6996000-6997000"/>
          <s v="6997000-6998000"/>
          <s v="6998000-6999000"/>
          <s v="6999000-7000000"/>
          <s v="7000000-7001000"/>
          <s v="7001000-7002000"/>
          <s v="7002000-7003000"/>
          <s v="7003000-7004000"/>
          <s v="7004000-7005000"/>
          <s v="7005000-7006000"/>
          <s v="7006000-7007000"/>
          <s v="7007000-7008000"/>
          <s v="7008000-7009000"/>
          <s v="7009000-7010000"/>
          <s v="7010000-7011000"/>
          <s v="7011000-7012000"/>
          <s v="7012000-7013000"/>
          <s v="7013000-7014000"/>
          <s v="7014000-7015000"/>
          <s v="7015000-7016000"/>
          <s v="7016000-7017000"/>
          <s v="7017000-7018000"/>
          <s v="7018000-7019000"/>
          <s v="7019000-7020000"/>
          <s v="7020000-7021000"/>
          <s v="7021000-7022000"/>
          <s v="7022000-7023000"/>
          <s v="7023000-7024000"/>
          <s v="7024000-7025000"/>
          <s v="7025000-7026000"/>
          <s v="7026000-7027000"/>
          <s v="7027000-7028000"/>
          <s v="7028000-7029000"/>
          <s v="7029000-7030000"/>
          <s v="7030000-7031000"/>
          <s v="7031000-7032000"/>
          <s v="7032000-7033000"/>
          <s v="7033000-7034000"/>
          <s v="7034000-7035000"/>
          <s v="7035000-7036000"/>
          <s v="7036000-7037000"/>
          <s v="7037000-7038000"/>
          <s v="7038000-7039000"/>
          <s v="7039000-7040000"/>
          <s v="7040000-7041000"/>
          <s v="7041000-7042000"/>
          <s v="7042000-7043000"/>
          <s v="7043000-7044000"/>
          <s v="7044000-7045000"/>
          <s v="7045000-7046000"/>
          <s v="7046000-7047000"/>
          <s v="7047000-7048000"/>
          <s v="7048000-7049000"/>
          <s v="7049000-7050000"/>
          <s v="7050000-7051000"/>
          <s v="7051000-7052000"/>
          <s v="7052000-7053000"/>
          <s v="7053000-7054000"/>
          <s v="7054000-7055000"/>
          <s v="7055000-7056000"/>
          <s v="7056000-7057000"/>
          <s v="7057000-7058000"/>
          <s v="7058000-7059000"/>
          <s v="7059000-7060000"/>
          <s v="7060000-7061000"/>
          <s v="7061000-7062000"/>
          <s v="7062000-7063000"/>
          <s v="7063000-7064000"/>
          <s v="7064000-7065000"/>
          <s v="7065000-7066000"/>
          <s v="7066000-7067000"/>
          <s v="7067000-7068000"/>
          <s v="7068000-7069000"/>
          <s v="7069000-7070000"/>
          <s v="7070000-7071000"/>
          <s v="7071000-7072000"/>
          <s v="7072000-7073000"/>
          <s v="7073000-7074000"/>
          <s v="7074000-7075000"/>
          <s v="7075000-7076000"/>
          <s v="7076000-7077000"/>
          <s v="7077000-7078000"/>
          <s v="7078000-7079000"/>
          <s v="7079000-7080000"/>
          <s v="7080000-7081000"/>
          <s v="7081000-7082000"/>
          <s v="7082000-7083000"/>
          <s v="7083000-7084000"/>
          <s v="7084000-7085000"/>
          <s v="7085000-7086000"/>
          <s v="7086000-7087000"/>
          <s v="7087000-7088000"/>
          <s v="7088000-7089000"/>
          <s v="7089000-7090000"/>
          <s v="7090000-7091000"/>
          <s v="7091000-7092000"/>
          <s v="7092000-7093000"/>
          <s v="7093000-7094000"/>
          <s v="7094000-7095000"/>
          <s v="7095000-7096000"/>
          <s v="7096000-7097000"/>
          <s v="7097000-7098000"/>
          <s v="7098000-7099000"/>
          <s v="7099000-7100000"/>
          <s v="7100000-7101000"/>
          <s v="7101000-7102000"/>
          <s v="7102000-7103000"/>
          <s v="7103000-7104000"/>
          <s v="7104000-7105000"/>
          <s v="7105000-7106000"/>
          <s v="7106000-7107000"/>
          <s v="7107000-7108000"/>
          <s v="7108000-7109000"/>
          <s v="7109000-7110000"/>
          <s v="7110000-7111000"/>
          <s v="7111000-7112000"/>
          <s v="7112000-7113000"/>
          <s v="7113000-7114000"/>
          <s v="7114000-7115000"/>
          <s v="7115000-7116000"/>
          <s v="7116000-7117000"/>
          <s v="7117000-7118000"/>
          <s v="7118000-7119000"/>
          <s v="7119000-7120000"/>
          <s v="7120000-7121000"/>
          <s v="7121000-7122000"/>
          <s v="7122000-7123000"/>
          <s v="7123000-7124000"/>
          <s v="7124000-7125000"/>
          <s v="7125000-7126000"/>
          <s v="7126000-7127000"/>
          <s v="7127000-7128000"/>
          <s v="7128000-7129000"/>
          <s v="7129000-7130000"/>
          <s v="7130000-7131000"/>
          <s v="7131000-7132000"/>
          <s v="7132000-7133000"/>
          <s v="7133000-7134000"/>
          <s v="7134000-7135000"/>
          <s v="7135000-7136000"/>
          <s v="7136000-7137000"/>
          <s v="7137000-7138000"/>
          <s v="7138000-7139000"/>
          <s v="7139000-7140000"/>
          <s v="7140000-7141000"/>
          <s v="7141000-7142000"/>
          <s v="7142000-7143000"/>
          <s v="7143000-7144000"/>
          <s v="7144000-7145000"/>
          <s v="7145000-7146000"/>
          <s v="7146000-7147000"/>
          <s v="7147000-7148000"/>
          <s v="7148000-7149000"/>
          <s v="7149000-7150000"/>
          <s v="7150000-7151000"/>
          <s v="7151000-7152000"/>
          <s v="7152000-7153000"/>
          <s v="7153000-7154000"/>
          <s v="7154000-7155000"/>
          <s v="7155000-7156000"/>
          <s v="7156000-7157000"/>
          <s v="7157000-7158000"/>
          <s v="7158000-7159000"/>
          <s v="7159000-7160000"/>
          <s v="7160000-7161000"/>
          <s v="7161000-7162000"/>
          <s v="7162000-7163000"/>
          <s v="7163000-7164000"/>
          <s v="7164000-7165000"/>
          <s v="7165000-7166000"/>
          <s v="7166000-7167000"/>
          <s v="7167000-7168000"/>
          <s v="7168000-7169000"/>
          <s v="7169000-7170000"/>
          <s v="7170000-7171000"/>
          <s v="7171000-7172000"/>
          <s v="7172000-7173000"/>
          <s v="7173000-7174000"/>
          <s v="7174000-7175000"/>
          <s v="7175000-7176000"/>
          <s v="7176000-7177000"/>
          <s v="7177000-7178000"/>
          <s v="7178000-7179000"/>
          <s v="7179000-7180000"/>
          <s v="7180000-7181000"/>
          <s v="7181000-7182000"/>
          <s v="7182000-7183000"/>
          <s v="7183000-7184000"/>
          <s v="7184000-7185000"/>
          <s v="7185000-7186000"/>
          <s v="7186000-7187000"/>
          <s v="7187000-7188000"/>
          <s v="7188000-7189000"/>
          <s v="7189000-7190000"/>
          <s v="7190000-7191000"/>
          <s v="7191000-7192000"/>
          <s v="7192000-7193000"/>
          <s v="7193000-7194000"/>
          <s v="7194000-7195000"/>
          <s v="7195000-7196000"/>
          <s v="7196000-7197000"/>
          <s v="7197000-7198000"/>
          <s v="7198000-7199000"/>
          <s v="7199000-7200000"/>
          <s v="7200000-7201000"/>
          <s v="7201000-7202000"/>
          <s v="7202000-7203000"/>
          <s v="7203000-7204000"/>
          <s v="7204000-7205000"/>
          <s v="7205000-7206000"/>
          <s v="7206000-7207000"/>
          <s v="7207000-7208000"/>
          <s v="7208000-7209000"/>
          <s v="7209000-7210000"/>
          <s v="7210000-7211000"/>
          <s v="7211000-7212000"/>
          <s v="7212000-7213000"/>
          <s v="7213000-7214000"/>
          <s v="7214000-7215000"/>
          <s v="7215000-7216000"/>
          <s v="7216000-7217000"/>
          <s v="7217000-7218000"/>
          <s v="7218000-7219000"/>
          <s v="7219000-7220000"/>
          <s v="7220000-7221000"/>
          <s v="7221000-7222000"/>
          <s v="7222000-7223000"/>
          <s v="7223000-7224000"/>
          <s v="7224000-7225000"/>
          <s v="7225000-7226000"/>
          <s v="7226000-7227000"/>
          <s v="7227000-7228000"/>
          <s v="7228000-7229000"/>
          <s v="7229000-7230000"/>
          <s v="7230000-7231000"/>
          <s v="7231000-7232000"/>
          <s v="7232000-7233000"/>
          <s v="7233000-7234000"/>
          <s v="7234000-7235000"/>
          <s v="7235000-7236000"/>
          <s v="7236000-7237000"/>
          <s v="7237000-7238000"/>
          <s v="7238000-7239000"/>
          <s v="7239000-7240000"/>
          <s v="7240000-7241000"/>
          <s v="7241000-7242000"/>
          <s v="7242000-7243000"/>
          <s v="7243000-7244000"/>
          <s v="7244000-7245000"/>
          <s v="7245000-7246000"/>
          <s v="7246000-7247000"/>
          <s v="7247000-7248000"/>
          <s v="7248000-7249000"/>
          <s v="7249000-7250000"/>
          <s v="7250000-7251000"/>
          <s v="7251000-7252000"/>
          <s v="7252000-7253000"/>
          <s v="7253000-7254000"/>
          <s v="7254000-7255000"/>
          <s v="7255000-7256000"/>
          <s v="7256000-7257000"/>
          <s v="7257000-7258000"/>
          <s v="7258000-7259000"/>
          <s v="7259000-7260000"/>
          <s v="7260000-7261000"/>
          <s v="7261000-7262000"/>
          <s v="7262000-7263000"/>
          <s v="7263000-7264000"/>
          <s v="7264000-7265000"/>
          <s v="7265000-7266000"/>
          <s v="7266000-7267000"/>
          <s v="7267000-7268000"/>
          <s v="7268000-7269000"/>
          <s v="7269000-7270000"/>
          <s v="7270000-7271000"/>
          <s v="7271000-7272000"/>
          <s v="7272000-7273000"/>
          <s v="7273000-7274000"/>
          <s v="7274000-7275000"/>
          <s v="7275000-7276000"/>
          <s v="7276000-7277000"/>
          <s v="7277000-7278000"/>
          <s v="7278000-7279000"/>
          <s v="7279000-7280000"/>
          <s v="7280000-7281000"/>
          <s v="7281000-7282000"/>
          <s v="7282000-7283000"/>
          <s v="7283000-7284000"/>
          <s v="7284000-7285000"/>
          <s v="7285000-7286000"/>
          <s v="7286000-7287000"/>
          <s v="7287000-7288000"/>
          <s v="7288000-7289000"/>
          <s v="7289000-7290000"/>
          <s v="7290000-7291000"/>
          <s v="7291000-7292000"/>
          <s v="7292000-7293000"/>
          <s v="7293000-7294000"/>
          <s v="7294000-7295000"/>
          <s v="7295000-7296000"/>
          <s v="7296000-7297000"/>
          <s v="7297000-7298000"/>
          <s v="7298000-7299000"/>
          <s v="7299000-7300000"/>
          <s v="7300000-7301000"/>
          <s v="7301000-7302000"/>
          <s v="7302000-7303000"/>
          <s v="7303000-7304000"/>
          <s v="7304000-7305000"/>
          <s v="7305000-7306000"/>
          <s v="7306000-7307000"/>
          <s v="7307000-7308000"/>
          <s v="7308000-7309000"/>
          <s v="7309000-7310000"/>
          <s v="7310000-7311000"/>
          <s v="7311000-7312000"/>
          <s v="7312000-7313000"/>
          <s v="7313000-7314000"/>
          <s v="7314000-7315000"/>
          <s v="7315000-7316000"/>
          <s v="7316000-7317000"/>
          <s v="7317000-7318000"/>
          <s v="7318000-7319000"/>
          <s v="7319000-7320000"/>
          <s v="7320000-7321000"/>
          <s v="7321000-7322000"/>
          <s v="7322000-7323000"/>
          <s v="7323000-7324000"/>
          <s v="7324000-7325000"/>
          <s v="7325000-7326000"/>
          <s v="7326000-7327000"/>
          <s v="7327000-7328000"/>
          <s v="7328000-7329000"/>
          <s v="7329000-7330000"/>
          <s v="7330000-7331000"/>
          <s v="7331000-7332000"/>
          <s v="7332000-7333000"/>
          <s v="7333000-7334000"/>
          <s v="7334000-7335000"/>
          <s v="7335000-7336000"/>
          <s v="7336000-7337000"/>
          <s v="7337000-7338000"/>
          <s v="7338000-7339000"/>
          <s v="7339000-7340000"/>
          <s v="7340000-7341000"/>
          <s v="7341000-7342000"/>
          <s v="7342000-7343000"/>
          <s v="7343000-7344000"/>
          <s v="7344000-7345000"/>
          <s v="7345000-7346000"/>
          <s v="7346000-7347000"/>
          <s v="7347000-7348000"/>
          <s v="7348000-7349000"/>
          <s v="7349000-7350000"/>
          <s v="7350000-7351000"/>
          <s v="7351000-7352000"/>
          <s v="7352000-7353000"/>
          <s v="7353000-7354000"/>
          <s v="7354000-7355000"/>
          <s v="7355000-7356000"/>
          <s v="7356000-7357000"/>
          <s v="7357000-7358000"/>
          <s v="7358000-7359000"/>
          <s v="7359000-7360000"/>
          <s v="7360000-7361000"/>
          <s v="7361000-7362000"/>
          <s v="7362000-7363000"/>
          <s v="7363000-7364000"/>
          <s v="7364000-7365000"/>
          <s v="7365000-7366000"/>
          <s v="7366000-7367000"/>
          <s v="7367000-7368000"/>
          <s v="7368000-7369000"/>
          <s v="7369000-7370000"/>
          <s v="7370000-7371000"/>
          <s v="7371000-7372000"/>
          <s v="7372000-7373000"/>
          <s v="7373000-7374000"/>
          <s v="7374000-7375000"/>
          <s v="7375000-7376000"/>
          <s v="7376000-7377000"/>
          <s v="7377000-7378000"/>
          <s v="7378000-7379000"/>
          <s v="7379000-7380000"/>
          <s v="7380000-7381000"/>
          <s v="7381000-7382000"/>
          <s v="7382000-7383000"/>
          <s v="7383000-7384000"/>
          <s v="7384000-7385000"/>
          <s v="7385000-7386000"/>
          <s v="7386000-7387000"/>
          <s v="7387000-7388000"/>
          <s v="7388000-7389000"/>
          <s v="7389000-7390000"/>
          <s v="7390000-7391000"/>
          <s v="7391000-7392000"/>
          <s v="7392000-7393000"/>
          <s v="7393000-7394000"/>
          <s v="7394000-7395000"/>
          <s v="7395000-7396000"/>
          <s v="7396000-7397000"/>
          <s v="7397000-7398000"/>
          <s v="7398000-7399000"/>
          <s v="7399000-7400000"/>
          <s v="7400000-7401000"/>
          <s v="7401000-7402000"/>
          <s v="7402000-7403000"/>
          <s v="7403000-7404000"/>
          <s v="7404000-7405000"/>
          <s v="7405000-7406000"/>
          <s v="7406000-7407000"/>
          <s v="7407000-7408000"/>
          <s v="7408000-7409000"/>
          <s v="7409000-7410000"/>
          <s v="7410000-7411000"/>
          <s v="7411000-7412000"/>
          <s v="7412000-7413000"/>
          <s v="7413000-7414000"/>
          <s v="7414000-7415000"/>
          <s v="7415000-7416000"/>
          <s v="7416000-7417000"/>
          <s v="7417000-7418000"/>
          <s v="7418000-7419000"/>
          <s v="7419000-7420000"/>
          <s v="7420000-7421000"/>
          <s v="7421000-7422000"/>
          <s v="7422000-7423000"/>
          <s v="7423000-7424000"/>
          <s v="7424000-7425000"/>
          <s v="7425000-7426000"/>
          <s v="7426000-7427000"/>
          <s v="7427000-7428000"/>
          <s v="7428000-7429000"/>
          <s v="7429000-7430000"/>
          <s v="7430000-7431000"/>
          <s v="7431000-7432000"/>
          <s v="7432000-7433000"/>
          <s v="7433000-7434000"/>
          <s v="7434000-7435000"/>
          <s v="7435000-7436000"/>
          <s v="7436000-7437000"/>
          <s v="7437000-7438000"/>
          <s v="7438000-7439000"/>
          <s v="7439000-7440000"/>
          <s v="7440000-7441000"/>
          <s v="7441000-7442000"/>
          <s v="7442000-7443000"/>
          <s v="7443000-7444000"/>
          <s v="7444000-7445000"/>
          <s v="7445000-7446000"/>
          <s v="7446000-7447000"/>
          <s v="7447000-7448000"/>
          <s v="7448000-7449000"/>
          <s v="7449000-7450000"/>
          <s v="7450000-7451000"/>
          <s v="7451000-7452000"/>
          <s v="7452000-7453000"/>
          <s v="7453000-7454000"/>
          <s v="7454000-7455000"/>
          <s v="7455000-7456000"/>
          <s v="7456000-7457000"/>
          <s v="7457000-7458000"/>
          <s v="7458000-7459000"/>
          <s v="7459000-7460000"/>
          <s v="7460000-7461000"/>
          <s v="7461000-7462000"/>
          <s v="7462000-7463000"/>
          <s v="7463000-7464000"/>
          <s v="7464000-7465000"/>
          <s v="7465000-7466000"/>
          <s v="7466000-7467000"/>
          <s v="7467000-7468000"/>
          <s v="7468000-7469000"/>
          <s v="7469000-7470000"/>
          <s v="7470000-7471000"/>
          <s v="7471000-7472000"/>
          <s v="7472000-7473000"/>
          <s v="7473000-7474000"/>
          <s v="7474000-7475000"/>
          <s v="7475000-7476000"/>
          <s v="7476000-7477000"/>
          <s v="7477000-7478000"/>
          <s v="7478000-7479000"/>
          <s v="7479000-7480000"/>
          <s v="7480000-7481000"/>
          <s v="7481000-7482000"/>
          <s v="7482000-7483000"/>
          <s v="7483000-7484000"/>
          <s v="7484000-7485000"/>
          <s v="7485000-7486000"/>
          <s v="7486000-7487000"/>
          <s v="7487000-7488000"/>
          <s v="7488000-7489000"/>
          <s v="7489000-7490000"/>
          <s v="7490000-7491000"/>
          <s v="7491000-7492000"/>
          <s v="7492000-7493000"/>
          <s v="7493000-7494000"/>
          <s v="7494000-7495000"/>
          <s v="7495000-7496000"/>
          <s v="7496000-7497000"/>
          <s v="7497000-7498000"/>
          <s v="7498000-7499000"/>
          <s v="7499000-7500000"/>
          <s v="7500000-7501000"/>
          <s v="7501000-7502000"/>
          <s v="7502000-7503000"/>
          <s v="7503000-7504000"/>
          <s v="7504000-7505000"/>
          <s v="7505000-7506000"/>
          <s v="7506000-7507000"/>
          <s v="7507000-7508000"/>
          <s v="7508000-7509000"/>
          <s v="7509000-7510000"/>
          <s v="7510000-7511000"/>
          <s v="7511000-7512000"/>
          <s v="7512000-7513000"/>
          <s v="7513000-7514000"/>
          <s v="7514000-7515000"/>
          <s v="7515000-7516000"/>
          <s v="7516000-7517000"/>
          <s v="7517000-7518000"/>
          <s v="7518000-7519000"/>
          <s v="7519000-7520000"/>
          <s v="7520000-7521000"/>
          <s v="7521000-7522000"/>
          <s v="7522000-7523000"/>
          <s v="7523000-7524000"/>
          <s v="7524000-7525000"/>
          <s v="7525000-7526000"/>
          <s v="7526000-7527000"/>
          <s v="7527000-7528000"/>
          <s v="7528000-7529000"/>
          <s v="7529000-7530000"/>
          <s v="7530000-7531000"/>
          <s v="7531000-7532000"/>
          <s v="7532000-7533000"/>
          <s v="7533000-7534000"/>
          <s v="7534000-7535000"/>
          <s v="7535000-7536000"/>
          <s v="7536000-7537000"/>
          <s v="7537000-7538000"/>
          <s v="7538000-7539000"/>
          <s v="7539000-7540000"/>
          <s v="7540000-7541000"/>
          <s v="7541000-7542000"/>
          <s v="7542000-7543000"/>
          <s v="7543000-7544000"/>
          <s v="7544000-7545000"/>
          <s v="7545000-7546000"/>
          <s v="7546000-7547000"/>
          <s v="7547000-7548000"/>
          <s v="7548000-7549000"/>
          <s v="7549000-7550000"/>
          <s v="7550000-7551000"/>
          <s v="7551000-7552000"/>
          <s v="7552000-7553000"/>
          <s v="7553000-7554000"/>
          <s v="7554000-7555000"/>
          <s v="7555000-7556000"/>
          <s v="7556000-7557000"/>
          <s v="7557000-7558000"/>
          <s v="7558000-7559000"/>
          <s v="7559000-7560000"/>
          <s v="7560000-7561000"/>
          <s v="7561000-7562000"/>
          <s v="7562000-7563000"/>
          <s v="7563000-7564000"/>
          <s v="7564000-7565000"/>
          <s v="7565000-7566000"/>
          <s v="7566000-7567000"/>
          <s v="7567000-7568000"/>
          <s v="7568000-7569000"/>
          <s v="7569000-7570000"/>
          <s v="7570000-7571000"/>
          <s v="7571000-7572000"/>
          <s v="7572000-7573000"/>
          <s v="7573000-7574000"/>
          <s v="7574000-7575000"/>
          <s v="7575000-7576000"/>
          <s v="7576000-7577000"/>
          <s v="7577000-7578000"/>
          <s v="7578000-7579000"/>
          <s v="7579000-7580000"/>
          <s v="7580000-7581000"/>
          <s v="7581000-7582000"/>
          <s v="7582000-7583000"/>
          <s v="7583000-7584000"/>
          <s v="7584000-7585000"/>
          <s v="7585000-7586000"/>
          <s v="7586000-7587000"/>
          <s v="7587000-7588000"/>
          <s v="7588000-7589000"/>
          <s v="7589000-7590000"/>
          <s v="7590000-7591000"/>
          <s v="7591000-7592000"/>
          <s v="7592000-7593000"/>
          <s v="7593000-7594000"/>
          <s v="7594000-7595000"/>
          <s v="7595000-7596000"/>
          <s v="7596000-7597000"/>
          <s v="7597000-7598000"/>
          <s v="7598000-7599000"/>
          <s v="7599000-7600000"/>
          <s v="7600000-7601000"/>
          <s v="7601000-7602000"/>
          <s v="7602000-7603000"/>
          <s v="7603000-7604000"/>
          <s v="7604000-7605000"/>
          <s v="7605000-7606000"/>
          <s v="7606000-7607000"/>
          <s v="7607000-7608000"/>
          <s v="7608000-7609000"/>
          <s v="7609000-7610000"/>
          <s v="7610000-7611000"/>
          <s v="7611000-7612000"/>
          <s v="7612000-7613000"/>
          <s v="7613000-7614000"/>
          <s v="7614000-7615000"/>
          <s v="7615000-7616000"/>
          <s v="7616000-7617000"/>
          <s v="7617000-7618000"/>
          <s v="7618000-7619000"/>
          <s v="7619000-7620000"/>
          <s v="7620000-7621000"/>
          <s v="7621000-7622000"/>
          <s v="7622000-7623000"/>
          <s v="7623000-7624000"/>
          <s v="7624000-7625000"/>
          <s v="7625000-7626000"/>
          <s v="7626000-7627000"/>
          <s v="7627000-7628000"/>
          <s v="7628000-7629000"/>
          <s v="7629000-7630000"/>
          <s v="7630000-7631000"/>
          <s v="7631000-7632000"/>
          <s v="7632000-7633000"/>
          <s v="7633000-7634000"/>
          <s v="7634000-7635000"/>
          <s v="7635000-7636000"/>
          <s v="7636000-7637000"/>
          <s v="7637000-7638000"/>
          <s v="7638000-7639000"/>
          <s v="7639000-7640000"/>
          <s v="7640000-7641000"/>
          <s v="7641000-7642000"/>
          <s v="7642000-7643000"/>
          <s v="7643000-7644000"/>
          <s v="7644000-7645000"/>
          <s v="7645000-7646000"/>
          <s v="7646000-7647000"/>
          <s v="7647000-7648000"/>
          <s v="7648000-7649000"/>
          <s v="7649000-7650000"/>
          <s v="7650000-7651000"/>
          <s v="7651000-7652000"/>
          <s v="7652000-7653000"/>
          <s v="7653000-7654000"/>
          <s v="7654000-7655000"/>
          <s v="7655000-7656000"/>
          <s v="7656000-7657000"/>
          <s v="7657000-7658000"/>
          <s v="7658000-7659000"/>
          <s v="7659000-7660000"/>
          <s v="7660000-7661000"/>
          <s v="7661000-7662000"/>
          <s v="7662000-7663000"/>
          <s v="7663000-7664000"/>
          <s v="7664000-7665000"/>
          <s v="7665000-7666000"/>
          <s v="7666000-7667000"/>
          <s v="7667000-7668000"/>
          <s v="7668000-7669000"/>
          <s v="7669000-7670000"/>
          <s v="7670000-7671000"/>
          <s v="7671000-7672000"/>
          <s v="7672000-7673000"/>
          <s v="7673000-7674000"/>
          <s v="7674000-7675000"/>
          <s v="7675000-7676000"/>
          <s v="7676000-7677000"/>
          <s v="7677000-7678000"/>
          <s v="7678000-7679000"/>
          <s v="7679000-7680000"/>
          <s v="7680000-7681000"/>
          <s v="7681000-7682000"/>
          <s v="7682000-7683000"/>
          <s v="7683000-7684000"/>
          <s v="7684000-7685000"/>
          <s v="7685000-7686000"/>
          <s v="7686000-7687000"/>
          <s v="7687000-7688000"/>
          <s v="7688000-7689000"/>
          <s v="7689000-7690000"/>
          <s v="7690000-7691000"/>
          <s v="7691000-7692000"/>
          <s v="7692000-7693000"/>
          <s v="7693000-7694000"/>
          <s v="7694000-7695000"/>
          <s v="7695000-7696000"/>
          <s v="7696000-7697000"/>
          <s v="7697000-7698000"/>
          <s v="7698000-7699000"/>
          <s v="7699000-7700000"/>
          <s v="7700000-7701000"/>
          <s v="7701000-7702000"/>
          <s v="7702000-7703000"/>
          <s v="7703000-7704000"/>
          <s v="7704000-7705000"/>
          <s v="7705000-7706000"/>
          <s v="7706000-7707000"/>
          <s v="7707000-7708000"/>
          <s v="7708000-7709000"/>
          <s v="7709000-7710000"/>
          <s v="7710000-7711000"/>
          <s v="7711000-7712000"/>
          <s v="7712000-7713000"/>
          <s v="7713000-7714000"/>
          <s v="7714000-7715000"/>
          <s v="7715000-7716000"/>
          <s v="7716000-7717000"/>
          <s v="7717000-7718000"/>
          <s v="7718000-7719000"/>
          <s v="7719000-7720000"/>
          <s v="7720000-7721000"/>
          <s v="7721000-7722000"/>
          <s v="7722000-7723000"/>
          <s v="7723000-7724000"/>
          <s v="7724000-7725000"/>
          <s v="7725000-7726000"/>
          <s v="7726000-7727000"/>
          <s v="7727000-7728000"/>
          <s v="7728000-7729000"/>
          <s v="7729000-7730000"/>
          <s v="7730000-7731000"/>
          <s v="7731000-7732000"/>
          <s v="7732000-7733000"/>
          <s v="7733000-7734000"/>
          <s v="7734000-7735000"/>
          <s v="7735000-7736000"/>
          <s v="7736000-7737000"/>
          <s v="7737000-7738000"/>
          <s v="7738000-7739000"/>
          <s v="7739000-7740000"/>
          <s v="7740000-7741000"/>
          <s v="7741000-7742000"/>
          <s v="7742000-7743000"/>
          <s v="7743000-7744000"/>
          <s v="7744000-7745000"/>
          <s v="7745000-7746000"/>
          <s v="7746000-7747000"/>
          <s v="7747000-7748000"/>
          <s v="7748000-7749000"/>
          <s v="7749000-7750000"/>
          <s v="7750000-7751000"/>
          <s v="7751000-7752000"/>
          <s v="7752000-7753000"/>
          <s v="7753000-7754000"/>
          <s v="7754000-7755000"/>
          <s v="7755000-7756000"/>
          <s v="7756000-7757000"/>
          <s v="7757000-7758000"/>
          <s v="7758000-7759000"/>
          <s v="7759000-7760000"/>
          <s v="7760000-7761000"/>
          <s v="7761000-7762000"/>
          <s v="7762000-7763000"/>
          <s v="7763000-7764000"/>
          <s v="7764000-7765000"/>
          <s v="7765000-7766000"/>
          <s v="7766000-7767000"/>
          <s v="7767000-7768000"/>
          <s v="7768000-7769000"/>
          <s v="7769000-7770000"/>
          <s v="7770000-7771000"/>
          <s v="7771000-7772000"/>
          <s v="7772000-7773000"/>
          <s v="7773000-7774000"/>
          <s v="7774000-7775000"/>
          <s v="7775000-7776000"/>
          <s v="7776000-7777000"/>
          <s v="7777000-7778000"/>
          <s v="7778000-7779000"/>
          <s v="7779000-7780000"/>
          <s v="7780000-7781000"/>
          <s v="7781000-7782000"/>
          <s v="7782000-7783000"/>
          <s v="7783000-7784000"/>
          <s v="7784000-7785000"/>
          <s v="7785000-7786000"/>
          <s v="7786000-7787000"/>
          <s v="7787000-7788000"/>
          <s v="7788000-7789000"/>
          <s v="7789000-7790000"/>
          <s v="7790000-7791000"/>
          <s v="7791000-7792000"/>
          <s v="7792000-7793000"/>
          <s v="7793000-7794000"/>
          <s v="7794000-7795000"/>
          <s v="7795000-7796000"/>
          <s v="7796000-7797000"/>
          <s v="7797000-7798000"/>
          <s v="7798000-7799000"/>
          <s v="7799000-7800000"/>
          <s v="7800000-7801000"/>
          <s v="7801000-7802000"/>
          <s v="7802000-7803000"/>
          <s v="7803000-7804000"/>
          <s v="7804000-7805000"/>
          <s v="7805000-7806000"/>
          <s v="7806000-7807000"/>
          <s v="7807000-7808000"/>
          <s v="7808000-7809000"/>
          <s v="7809000-7810000"/>
          <s v="7810000-7811000"/>
          <s v="7811000-7812000"/>
          <s v="7812000-7813000"/>
          <s v="7813000-7814000"/>
          <s v="7814000-7815000"/>
          <s v="7815000-7816000"/>
          <s v="7816000-7817000"/>
          <s v="7817000-7818000"/>
          <s v="7818000-7819000"/>
          <s v="7819000-7820000"/>
          <s v="7820000-7821000"/>
          <s v="7821000-7822000"/>
          <s v="7822000-7823000"/>
          <s v="7823000-7824000"/>
          <s v="7824000-7825000"/>
          <s v="7825000-7826000"/>
          <s v="7826000-7827000"/>
          <s v="7827000-7828000"/>
          <s v="7828000-7829000"/>
          <s v="7829000-7830000"/>
          <s v="7830000-7831000"/>
          <s v="7831000-7832000"/>
          <s v="7832000-7833000"/>
          <s v="7833000-7834000"/>
          <s v="7834000-7835000"/>
          <s v="7835000-7836000"/>
          <s v="7836000-7837000"/>
          <s v="7837000-7838000"/>
          <s v="7838000-7839000"/>
          <s v="7839000-7840000"/>
          <s v="7840000-7841000"/>
          <s v="7841000-7842000"/>
          <s v="7842000-7843000"/>
          <s v="7843000-7844000"/>
          <s v="7844000-7845000"/>
          <s v="7845000-7846000"/>
          <s v="7846000-7847000"/>
          <s v="7847000-7848000"/>
          <s v="7848000-7849000"/>
          <s v="7849000-7850000"/>
          <s v="7850000-7851000"/>
          <s v="7851000-7852000"/>
          <s v="7852000-7853000"/>
          <s v="7853000-7854000"/>
          <s v="7854000-7855000"/>
          <s v="7855000-7856000"/>
          <s v="7856000-7857000"/>
          <s v="7857000-7858000"/>
          <s v="7858000-7859000"/>
          <s v="7859000-7860000"/>
          <s v="7860000-7861000"/>
          <s v="7861000-7862000"/>
          <s v="7862000-7863000"/>
          <s v="7863000-7864000"/>
          <s v="7864000-7865000"/>
          <s v="7865000-7866000"/>
          <s v="7866000-7867000"/>
          <s v="7867000-7868000"/>
          <s v="7868000-7869000"/>
          <s v="7869000-7870000"/>
          <s v="7870000-7871000"/>
          <s v="7871000-7872000"/>
          <s v="7872000-7873000"/>
          <s v="7873000-7874000"/>
          <s v="7874000-7875000"/>
          <s v="7875000-7876000"/>
          <s v="7876000-7877000"/>
          <s v="7877000-7878000"/>
          <s v="7878000-7879000"/>
          <s v="7879000-7880000"/>
          <s v="7880000-7881000"/>
          <s v="7881000-7882000"/>
          <s v="7882000-7883000"/>
          <s v="7883000-7884000"/>
          <s v="7884000-7885000"/>
          <s v="7885000-7886000"/>
          <s v="7886000-7887000"/>
          <s v="7887000-7888000"/>
          <s v="7888000-7889000"/>
          <s v="7889000-7890000"/>
          <s v="7890000-7891000"/>
          <s v="7891000-7892000"/>
          <s v="7892000-7893000"/>
          <s v="7893000-7894000"/>
          <s v="7894000-7895000"/>
          <s v="7895000-7896000"/>
          <s v="7896000-7897000"/>
          <s v="7897000-7898000"/>
          <s v="7898000-7899000"/>
          <s v="7899000-7900000"/>
          <s v="7900000-7901000"/>
          <s v="7901000-7902000"/>
          <s v="7902000-7903000"/>
          <s v="7903000-7904000"/>
          <s v="7904000-7905000"/>
          <s v="7905000-7906000"/>
          <s v="7906000-7907000"/>
          <s v="7907000-7908000"/>
          <s v="7908000-7909000"/>
          <s v="7909000-7910000"/>
          <s v="7910000-7911000"/>
          <s v="7911000-7912000"/>
          <s v="7912000-7913000"/>
          <s v="7913000-7914000"/>
          <s v="7914000-7915000"/>
          <s v="7915000-7916000"/>
          <s v="7916000-7917000"/>
          <s v="7917000-7918000"/>
          <s v="7918000-7919000"/>
          <s v="7919000-7920000"/>
          <s v="7920000-7921000"/>
          <s v="7921000-7922000"/>
          <s v="7922000-7923000"/>
          <s v="7923000-7924000"/>
          <s v="7924000-7925000"/>
          <s v="7925000-7926000"/>
          <s v="7926000-7927000"/>
          <s v="7927000-7928000"/>
          <s v="7928000-7929000"/>
          <s v="7929000-7930000"/>
          <s v="7930000-7931000"/>
          <s v="7931000-7932000"/>
          <s v="7932000-7933000"/>
          <s v="7933000-7934000"/>
          <s v="7934000-7935000"/>
          <s v="7935000-7936000"/>
          <s v="7936000-7937000"/>
          <s v="7937000-7938000"/>
          <s v="7938000-7939000"/>
          <s v="7939000-7940000"/>
          <s v="7940000-7941000"/>
          <s v="7941000-7942000"/>
          <s v="7942000-7943000"/>
          <s v="7943000-7944000"/>
          <s v="7944000-7945000"/>
          <s v="7945000-7946000"/>
          <s v="7946000-7947000"/>
          <s v="7947000-7948000"/>
          <s v="7948000-7949000"/>
          <s v="7949000-7950000"/>
          <s v="7950000-7951000"/>
          <s v="7951000-7952000"/>
          <s v="7952000-7953000"/>
          <s v="7953000-7954000"/>
          <s v="7954000-7955000"/>
          <s v="7955000-7956000"/>
          <s v="7956000-7957000"/>
          <s v="7957000-7958000"/>
          <s v="7958000-7959000"/>
          <s v="7959000-7960000"/>
          <s v="7960000-7961000"/>
          <s v="7961000-7962000"/>
          <s v="7962000-7963000"/>
          <s v="7963000-7964000"/>
          <s v="7964000-7965000"/>
          <s v="7965000-7966000"/>
          <s v="7966000-7967000"/>
          <s v="7967000-7968000"/>
          <s v="7968000-7969000"/>
          <s v="7969000-7970000"/>
          <s v="7970000-7971000"/>
          <s v="7971000-7972000"/>
          <s v="7972000-7973000"/>
          <s v="7973000-7974000"/>
          <s v="7974000-7975000"/>
          <s v="7975000-7976000"/>
          <s v="7976000-7977000"/>
          <s v="7977000-7978000"/>
          <s v="7978000-7979000"/>
          <s v="7979000-7980000"/>
          <s v="7980000-7981000"/>
          <s v="7981000-7982000"/>
          <s v="7982000-7983000"/>
          <s v="7983000-7984000"/>
          <s v="7984000-7985000"/>
          <s v="7985000-7986000"/>
          <s v="7986000-7987000"/>
          <s v="7987000-7988000"/>
          <s v="7988000-7989000"/>
          <s v="7989000-7990000"/>
          <s v="7990000-7991000"/>
          <s v="7991000-7992000"/>
          <s v="7992000-7993000"/>
          <s v="7993000-7994000"/>
          <s v="7994000-7995000"/>
          <s v="7995000-7996000"/>
          <s v="7996000-7997000"/>
          <s v="7997000-7998000"/>
          <s v="7998000-7999000"/>
          <s v="7999000-8000000"/>
          <s v="8000000-8001000"/>
          <s v="8001000-8002000"/>
          <s v="8002000-8003000"/>
          <s v="8003000-8004000"/>
          <s v="8004000-8005000"/>
          <s v="8005000-8006000"/>
          <s v="8006000-8007000"/>
          <s v="8007000-8008000"/>
          <s v="8008000-8009000"/>
          <s v="8009000-8010000"/>
          <s v="8010000-8011000"/>
          <s v="8011000-8012000"/>
          <s v="8012000-8013000"/>
          <s v="8013000-8014000"/>
          <s v="8014000-8015000"/>
          <s v="8015000-8016000"/>
          <s v="8016000-8017000"/>
          <s v="8017000-8018000"/>
          <s v="8018000-8019000"/>
          <s v="8019000-8020000"/>
          <s v="8020000-8021000"/>
          <s v="8021000-8022000"/>
          <s v="8022000-8023000"/>
          <s v="8023000-8024000"/>
          <s v="8024000-8025000"/>
          <s v="8025000-8026000"/>
          <s v="8026000-8027000"/>
          <s v="8027000-8028000"/>
          <s v="8028000-8029000"/>
          <s v="8029000-8030000"/>
          <s v="8030000-8031000"/>
          <s v="8031000-8032000"/>
          <s v="8032000-8033000"/>
          <s v="8033000-8034000"/>
          <s v="8034000-8035000"/>
          <s v="8035000-8036000"/>
          <s v="8036000-8037000"/>
          <s v="8037000-8038000"/>
          <s v="8038000-8039000"/>
          <s v="8039000-8040000"/>
          <s v="8040000-8041000"/>
          <s v="8041000-8042000"/>
          <s v="8042000-8043000"/>
          <s v="8043000-8044000"/>
          <s v="8044000-8045000"/>
          <s v="8045000-8046000"/>
          <s v="8046000-8047000"/>
          <s v="8047000-8048000"/>
          <s v="8048000-8049000"/>
          <s v="8049000-8050000"/>
          <s v="8050000-8051000"/>
          <s v="8051000-8052000"/>
          <s v="8052000-8053000"/>
          <s v="8053000-8054000"/>
          <s v="8054000-8055000"/>
          <s v="8055000-8056000"/>
          <s v="8056000-8057000"/>
          <s v="8057000-8058000"/>
          <s v="8058000-8059000"/>
          <s v="8059000-8060000"/>
          <s v="8060000-8061000"/>
          <s v="8061000-8062000"/>
          <s v="8062000-8063000"/>
          <s v="8063000-8064000"/>
          <s v="8064000-8065000"/>
          <s v="8065000-8066000"/>
          <s v="8066000-8067000"/>
          <s v="8067000-8068000"/>
          <s v="8068000-8069000"/>
          <s v="8069000-8070000"/>
          <s v="8070000-8071000"/>
          <s v="8071000-8072000"/>
          <s v="8072000-8073000"/>
          <s v="8073000-8074000"/>
          <s v="8074000-8075000"/>
          <s v="8075000-8076000"/>
          <s v="8076000-8077000"/>
          <s v="8077000-8078000"/>
          <s v="8078000-8079000"/>
          <s v="8079000-8080000"/>
          <s v="8080000-8081000"/>
          <s v="8081000-8082000"/>
          <s v="8082000-8083000"/>
          <s v="8083000-8084000"/>
          <s v="8084000-8085000"/>
          <s v="8085000-8086000"/>
          <s v="8086000-8087000"/>
          <s v="8087000-8088000"/>
          <s v="8088000-8089000"/>
          <s v="8089000-8090000"/>
          <s v="8090000-8091000"/>
          <s v="8091000-8092000"/>
          <s v="8092000-8093000"/>
          <s v="8093000-8094000"/>
          <s v="8094000-8095000"/>
          <s v="8095000-8096000"/>
          <s v="8096000-8097000"/>
          <s v="8097000-8098000"/>
          <s v="8098000-8099000"/>
          <s v="8099000-8100000"/>
          <s v="8100000-8101000"/>
          <s v="8101000-8102000"/>
          <s v="8102000-8103000"/>
          <s v="8103000-8104000"/>
          <s v="8104000-8105000"/>
          <s v="8105000-8106000"/>
          <s v="8106000-8107000"/>
          <s v="8107000-8108000"/>
          <s v="8108000-8109000"/>
          <s v="8109000-8110000"/>
          <s v="8110000-8111000"/>
          <s v="8111000-8112000"/>
          <s v="8112000-8113000"/>
          <s v="8113000-8114000"/>
          <s v="8114000-8115000"/>
          <s v="8115000-8116000"/>
          <s v="8116000-8117000"/>
          <s v="8117000-8118000"/>
          <s v="8118000-8119000"/>
          <s v="8119000-8120000"/>
          <s v="8120000-8121000"/>
          <s v="8121000-8122000"/>
          <s v="8122000-8123000"/>
          <s v="8123000-8124000"/>
          <s v="8124000-8125000"/>
          <s v="8125000-8126000"/>
          <s v="8126000-8127000"/>
          <s v="8127000-8128000"/>
          <s v="8128000-8129000"/>
          <s v="8129000-8130000"/>
          <s v="8130000-8131000"/>
          <s v="8131000-8132000"/>
          <s v="8132000-8133000"/>
          <s v="8133000-8134000"/>
          <s v="8134000-8135000"/>
          <s v="8135000-8136000"/>
          <s v="8136000-8137000"/>
          <s v="8137000-8138000"/>
          <s v="8138000-8139000"/>
          <s v="8139000-8140000"/>
          <s v="8140000-8141000"/>
          <s v="8141000-8142000"/>
          <s v="8142000-8143000"/>
          <s v="8143000-8144000"/>
          <s v="8144000-8145000"/>
          <s v="8145000-8146000"/>
          <s v="8146000-8147000"/>
          <s v="8147000-8148000"/>
          <s v="8148000-8149000"/>
          <s v="8149000-8150000"/>
          <s v="8150000-8151000"/>
          <s v="8151000-8152000"/>
          <s v="8152000-8153000"/>
          <s v="8153000-8154000"/>
          <s v="8154000-8155000"/>
          <s v="8155000-8156000"/>
          <s v="8156000-8157000"/>
          <s v="8157000-8158000"/>
          <s v="8158000-8159000"/>
          <s v="8159000-8160000"/>
          <s v="8160000-8161000"/>
          <s v="8161000-8162000"/>
          <s v="8162000-8163000"/>
          <s v="8163000-8164000"/>
          <s v="8164000-8165000"/>
          <s v="8165000-8166000"/>
          <s v="8166000-8167000"/>
          <s v="8167000-8168000"/>
          <s v="8168000-8169000"/>
          <s v="8169000-8170000"/>
          <s v="8170000-8171000"/>
          <s v="8171000-8172000"/>
          <s v="8172000-8173000"/>
          <s v="8173000-8174000"/>
          <s v="8174000-8175000"/>
          <s v="8175000-8176000"/>
          <s v="8176000-8177000"/>
          <s v="8177000-8178000"/>
          <s v="8178000-8179000"/>
          <s v="8179000-8180000"/>
          <s v="8180000-8181000"/>
          <s v="8181000-8182000"/>
          <s v="8182000-8183000"/>
          <s v="8183000-8184000"/>
          <s v="8184000-8185000"/>
          <s v="8185000-8186000"/>
          <s v="8186000-8187000"/>
          <s v="8187000-8188000"/>
          <s v="8188000-8189000"/>
          <s v="8189000-8190000"/>
          <s v="8190000-8191000"/>
          <s v="8191000-8192000"/>
          <s v="8192000-8193000"/>
          <s v="8193000-8194000"/>
          <s v="8194000-8195000"/>
          <s v="8195000-8196000"/>
          <s v="8196000-8197000"/>
          <s v="8197000-8198000"/>
          <s v="8198000-8199000"/>
          <s v="8199000-8200000"/>
          <s v="8200000-8201000"/>
          <s v="8201000-8202000"/>
          <s v="8202000-8203000"/>
          <s v="8203000-8204000"/>
          <s v="8204000-8205000"/>
          <s v="8205000-8206000"/>
          <s v="8206000-8207000"/>
          <s v="8207000-8208000"/>
          <s v="8208000-8209000"/>
          <s v="8209000-8210000"/>
          <s v="8210000-8211000"/>
          <s v="8211000-8212000"/>
          <s v="8212000-8213000"/>
          <s v="8213000-8214000"/>
          <s v="8214000-8215000"/>
          <s v="8215000-8216000"/>
          <s v="8216000-8217000"/>
          <s v="8217000-8218000"/>
          <s v="8218000-8219000"/>
          <s v="8219000-8220000"/>
          <s v="8220000-8221000"/>
          <s v="8221000-8222000"/>
          <s v="8222000-8223000"/>
          <s v="8223000-8224000"/>
          <s v="8224000-8225000"/>
          <s v="8225000-8226000"/>
          <s v="8226000-8227000"/>
          <s v="8227000-8228000"/>
          <s v="8228000-8229000"/>
          <s v="8229000-8230000"/>
          <s v="8230000-8231000"/>
          <s v="8231000-8232000"/>
          <s v="8232000-8233000"/>
          <s v="8233000-8234000"/>
          <s v="8234000-8235000"/>
          <s v="8235000-8236000"/>
          <s v="8236000-8237000"/>
          <s v="8237000-8238000"/>
          <s v="8238000-8239000"/>
          <s v="8239000-8240000"/>
          <s v="8240000-8241000"/>
          <s v="8241000-8242000"/>
          <s v="8242000-8243000"/>
          <s v="8243000-8244000"/>
          <s v="8244000-8245000"/>
          <s v="8245000-8246000"/>
          <s v="8246000-8247000"/>
          <s v="8247000-8248000"/>
          <s v="8248000-8249000"/>
          <s v="8249000-8250000"/>
          <s v="8250000-8251000"/>
          <s v="8251000-8252000"/>
          <s v="8252000-8253000"/>
          <s v="8253000-8254000"/>
          <s v="8254000-8255000"/>
          <s v="8255000-8256000"/>
          <s v="8256000-8257000"/>
          <s v="8257000-8258000"/>
          <s v="8258000-8259000"/>
          <s v="8259000-8260000"/>
          <s v="8260000-8261000"/>
          <s v="8261000-8262000"/>
          <s v="8262000-8263000"/>
          <s v="8263000-8264000"/>
          <s v="8264000-8265000"/>
          <s v="8265000-8266000"/>
          <s v="8266000-8267000"/>
          <s v="8267000-8268000"/>
          <s v="8268000-8269000"/>
          <s v="8269000-8270000"/>
          <s v="8270000-8271000"/>
          <s v="8271000-8272000"/>
          <s v="8272000-8273000"/>
          <s v="8273000-8274000"/>
          <s v="8274000-8275000"/>
          <s v="8275000-8276000"/>
          <s v="8276000-8277000"/>
          <s v="8277000-8278000"/>
          <s v="8278000-8279000"/>
          <s v="8279000-8280000"/>
          <s v="8280000-8281000"/>
          <s v="8281000-8282000"/>
          <s v="8282000-8283000"/>
          <s v="8283000-8284000"/>
          <s v="8284000-8285000"/>
          <s v="8285000-8286000"/>
          <s v="8286000-8287000"/>
          <s v="8287000-8288000"/>
          <s v="8288000-8289000"/>
          <s v="8289000-8290000"/>
          <s v="8290000-8291000"/>
          <s v="8291000-8292000"/>
          <s v="8292000-8293000"/>
          <s v="8293000-8294000"/>
          <s v="8294000-8295000"/>
          <s v="8295000-8296000"/>
          <s v="8296000-8297000"/>
          <s v="8297000-8298000"/>
          <s v="8298000-8299000"/>
          <s v="8299000-8300000"/>
          <s v="8300000-8301000"/>
          <s v="8301000-8302000"/>
          <s v="8302000-8303000"/>
          <s v="8303000-8304000"/>
          <s v="8304000-8305000"/>
          <s v="8305000-8306000"/>
          <s v="8306000-8307000"/>
          <s v="8307000-8308000"/>
          <s v="8308000-8309000"/>
          <s v="8309000-8310000"/>
          <s v="8310000-8311000"/>
          <s v="8311000-8312000"/>
          <s v="8312000-8313000"/>
          <s v="8313000-8314000"/>
          <s v="8314000-8315000"/>
          <s v="8315000-8316000"/>
          <s v="8316000-8317000"/>
          <s v="8317000-8318000"/>
          <s v="8318000-8319000"/>
          <s v="8319000-8320000"/>
          <s v="8320000-8321000"/>
          <s v="8321000-8322000"/>
          <s v="8322000-8323000"/>
          <s v="8323000-8324000"/>
          <s v="8324000-8325000"/>
          <s v="8325000-8326000"/>
          <s v="8326000-8327000"/>
          <s v="8327000-8328000"/>
          <s v="8328000-8329000"/>
          <s v="8329000-8330000"/>
          <s v="8330000-8331000"/>
          <s v="8331000-8332000"/>
          <s v="8332000-8333000"/>
          <s v="8333000-8334000"/>
          <s v="8334000-8335000"/>
          <s v="8335000-8336000"/>
          <s v="8336000-8337000"/>
          <s v="8337000-8338000"/>
          <s v="8338000-8339000"/>
          <s v="8339000-8340000"/>
          <s v="8340000-8341000"/>
          <s v="8341000-8342000"/>
          <s v="8342000-8343000"/>
          <s v="8343000-8344000"/>
          <s v="8344000-8345000"/>
          <s v="8345000-8346000"/>
          <s v="8346000-8347000"/>
          <s v="8347000-8348000"/>
          <s v="8348000-8349000"/>
          <s v="8349000-8350000"/>
          <s v="8350000-8351000"/>
          <s v="8351000-8352000"/>
          <s v="8352000-8353000"/>
          <s v="8353000-8354000"/>
          <s v="8354000-8355000"/>
          <s v="8355000-8356000"/>
          <s v="8356000-8357000"/>
          <s v="8357000-8358000"/>
          <s v="8358000-8359000"/>
          <s v="8359000-8360000"/>
          <s v="8360000-8361000"/>
          <s v="8361000-8362000"/>
          <s v="8362000-8363000"/>
          <s v="8363000-8364000"/>
          <s v="8364000-8365000"/>
          <s v="8365000-8366000"/>
          <s v="8366000-8367000"/>
          <s v="8367000-8368000"/>
          <s v="8368000-8369000"/>
          <s v="8369000-8370000"/>
          <s v="8370000-8371000"/>
          <s v="8371000-8372000"/>
          <s v="8372000-8373000"/>
          <s v="8373000-8374000"/>
          <s v="8374000-8375000"/>
          <s v="8375000-8376000"/>
          <s v="8376000-8377000"/>
          <s v="8377000-8378000"/>
          <s v="8378000-8379000"/>
          <s v="8379000-8380000"/>
          <s v="8380000-8381000"/>
          <s v="8381000-8382000"/>
          <s v="8382000-8383000"/>
          <s v="8383000-8384000"/>
          <s v="8384000-8385000"/>
          <s v="8385000-8386000"/>
          <s v="8386000-8387000"/>
          <s v="8387000-8388000"/>
          <s v="8388000-8389000"/>
          <s v="8389000-8390000"/>
          <s v="8390000-8391000"/>
          <s v="8391000-8392000"/>
          <s v="8392000-8393000"/>
          <s v="8393000-8394000"/>
          <s v="8394000-8395000"/>
          <s v="8395000-8396000"/>
          <s v="8396000-8397000"/>
          <s v="8397000-8398000"/>
          <s v="8398000-8399000"/>
          <s v="8399000-8400000"/>
          <s v="8400000-8401000"/>
          <s v="8401000-8402000"/>
          <s v="8402000-8403000"/>
          <s v="8403000-8404000"/>
          <s v="8404000-8405000"/>
          <s v="8405000-8406000"/>
          <s v="8406000-8407000"/>
          <s v="8407000-8408000"/>
          <s v="8408000-8409000"/>
          <s v="8409000-8410000"/>
          <s v="8410000-8411000"/>
          <s v="8411000-8412000"/>
          <s v="8412000-8413000"/>
          <s v="8413000-8414000"/>
          <s v="8414000-8415000"/>
          <s v="8415000-8416000"/>
          <s v="8416000-8417000"/>
          <s v="8417000-8418000"/>
          <s v="8418000-8419000"/>
          <s v="8419000-8420000"/>
          <s v="8420000-8421000"/>
          <s v="8421000-8422000"/>
          <s v="8422000-8423000"/>
          <s v="8423000-8424000"/>
          <s v="8424000-8425000"/>
          <s v="8425000-8426000"/>
          <s v="8426000-8427000"/>
          <s v="8427000-8428000"/>
          <s v="8428000-8429000"/>
          <s v="8429000-8430000"/>
          <s v="8430000-8431000"/>
          <s v="8431000-8432000"/>
          <s v="8432000-8433000"/>
          <s v="8433000-8434000"/>
          <s v="8434000-8435000"/>
          <s v="8435000-8436000"/>
          <s v="8436000-8437000"/>
          <s v="8437000-8438000"/>
          <s v="8438000-8439000"/>
          <s v="8439000-8440000"/>
          <s v="8440000-8441000"/>
          <s v="8441000-8442000"/>
          <s v="8442000-8443000"/>
          <s v="8443000-8444000"/>
          <s v="8444000-8445000"/>
          <s v="8445000-8446000"/>
          <s v="8446000-8447000"/>
          <s v="8447000-8448000"/>
          <s v="8448000-8449000"/>
          <s v="8449000-8450000"/>
          <s v="8450000-8451000"/>
          <s v="8451000-8452000"/>
          <s v="8452000-8453000"/>
          <s v="8453000-8454000"/>
          <s v="8454000-8455000"/>
          <s v="8455000-8456000"/>
          <s v="8456000-8457000"/>
          <s v="8457000-8458000"/>
          <s v="8458000-8459000"/>
          <s v="8459000-8460000"/>
          <s v="8460000-8461000"/>
          <s v="8461000-8462000"/>
          <s v="8462000-8463000"/>
          <s v="8463000-8464000"/>
          <s v="8464000-8465000"/>
          <s v="8465000-8466000"/>
          <s v="8466000-8467000"/>
          <s v="8467000-8468000"/>
          <s v="8468000-8469000"/>
          <s v="8469000-8470000"/>
          <s v="8470000-8471000"/>
          <s v="8471000-8472000"/>
          <s v="8472000-8473000"/>
          <s v="8473000-8474000"/>
          <s v="8474000-8475000"/>
          <s v="8475000-8476000"/>
          <s v="8476000-8477000"/>
          <s v="8477000-8478000"/>
          <s v="8478000-8479000"/>
          <s v="8479000-8480000"/>
          <s v="8480000-8481000"/>
          <s v="8481000-8482000"/>
          <s v="8482000-8483000"/>
          <s v="8483000-8484000"/>
          <s v="8484000-8485000"/>
          <s v="8485000-8486000"/>
          <s v="8486000-8487000"/>
          <s v="8487000-8488000"/>
          <s v="8488000-8489000"/>
          <s v="8489000-8490000"/>
          <s v="8490000-8491000"/>
          <s v="8491000-8492000"/>
          <s v="8492000-8493000"/>
          <s v="8493000-8494000"/>
          <s v="8494000-8495000"/>
          <s v="8495000-8496000"/>
          <s v="8496000-8497000"/>
          <s v="8497000-8498000"/>
          <s v="8498000-8499000"/>
          <s v="8499000-8500000"/>
          <s v="8500000-8501000"/>
          <s v="8501000-8502000"/>
          <s v="8502000-8503000"/>
          <s v="8503000-8504000"/>
          <s v="8504000-8505000"/>
          <s v="8505000-8506000"/>
          <s v="8506000-8507000"/>
          <s v="8507000-8508000"/>
          <s v="8508000-8509000"/>
          <s v="8509000-8510000"/>
          <s v="8510000-8511000"/>
          <s v="8511000-8512000"/>
          <s v="8512000-8513000"/>
          <s v="8513000-8514000"/>
          <s v="8514000-8515000"/>
          <s v="8515000-8516000"/>
          <s v="8516000-8517000"/>
          <s v="8517000-8518000"/>
          <s v="8518000-8519000"/>
          <s v="8519000-8520000"/>
          <s v="8520000-8521000"/>
          <s v="8521000-8522000"/>
          <s v="8522000-8523000"/>
          <s v="8523000-8524000"/>
          <s v="8524000-8525000"/>
          <s v="8525000-8526000"/>
          <s v="8526000-8527000"/>
          <s v="8527000-8528000"/>
          <s v="8528000-8529000"/>
          <s v="8529000-8530000"/>
          <s v="8530000-8531000"/>
          <s v="8531000-8532000"/>
          <s v="8532000-8533000"/>
          <s v="8533000-8534000"/>
          <s v="8534000-8535000"/>
          <s v="8535000-8536000"/>
          <s v="8536000-8537000"/>
          <s v="8537000-8538000"/>
          <s v="8538000-8539000"/>
          <s v="8539000-8540000"/>
          <s v="8540000-8541000"/>
          <s v="8541000-8542000"/>
          <s v="8542000-8543000"/>
          <s v="8543000-8544000"/>
          <s v="8544000-8545000"/>
          <s v="8545000-8546000"/>
          <s v="8546000-8547000"/>
          <s v="8547000-8548000"/>
          <s v="8548000-8549000"/>
          <s v="8549000-8550000"/>
          <s v="8550000-8551000"/>
          <s v="8551000-8552000"/>
          <s v="8552000-8553000"/>
          <s v="8553000-8554000"/>
          <s v="8554000-8555000"/>
          <s v="8555000-8556000"/>
          <s v="8556000-8557000"/>
          <s v="8557000-8558000"/>
          <s v="8558000-8559000"/>
          <s v="8559000-8560000"/>
          <s v="8560000-8561000"/>
          <s v="8561000-8562000"/>
          <s v="8562000-8563000"/>
          <s v="8563000-8564000"/>
          <s v="8564000-8565000"/>
          <s v="8565000-8566000"/>
          <s v="8566000-8567000"/>
          <s v="8567000-8568000"/>
          <s v="8568000-8569000"/>
          <s v="8569000-8570000"/>
          <s v="8570000-8571000"/>
          <s v="8571000-8572000"/>
          <s v="8572000-8573000"/>
          <s v="8573000-8574000"/>
          <s v="8574000-8575000"/>
          <s v="8575000-8576000"/>
          <s v="8576000-8577000"/>
          <s v="8577000-8578000"/>
          <s v="8578000-8579000"/>
          <s v="8579000-8580000"/>
          <s v="8580000-8581000"/>
          <s v="8581000-8582000"/>
          <s v="8582000-8583000"/>
          <s v="8583000-8584000"/>
          <s v="8584000-8585000"/>
          <s v="8585000-8586000"/>
          <s v="8586000-8587000"/>
          <s v="8587000-8588000"/>
          <s v="8588000-8589000"/>
          <s v="8589000-8590000"/>
          <s v="8590000-8591000"/>
          <s v="8591000-8592000"/>
          <s v="8592000-8593000"/>
          <s v="8593000-8594000"/>
          <s v="8594000-8595000"/>
          <s v="8595000-8596000"/>
          <s v="8596000-8597000"/>
          <s v="8597000-8598000"/>
          <s v="8598000-8599000"/>
          <s v="8599000-8600000"/>
          <s v="8600000-8601000"/>
          <s v="8601000-8602000"/>
          <s v="8602000-8603000"/>
          <s v="8603000-8604000"/>
          <s v="8604000-8605000"/>
          <s v="8605000-8606000"/>
          <s v="8606000-8607000"/>
          <s v="8607000-8608000"/>
          <s v="8608000-8609000"/>
          <s v="8609000-8610000"/>
          <s v="8610000-8611000"/>
          <s v="8611000-8612000"/>
          <s v="8612000-8613000"/>
          <s v="8613000-8614000"/>
          <s v="8614000-8615000"/>
          <s v="8615000-8616000"/>
          <s v="8616000-8617000"/>
          <s v="8617000-8618000"/>
          <s v="8618000-8619000"/>
          <s v="8619000-8620000"/>
          <s v="8620000-8621000"/>
          <s v="8621000-8622000"/>
          <s v="8622000-8623000"/>
          <s v="8623000-8624000"/>
          <s v="8624000-8625000"/>
          <s v="8625000-8626000"/>
          <s v="8626000-8627000"/>
          <s v="8627000-8628000"/>
          <s v="8628000-8629000"/>
          <s v="8629000-8630000"/>
          <s v="8630000-8631000"/>
          <s v="8631000-8632000"/>
          <s v="8632000-8633000"/>
          <s v="8633000-8634000"/>
          <s v="8634000-8635000"/>
          <s v="8635000-8636000"/>
          <s v="8636000-8637000"/>
          <s v="8637000-8638000"/>
          <s v="8638000-8639000"/>
          <s v="8639000-8640000"/>
          <s v="8640000-8641000"/>
          <s v="8641000-8642000"/>
          <s v="8642000-8643000"/>
          <s v="8643000-8644000"/>
          <s v="8644000-8645000"/>
          <s v="8645000-8646000"/>
          <s v="8646000-8647000"/>
          <s v="8647000-8648000"/>
          <s v="8648000-8649000"/>
          <s v="8649000-8650000"/>
          <s v="8650000-8651000"/>
          <s v="8651000-8652000"/>
          <s v="8652000-8653000"/>
          <s v="8653000-8654000"/>
          <s v="8654000-8655000"/>
          <s v="8655000-8656000"/>
          <s v="8656000-8657000"/>
          <s v="8657000-8658000"/>
          <s v="8658000-8659000"/>
          <s v="8659000-8660000"/>
          <s v="8660000-8661000"/>
          <s v="8661000-8662000"/>
          <s v="8662000-8663000"/>
          <s v="8663000-8664000"/>
          <s v="8664000-8665000"/>
          <s v="8665000-8666000"/>
          <s v="8666000-8667000"/>
          <s v="8667000-8668000"/>
          <s v="8668000-8669000"/>
          <s v="8669000-8670000"/>
          <s v="8670000-8671000"/>
          <s v="8671000-8672000"/>
          <s v="8672000-8673000"/>
          <s v="8673000-8674000"/>
          <s v="8674000-8675000"/>
          <s v="8675000-8676000"/>
          <s v="8676000-8677000"/>
          <s v="8677000-8678000"/>
          <s v="8678000-8679000"/>
          <s v="8679000-8680000"/>
          <s v="8680000-8681000"/>
          <s v="8681000-8682000"/>
          <s v="8682000-8683000"/>
          <s v="8683000-8684000"/>
          <s v="8684000-8685000"/>
          <s v="8685000-8686000"/>
          <s v="8686000-8687000"/>
          <s v="8687000-8688000"/>
          <s v="8688000-8689000"/>
          <s v="8689000-8690000"/>
          <s v="8690000-8691000"/>
          <s v="8691000-8692000"/>
          <s v="8692000-8693000"/>
          <s v="8693000-8694000"/>
          <s v="8694000-8695000"/>
          <s v="8695000-8696000"/>
          <s v="8696000-8697000"/>
          <s v="8697000-8698000"/>
          <s v="8698000-8699000"/>
          <s v="8699000-8700000"/>
          <s v="8700000-8701000"/>
          <s v="8701000-8702000"/>
          <s v="8702000-8703000"/>
          <s v="8703000-8704000"/>
          <s v="8704000-8705000"/>
          <s v="8705000-8706000"/>
          <s v="8706000-8707000"/>
          <s v="8707000-8708000"/>
          <s v="8708000-8709000"/>
          <s v="8709000-8710000"/>
          <s v="8710000-8711000"/>
          <s v="8711000-8712000"/>
          <s v="8712000-8713000"/>
          <s v="8713000-8714000"/>
          <s v="8714000-8715000"/>
          <s v="8715000-8716000"/>
          <s v="8716000-8717000"/>
          <s v="8717000-8718000"/>
          <s v="8718000-8719000"/>
          <s v="8719000-8720000"/>
          <s v="8720000-8721000"/>
          <s v="8721000-8722000"/>
          <s v="8722000-8723000"/>
          <s v="8723000-8724000"/>
          <s v="8724000-8725000"/>
          <s v="8725000-8726000"/>
          <s v="8726000-8727000"/>
          <s v="8727000-8728000"/>
          <s v="8728000-8729000"/>
          <s v="8729000-8730000"/>
          <s v="8730000-8731000"/>
          <s v="8731000-8732000"/>
          <s v="8732000-8733000"/>
          <s v="8733000-8734000"/>
          <s v="8734000-8735000"/>
          <s v="8735000-8736000"/>
          <s v="8736000-8737000"/>
          <s v="8737000-8738000"/>
          <s v="8738000-8739000"/>
          <s v="8739000-8740000"/>
          <s v="8740000-8741000"/>
          <s v="8741000-8742000"/>
          <s v="8742000-8743000"/>
          <s v="8743000-8744000"/>
          <s v="8744000-8745000"/>
          <s v="8745000-8746000"/>
          <s v="8746000-8747000"/>
          <s v="8747000-8748000"/>
          <s v="8748000-8749000"/>
          <s v="8749000-8750000"/>
          <s v="8750000-8751000"/>
          <s v="8751000-8752000"/>
          <s v="8752000-8753000"/>
          <s v="8753000-8754000"/>
          <s v="8754000-8755000"/>
          <s v="8755000-8756000"/>
          <s v="8756000-8757000"/>
          <s v="8757000-8758000"/>
          <s v="8758000-8759000"/>
          <s v="8759000-8760000"/>
          <s v="8760000-8761000"/>
          <s v="8761000-8762000"/>
          <s v="8762000-8763000"/>
          <s v="8763000-8764000"/>
          <s v="8764000-8765000"/>
          <s v="8765000-8766000"/>
          <s v="8766000-8767000"/>
          <s v="8767000-8768000"/>
          <s v="8768000-8769000"/>
          <s v="8769000-8770000"/>
          <s v="8770000-8771000"/>
          <s v="8771000-8772000"/>
          <s v="8772000-8773000"/>
          <s v="8773000-8774000"/>
          <s v="8774000-8775000"/>
          <s v="8775000-8776000"/>
          <s v="8776000-8777000"/>
          <s v="8777000-8778000"/>
          <s v="8778000-8779000"/>
          <s v="8779000-8780000"/>
          <s v="8780000-8781000"/>
          <s v="8781000-8782000"/>
          <s v="8782000-8783000"/>
          <s v="8783000-8784000"/>
          <s v="8784000-8785000"/>
          <s v="8785000-8786000"/>
          <s v="8786000-8787000"/>
          <s v="8787000-8788000"/>
          <s v="8788000-8789000"/>
          <s v="8789000-8790000"/>
          <s v="8790000-8791000"/>
          <s v="8791000-8792000"/>
          <s v="8792000-8793000"/>
          <s v="8793000-8794000"/>
          <s v="8794000-8795000"/>
          <s v="8795000-8796000"/>
          <s v="8796000-8797000"/>
          <s v="8797000-8798000"/>
          <s v="8798000-8799000"/>
          <s v="8799000-8800000"/>
          <s v="8800000-8801000"/>
          <s v="8801000-8802000"/>
          <s v="8802000-8803000"/>
          <s v="8803000-8804000"/>
          <s v="8804000-8805000"/>
          <s v="8805000-8806000"/>
          <s v="8806000-8807000"/>
          <s v="8807000-8808000"/>
          <s v="8808000-8809000"/>
          <s v="8809000-8810000"/>
          <s v="8810000-8811000"/>
          <s v="8811000-8812000"/>
          <s v="8812000-8813000"/>
          <s v="8813000-8814000"/>
          <s v="8814000-8815000"/>
          <s v="8815000-8816000"/>
          <s v="8816000-8817000"/>
          <s v="8817000-8818000"/>
          <s v="8818000-8819000"/>
          <s v="8819000-8820000"/>
          <s v="8820000-8821000"/>
          <s v="8821000-8822000"/>
          <s v="8822000-8823000"/>
          <s v="8823000-8824000"/>
          <s v="8824000-8825000"/>
          <s v="8825000-8826000"/>
          <s v="8826000-8827000"/>
          <s v="8827000-8828000"/>
          <s v="8828000-8829000"/>
          <s v="8829000-8830000"/>
          <s v="8830000-8831000"/>
          <s v="8831000-8832000"/>
          <s v="8832000-8833000"/>
          <s v="8833000-8834000"/>
          <s v="8834000-8835000"/>
          <s v="8835000-8836000"/>
          <s v="8836000-8837000"/>
          <s v="8837000-8838000"/>
          <s v="8838000-8839000"/>
          <s v="8839000-8840000"/>
          <s v="8840000-8841000"/>
          <s v="8841000-8842000"/>
          <s v="8842000-8843000"/>
          <s v="8843000-8844000"/>
          <s v="8844000-8845000"/>
          <s v="8845000-8846000"/>
          <s v="8846000-8847000"/>
          <s v="8847000-8848000"/>
          <s v="8848000-8849000"/>
          <s v="8849000-8850000"/>
          <s v="8850000-8851000"/>
          <s v="8851000-8852000"/>
          <s v="8852000-8853000"/>
          <s v="8853000-8854000"/>
          <s v="8854000-8855000"/>
          <s v="8855000-8856000"/>
          <s v="8856000-8857000"/>
          <s v="8857000-8858000"/>
          <s v="8858000-8859000"/>
          <s v="8859000-8860000"/>
          <s v="8860000-8861000"/>
          <s v="8861000-8862000"/>
          <s v="8862000-8863000"/>
          <s v="8863000-8864000"/>
          <s v="8864000-8865000"/>
          <s v="8865000-8866000"/>
          <s v="8866000-8867000"/>
          <s v="8867000-8868000"/>
          <s v="8868000-8869000"/>
          <s v="8869000-8870000"/>
          <s v="8870000-8871000"/>
          <s v="8871000-8872000"/>
          <s v="8872000-8873000"/>
          <s v="8873000-8874000"/>
          <s v="8874000-8875000"/>
          <s v="8875000-8876000"/>
          <s v="8876000-8877000"/>
          <s v="8877000-8878000"/>
          <s v="8878000-8879000"/>
          <s v="8879000-8880000"/>
          <s v="8880000-8881000"/>
          <s v="8881000-8882000"/>
          <s v="8882000-8883000"/>
          <s v="8883000-8884000"/>
          <s v="8884000-8885000"/>
          <s v="8885000-8886000"/>
          <s v="8886000-8887000"/>
          <s v="8887000-8888000"/>
          <s v="8888000-8889000"/>
          <s v="8889000-8890000"/>
          <s v="8890000-8891000"/>
          <s v="8891000-8892000"/>
          <s v="8892000-8893000"/>
          <s v="8893000-8894000"/>
          <s v="8894000-8895000"/>
          <s v="8895000-8896000"/>
          <s v="8896000-8897000"/>
          <s v="8897000-8898000"/>
          <s v="8898000-8899000"/>
          <s v="8899000-8900000"/>
          <s v="8900000-8901000"/>
          <s v="8901000-8902000"/>
          <s v="8902000-8903000"/>
          <s v="8903000-8904000"/>
          <s v="8904000-8905000"/>
          <s v="8905000-8906000"/>
          <s v="8906000-8907000"/>
          <s v="8907000-8908000"/>
          <s v="8908000-8909000"/>
          <s v="8909000-8910000"/>
          <s v="8910000-8911000"/>
          <s v="8911000-8912000"/>
          <s v="8912000-8913000"/>
          <s v="8913000-8914000"/>
          <s v="8914000-8915000"/>
          <s v="8915000-8916000"/>
          <s v="8916000-8917000"/>
          <s v="8917000-8918000"/>
          <s v="8918000-8919000"/>
          <s v="8919000-8920000"/>
          <s v="8920000-8921000"/>
          <s v="8921000-8922000"/>
          <s v="8922000-8923000"/>
          <s v="8923000-8924000"/>
          <s v="8924000-8925000"/>
          <s v="8925000-8926000"/>
          <s v="8926000-8927000"/>
          <s v="8927000-8928000"/>
          <s v="8928000-8929000"/>
          <s v="8929000-8930000"/>
          <s v="8930000-8931000"/>
          <s v="8931000-8932000"/>
          <s v="8932000-8933000"/>
          <s v="8933000-8934000"/>
          <s v="8934000-8935000"/>
          <s v="8935000-8936000"/>
          <s v="8936000-8937000"/>
          <s v="8937000-8938000"/>
          <s v="8938000-8939000"/>
          <s v="8939000-8940000"/>
          <s v="8940000-8941000"/>
          <s v="8941000-8942000"/>
          <s v="8942000-8943000"/>
          <s v="8943000-8944000"/>
          <s v="8944000-8945000"/>
          <s v="8945000-8946000"/>
          <s v="8946000-8947000"/>
          <s v="8947000-8948000"/>
          <s v="8948000-8949000"/>
          <s v="8949000-8950000"/>
          <s v="8950000-8951000"/>
          <s v="8951000-8952000"/>
          <s v="8952000-8953000"/>
          <s v="8953000-8954000"/>
          <s v="8954000-8955000"/>
          <s v="8955000-8956000"/>
          <s v="8956000-8957000"/>
          <s v="8957000-8958000"/>
          <s v="8958000-8959000"/>
          <s v="8959000-8960000"/>
          <s v="8960000-8961000"/>
          <s v="8961000-8962000"/>
          <s v="8962000-8963000"/>
          <s v="8963000-8964000"/>
          <s v="8964000-8965000"/>
          <s v="8965000-8966000"/>
          <s v="8966000-8967000"/>
          <s v="8967000-8968000"/>
          <s v="8968000-8969000"/>
          <s v="8969000-8970000"/>
          <s v="8970000-8971000"/>
          <s v="8971000-8972000"/>
          <s v="8972000-8973000"/>
          <s v="8973000-8974000"/>
          <s v="8974000-8975000"/>
          <s v="8975000-8976000"/>
          <s v="8976000-8977000"/>
          <s v="8977000-8978000"/>
          <s v="8978000-8979000"/>
          <s v="8979000-8980000"/>
          <s v="8980000-8981000"/>
          <s v="8981000-8982000"/>
          <s v="8982000-8983000"/>
          <s v="8983000-8984000"/>
          <s v="8984000-8985000"/>
          <s v="8985000-8986000"/>
          <s v="8986000-8987000"/>
          <s v="8987000-8988000"/>
          <s v="8988000-8989000"/>
          <s v="8989000-8990000"/>
          <s v="8990000-8991000"/>
          <s v="8991000-8992000"/>
          <s v="8992000-8993000"/>
          <s v="8993000-8994000"/>
          <s v="8994000-8995000"/>
          <s v="8995000-8996000"/>
          <s v="8996000-8997000"/>
          <s v="8997000-8998000"/>
          <s v="8998000-8999000"/>
          <s v="8999000-9000000"/>
          <s v="9000000-9001000"/>
          <s v="9001000-9002000"/>
          <s v="9002000-9003000"/>
          <s v="9003000-9004000"/>
          <s v="9004000-9005000"/>
          <s v="9005000-9006000"/>
          <s v="9006000-9007000"/>
          <s v="9007000-9008000"/>
          <s v="9008000-9009000"/>
          <s v="9009000-9010000"/>
          <s v="9010000-9011000"/>
          <s v="9011000-9012000"/>
          <s v="9012000-9013000"/>
          <s v="9013000-9014000"/>
          <s v="9014000-9015000"/>
          <s v="9015000-9016000"/>
          <s v="9016000-9017000"/>
          <s v="9017000-9018000"/>
          <s v="9018000-9019000"/>
          <s v="9019000-9020000"/>
          <s v="9020000-9021000"/>
          <s v="9021000-9022000"/>
          <s v="9022000-9023000"/>
          <s v="9023000-9024000"/>
          <s v="9024000-9025000"/>
          <s v="9025000-9026000"/>
          <s v="9026000-9027000"/>
          <s v="9027000-9028000"/>
          <s v="9028000-9029000"/>
          <s v="9029000-9030000"/>
          <s v="9030000-9031000"/>
          <s v="9031000-9032000"/>
          <s v="9032000-9033000"/>
          <s v="9033000-9034000"/>
          <s v="9034000-9035000"/>
          <s v="9035000-9036000"/>
          <s v="9036000-9037000"/>
          <s v="9037000-9038000"/>
          <s v="9038000-9039000"/>
          <s v="9039000-9040000"/>
          <s v="9040000-9041000"/>
          <s v="9041000-9042000"/>
          <s v="9042000-9043000"/>
          <s v="9043000-9044000"/>
          <s v="9044000-9045000"/>
          <s v="9045000-9046000"/>
          <s v="9046000-9047000"/>
          <s v="9047000-9048000"/>
          <s v="9048000-9049000"/>
          <s v="9049000-9050000"/>
          <s v="9050000-9051000"/>
          <s v="9051000-9052000"/>
          <s v="9052000-9053000"/>
          <s v="9053000-9054000"/>
          <s v="9054000-9055000"/>
          <s v="9055000-9056000"/>
          <s v="9056000-9057000"/>
          <s v="9057000-9058000"/>
          <s v="9058000-9059000"/>
          <s v="9059000-9060000"/>
          <s v="9060000-9061000"/>
          <s v="9061000-9062000"/>
          <s v="9062000-9063000"/>
          <s v="9063000-9064000"/>
          <s v="9064000-9065000"/>
          <s v="9065000-9066000"/>
          <s v="9066000-9067000"/>
          <s v="9067000-9068000"/>
          <s v="9068000-9069000"/>
          <s v="9069000-9070000"/>
          <s v="9070000-9071000"/>
          <s v="9071000-9072000"/>
          <s v="9072000-9073000"/>
          <s v="9073000-9074000"/>
          <s v="9074000-9075000"/>
          <s v="9075000-9076000"/>
          <s v="9076000-9077000"/>
          <s v="9077000-9078000"/>
          <s v="9078000-9079000"/>
          <s v="9079000-9080000"/>
          <s v="9080000-9081000"/>
          <s v="9081000-9082000"/>
          <s v="9082000-9083000"/>
          <s v="9083000-9084000"/>
          <s v="9084000-9085000"/>
          <s v="9085000-9086000"/>
          <s v="9086000-9087000"/>
          <s v="9087000-9088000"/>
          <s v="9088000-9089000"/>
          <s v="9089000-9090000"/>
          <s v="9090000-9091000"/>
          <s v="9091000-9092000"/>
          <s v="9092000-9093000"/>
          <s v="9093000-9094000"/>
          <s v="9094000-9095000"/>
          <s v="9095000-9096000"/>
          <s v="9096000-9097000"/>
          <s v="9097000-9098000"/>
          <s v="9098000-9099000"/>
          <s v="9099000-9100000"/>
          <s v="9100000-9101000"/>
          <s v="9101000-9102000"/>
          <s v="9102000-9103000"/>
          <s v="9103000-9104000"/>
          <s v="9104000-9105000"/>
          <s v="9105000-9106000"/>
          <s v="9106000-9107000"/>
          <s v="9107000-9108000"/>
          <s v="9108000-9109000"/>
          <s v="9109000-9110000"/>
          <s v="9110000-9111000"/>
          <s v="9111000-9112000"/>
          <s v="9112000-9113000"/>
          <s v="9113000-9114000"/>
          <s v="9114000-9115000"/>
          <s v="9115000-9116000"/>
          <s v="9116000-9117000"/>
          <s v="9117000-9118000"/>
          <s v="9118000-9119000"/>
          <s v="9119000-9120000"/>
          <s v="9120000-9121000"/>
          <s v="9121000-9122000"/>
          <s v="9122000-9123000"/>
          <s v="9123000-9124000"/>
          <s v="9124000-9125000"/>
          <s v="9125000-9126000"/>
          <s v="9126000-9127000"/>
          <s v="9127000-9128000"/>
          <s v="9128000-9129000"/>
          <s v="9129000-9130000"/>
          <s v="9130000-9131000"/>
          <s v="9131000-9132000"/>
          <s v="9132000-9133000"/>
          <s v="9133000-9134000"/>
          <s v="9134000-9135000"/>
          <s v="9135000-9136000"/>
          <s v="9136000-9137000"/>
          <s v="9137000-9138000"/>
          <s v="9138000-9139000"/>
          <s v="9139000-9140000"/>
          <s v="9140000-9141000"/>
          <s v="9141000-9142000"/>
          <s v="9142000-9143000"/>
          <s v="9143000-9144000"/>
          <s v="9144000-9145000"/>
          <s v="9145000-9146000"/>
          <s v="9146000-9147000"/>
          <s v="9147000-9148000"/>
          <s v="9148000-9149000"/>
          <s v="9149000-9150000"/>
          <s v="9150000-9151000"/>
          <s v="9151000-9152000"/>
          <s v="9152000-9153000"/>
          <s v="9153000-9154000"/>
          <s v="9154000-9155000"/>
          <s v="9155000-9156000"/>
          <s v="9156000-9157000"/>
          <s v="9157000-9158000"/>
          <s v="9158000-9159000"/>
          <s v="9159000-9160000"/>
          <s v="9160000-9161000"/>
          <s v="9161000-9162000"/>
          <s v="9162000-9163000"/>
          <s v="9163000-9164000"/>
          <s v="9164000-9165000"/>
          <s v="9165000-9166000"/>
          <s v="9166000-9167000"/>
          <s v="9167000-9168000"/>
          <s v="9168000-9169000"/>
          <s v="9169000-9170000"/>
          <s v="9170000-9171000"/>
          <s v="9171000-9172000"/>
          <s v="9172000-9173000"/>
          <s v="9173000-9174000"/>
          <s v="9174000-9175000"/>
          <s v="9175000-9176000"/>
          <s v="9176000-9177000"/>
          <s v="9177000-9178000"/>
          <s v="9178000-9179000"/>
          <s v="9179000-9180000"/>
          <s v="9180000-9181000"/>
          <s v="9181000-9182000"/>
          <s v="9182000-9183000"/>
          <s v="9183000-9184000"/>
          <s v="9184000-9185000"/>
          <s v="9185000-9186000"/>
          <s v="9186000-9187000"/>
          <s v="9187000-9188000"/>
          <s v="9188000-9189000"/>
          <s v="9189000-9190000"/>
          <s v="9190000-9191000"/>
          <s v="9191000-9192000"/>
          <s v="9192000-9193000"/>
          <s v="9193000-9194000"/>
          <s v="9194000-9195000"/>
          <s v="9195000-9196000"/>
          <s v="9196000-9197000"/>
          <s v="9197000-9198000"/>
          <s v="9198000-9199000"/>
          <s v="9199000-9200000"/>
          <s v="9200000-9201000"/>
          <s v="9201000-9202000"/>
          <s v="9202000-9203000"/>
          <s v="9203000-9204000"/>
          <s v="9204000-9205000"/>
          <s v="9205000-9206000"/>
          <s v="9206000-9207000"/>
          <s v="9207000-9208000"/>
          <s v="9208000-9209000"/>
          <s v="9209000-9210000"/>
          <s v="9210000-9211000"/>
          <s v="9211000-9212000"/>
          <s v="9212000-9213000"/>
          <s v="9213000-9214000"/>
          <s v="9214000-9215000"/>
          <s v="9215000-9216000"/>
          <s v="9216000-9217000"/>
          <s v="9217000-9218000"/>
          <s v="9218000-9219000"/>
          <s v="9219000-9220000"/>
          <s v="9220000-9221000"/>
          <s v="9221000-9222000"/>
          <s v="9222000-9223000"/>
          <s v="9223000-9224000"/>
          <s v="9224000-9225000"/>
          <s v="9225000-9226000"/>
          <s v="9226000-9227000"/>
          <s v="9227000-9228000"/>
          <s v="9228000-9229000"/>
          <s v="9229000-9230000"/>
          <s v="9230000-9231000"/>
          <s v="9231000-9232000"/>
          <s v="9232000-9233000"/>
          <s v="9233000-9234000"/>
          <s v="9234000-9235000"/>
          <s v="9235000-9236000"/>
          <s v="9236000-9237000"/>
          <s v="9237000-9238000"/>
          <s v="9238000-9239000"/>
          <s v="9239000-9240000"/>
          <s v="9240000-9241000"/>
          <s v="9241000-9242000"/>
          <s v="9242000-9243000"/>
          <s v="9243000-9244000"/>
          <s v="9244000-9245000"/>
          <s v="9245000-9246000"/>
          <s v="9246000-9247000"/>
          <s v="9247000-9248000"/>
          <s v="9248000-9249000"/>
          <s v="9249000-9250000"/>
          <s v="9250000-9251000"/>
          <s v="9251000-9252000"/>
          <s v="9252000-9253000"/>
          <s v="9253000-9254000"/>
          <s v="9254000-9255000"/>
          <s v="9255000-9256000"/>
          <s v="9256000-9257000"/>
          <s v="9257000-9258000"/>
          <s v="9258000-9259000"/>
          <s v="9259000-9260000"/>
          <s v="9260000-9261000"/>
          <s v="9261000-9262000"/>
          <s v="9262000-9263000"/>
          <s v="9263000-9264000"/>
          <s v="9264000-9265000"/>
          <s v="9265000-9266000"/>
          <s v="9266000-9267000"/>
          <s v="9267000-9268000"/>
          <s v="9268000-9269000"/>
          <s v="9269000-9270000"/>
          <s v="9270000-9271000"/>
          <s v="9271000-9272000"/>
          <s v="9272000-9273000"/>
          <s v="9273000-9274000"/>
          <s v="9274000-9275000"/>
          <s v="9275000-9276000"/>
          <s v="9276000-9277000"/>
          <s v="9277000-9278000"/>
          <s v="9278000-9279000"/>
          <s v="9279000-9280000"/>
          <s v="9280000-9281000"/>
          <s v="9281000-9282000"/>
          <s v="9282000-9283000"/>
          <s v="9283000-9284000"/>
          <s v="9284000-9285000"/>
          <s v="9285000-9286000"/>
          <s v="9286000-9287000"/>
          <s v="9287000-9288000"/>
          <s v="9288000-9289000"/>
          <s v="9289000-9290000"/>
          <s v="9290000-9291000"/>
          <s v="9291000-9292000"/>
          <s v="9292000-9293000"/>
          <s v="9293000-9294000"/>
          <s v="9294000-9295000"/>
          <s v="9295000-9296000"/>
          <s v="9296000-9297000"/>
          <s v="9297000-9298000"/>
          <s v="9298000-9299000"/>
          <s v="9299000-9300000"/>
          <s v="9300000-9301000"/>
          <s v="9301000-9302000"/>
          <s v="9302000-9303000"/>
          <s v="9303000-9304000"/>
          <s v="9304000-9305000"/>
          <s v="9305000-9306000"/>
          <s v="9306000-9307000"/>
          <s v="9307000-9308000"/>
          <s v="9308000-9309000"/>
          <s v="9309000-9310000"/>
          <s v="9310000-9311000"/>
          <s v="9311000-9312000"/>
          <s v="9312000-9313000"/>
          <s v="9313000-9314000"/>
          <s v="9314000-9315000"/>
          <s v="9315000-9316000"/>
          <s v="9316000-9317000"/>
          <s v="9317000-9318000"/>
          <s v="9318000-9319000"/>
          <s v="9319000-9320000"/>
          <s v="9320000-9321000"/>
          <s v="9321000-9322000"/>
          <s v="9322000-9323000"/>
          <s v="9323000-9324000"/>
          <s v="9324000-9325000"/>
          <s v="9325000-9326000"/>
          <s v="9326000-9327000"/>
          <s v="9327000-9328000"/>
          <s v="9328000-9329000"/>
          <s v="9329000-9330000"/>
          <s v="9330000-9331000"/>
          <s v="9331000-9332000"/>
          <s v="9332000-9333000"/>
          <s v="9333000-9334000"/>
          <s v="9334000-9335000"/>
          <s v="9335000-9336000"/>
          <s v="9336000-9337000"/>
          <s v="9337000-9338000"/>
          <s v="9338000-9339000"/>
          <s v="9339000-9340000"/>
          <s v="9340000-9341000"/>
          <s v="9341000-9342000"/>
          <s v="9342000-9343000"/>
          <s v="9343000-9344000"/>
          <s v="9344000-9345000"/>
          <s v="9345000-9346000"/>
          <s v="9346000-9347000"/>
          <s v="9347000-9348000"/>
          <s v="9348000-9349000"/>
          <s v="9349000-9350000"/>
          <s v="9350000-9351000"/>
          <s v="9351000-9352000"/>
          <s v="9352000-9353000"/>
          <s v="9353000-9354000"/>
          <s v="9354000-9355000"/>
          <s v="9355000-9356000"/>
          <s v="9356000-9357000"/>
          <s v="9357000-9358000"/>
          <s v="9358000-9359000"/>
          <s v="9359000-9360000"/>
          <s v="9360000-9361000"/>
          <s v="9361000-9362000"/>
          <s v="9362000-9363000"/>
          <s v="9363000-9364000"/>
          <s v="9364000-9365000"/>
          <s v="9365000-9366000"/>
          <s v="9366000-9367000"/>
          <s v="9367000-9368000"/>
          <s v="9368000-9369000"/>
          <s v="9369000-9370000"/>
          <s v="9370000-9371000"/>
          <s v="9371000-9372000"/>
          <s v="9372000-9373000"/>
          <s v="9373000-9374000"/>
          <s v="9374000-9375000"/>
          <s v="9375000-9376000"/>
          <s v="9376000-9377000"/>
          <s v="9377000-9378000"/>
          <s v="9378000-9379000"/>
          <s v="9379000-9380000"/>
          <s v="9380000-9381000"/>
          <s v="9381000-9382000"/>
          <s v="9382000-9383000"/>
          <s v="9383000-9384000"/>
          <s v="9384000-9385000"/>
          <s v="9385000-9386000"/>
          <s v="9386000-9387000"/>
          <s v="9387000-9388000"/>
          <s v="9388000-9389000"/>
          <s v="9389000-9390000"/>
          <s v="9390000-9391000"/>
          <s v="9391000-9392000"/>
          <s v="9392000-9393000"/>
          <s v="9393000-9394000"/>
          <s v="9394000-9395000"/>
          <s v="9395000-9396000"/>
          <s v="9396000-9397000"/>
          <s v="9397000-9398000"/>
          <s v="9398000-9399000"/>
          <s v="9399000-9400000"/>
          <s v="9400000-9401000"/>
          <s v="9401000-9402000"/>
          <s v="9402000-9403000"/>
          <s v="9403000-9404000"/>
          <s v="9404000-9405000"/>
          <s v="9405000-9406000"/>
          <s v="9406000-9407000"/>
          <s v="9407000-9408000"/>
          <s v="9408000-9409000"/>
          <s v="9409000-9410000"/>
          <s v="9410000-9411000"/>
          <s v="9411000-9412000"/>
          <s v="9412000-9413000"/>
          <s v="9413000-9414000"/>
          <s v="9414000-9415000"/>
          <s v="9415000-9416000"/>
          <s v="9416000-9417000"/>
          <s v="9417000-9418000"/>
          <s v="9418000-9419000"/>
          <s v="9419000-9420000"/>
          <s v="9420000-9421000"/>
          <s v="9421000-9422000"/>
          <s v="9422000-9423000"/>
          <s v="9423000-9424000"/>
          <s v="9424000-9425000"/>
          <s v="9425000-9426000"/>
          <s v="9426000-9427000"/>
          <s v="9427000-9428000"/>
          <s v="9428000-9429000"/>
          <s v="9429000-9430000"/>
          <s v="9430000-9431000"/>
          <s v="9431000-9432000"/>
          <s v="9432000-9433000"/>
          <s v="9433000-9434000"/>
          <s v="9434000-9435000"/>
          <s v="9435000-9436000"/>
          <s v="9436000-9437000"/>
          <s v="9437000-9438000"/>
          <s v="9438000-9439000"/>
          <s v="9439000-9440000"/>
          <s v="9440000-9441000"/>
          <s v="9441000-9442000"/>
          <s v="9442000-9443000"/>
          <s v="9443000-9444000"/>
          <s v="9444000-9445000"/>
          <s v="9445000-9446000"/>
          <s v="9446000-9447000"/>
          <s v="9447000-9448000"/>
          <s v="9448000-9449000"/>
          <s v="9449000-9450000"/>
          <s v="9450000-9451000"/>
          <s v="9451000-9452000"/>
          <s v="9452000-9453000"/>
          <s v="9453000-9454000"/>
          <s v="9454000-9455000"/>
          <s v="9455000-9456000"/>
          <s v="9456000-9457000"/>
          <s v="9457000-9458000"/>
          <s v="9458000-9459000"/>
          <s v="9459000-9460000"/>
          <s v="9460000-9461000"/>
          <s v="9461000-9462000"/>
          <s v="9462000-9463000"/>
          <s v="9463000-9464000"/>
          <s v="9464000-9465000"/>
          <s v="9465000-9466000"/>
          <s v="9466000-9467000"/>
          <s v="9467000-9468000"/>
          <s v="9468000-9469000"/>
          <s v="9469000-9470000"/>
          <s v="9470000-9471000"/>
          <s v="9471000-9472000"/>
          <s v="9472000-9473000"/>
          <s v="9473000-9474000"/>
          <s v="9474000-9475000"/>
          <s v="9475000-9476000"/>
          <s v="9476000-9477000"/>
          <s v="9477000-9478000"/>
          <s v="9478000-9479000"/>
          <s v="9479000-9480000"/>
          <s v="9480000-9481000"/>
          <s v="9481000-9482000"/>
          <s v="9482000-9483000"/>
          <s v="9483000-9484000"/>
          <s v="9484000-9485000"/>
          <s v="9485000-9486000"/>
          <s v="9486000-9487000"/>
          <s v="9487000-9488000"/>
          <s v="9488000-9489000"/>
          <s v="9489000-9490000"/>
          <s v="9490000-9491000"/>
          <s v="9491000-9492000"/>
          <s v="9492000-9493000"/>
          <s v="9493000-9494000"/>
          <s v="9494000-9495000"/>
          <s v="9495000-9496000"/>
          <s v="9496000-9497000"/>
          <s v="9497000-9498000"/>
          <s v="9498000-9499000"/>
          <s v="9499000-9500000"/>
          <s v="9500000-9501000"/>
          <s v="9501000-9502000"/>
          <s v="9502000-9503000"/>
          <s v="9503000-9504000"/>
          <s v="9504000-9505000"/>
          <s v="9505000-9506000"/>
          <s v="9506000-9507000"/>
          <s v="9507000-9508000"/>
          <s v="9508000-9509000"/>
          <s v="9509000-9510000"/>
          <s v="9510000-9511000"/>
          <s v="9511000-9512000"/>
          <s v="9512000-9513000"/>
          <s v="9513000-9514000"/>
          <s v="9514000-9515000"/>
          <s v="9515000-9516000"/>
          <s v="9516000-9517000"/>
          <s v="9517000-9518000"/>
          <s v="9518000-9519000"/>
          <s v="9519000-9520000"/>
          <s v="9520000-9521000"/>
          <s v="9521000-9522000"/>
          <s v="9522000-9523000"/>
          <s v="9523000-9524000"/>
          <s v="9524000-9525000"/>
          <s v="9525000-9526000"/>
          <s v="9526000-9527000"/>
          <s v="9527000-9528000"/>
          <s v="9528000-9529000"/>
          <s v="9529000-9530000"/>
          <s v="9530000-9531000"/>
          <s v="9531000-9532000"/>
          <s v="9532000-9533000"/>
          <s v="9533000-9534000"/>
          <s v="9534000-9535000"/>
          <s v="9535000-9536000"/>
          <s v="9536000-9537000"/>
          <s v="9537000-9538000"/>
          <s v="9538000-9539000"/>
          <s v="9539000-9540000"/>
          <s v="9540000-9541000"/>
          <s v="9541000-9542000"/>
          <s v="9542000-9543000"/>
          <s v="9543000-9544000"/>
          <s v="9544000-9545000"/>
          <s v="9545000-9546000"/>
          <s v="9546000-9547000"/>
          <s v="9547000-9548000"/>
          <s v="9548000-9549000"/>
          <s v="9549000-9550000"/>
          <s v="9550000-9551000"/>
          <s v="9551000-9552000"/>
          <s v="9552000-9553000"/>
          <s v="9553000-9554000"/>
          <s v="9554000-9555000"/>
          <s v="9555000-9556000"/>
          <s v="9556000-9557000"/>
          <s v="9557000-9558000"/>
          <s v="9558000-9559000"/>
          <s v="9559000-9560000"/>
          <s v="9560000-9561000"/>
          <s v="9561000-9562000"/>
          <s v="9562000-9563000"/>
          <s v="9563000-9564000"/>
          <s v="9564000-9565000"/>
          <s v="9565000-9566000"/>
          <s v="9566000-9567000"/>
          <s v="9567000-9568000"/>
          <s v="9568000-9569000"/>
          <s v="9569000-9570000"/>
          <s v="9570000-9571000"/>
          <s v="9571000-9572000"/>
          <s v="9572000-9573000"/>
          <s v="9573000-9574000"/>
          <s v="9574000-9575000"/>
          <s v="9575000-9576000"/>
          <s v="9576000-9577000"/>
          <s v="9577000-9578000"/>
          <s v="9578000-9579000"/>
          <s v="9579000-9580000"/>
          <s v="9580000-9581000"/>
          <s v="9581000-9582000"/>
          <s v="9582000-9583000"/>
          <s v="9583000-9584000"/>
          <s v="9584000-9585000"/>
          <s v="9585000-9586000"/>
          <s v="9586000-9587000"/>
          <s v="9587000-9588000"/>
          <s v="9588000-9589000"/>
          <s v="9589000-9590000"/>
          <s v="9590000-9591000"/>
          <s v="9591000-9592000"/>
          <s v="9592000-9593000"/>
          <s v="9593000-9594000"/>
          <s v="9594000-9595000"/>
          <s v="9595000-9596000"/>
          <s v="9596000-9597000"/>
          <s v="9597000-9598000"/>
          <s v="9598000-9599000"/>
          <s v="9599000-9600000"/>
          <s v="9600000-9601000"/>
          <s v="9601000-9602000"/>
          <s v="9602000-9603000"/>
          <s v="9603000-9604000"/>
          <s v="9604000-9605000"/>
          <s v="9605000-9606000"/>
          <s v="9606000-9607000"/>
          <s v="9607000-9608000"/>
          <s v="9608000-9609000"/>
          <s v="9609000-9610000"/>
          <s v="9610000-9611000"/>
          <s v="9611000-9612000"/>
          <s v="9612000-9613000"/>
          <s v="9613000-9614000"/>
          <s v="9614000-9615000"/>
          <s v="9615000-9616000"/>
          <s v="9616000-9617000"/>
          <s v="9617000-9618000"/>
          <s v="9618000-9619000"/>
          <s v="9619000-9620000"/>
          <s v="9620000-9621000"/>
          <s v="9621000-9622000"/>
          <s v="9622000-9623000"/>
          <s v="9623000-9624000"/>
          <s v="9624000-9625000"/>
          <s v="9625000-9626000"/>
          <s v="9626000-9627000"/>
          <s v="9627000-9628000"/>
          <s v="9628000-9629000"/>
          <s v="9629000-9630000"/>
          <s v="9630000-9631000"/>
          <s v="9631000-9632000"/>
          <s v="9632000-9633000"/>
          <s v="9633000-9634000"/>
          <s v="9634000-9635000"/>
          <s v="9635000-9636000"/>
          <s v="9636000-9637000"/>
          <s v="9637000-9638000"/>
          <s v="9638000-9639000"/>
          <s v="9639000-9640000"/>
          <s v="9640000-9641000"/>
          <s v="9641000-9642000"/>
          <s v="9642000-9643000"/>
          <s v="9643000-9644000"/>
          <s v="9644000-9645000"/>
          <s v="9645000-9646000"/>
          <s v="9646000-9647000"/>
          <s v="9647000-9648000"/>
          <s v="9648000-9649000"/>
          <s v="9649000-9650000"/>
          <s v="9650000-9651000"/>
          <s v="9651000-9652000"/>
          <s v="9652000-9653000"/>
          <s v="9653000-9654000"/>
          <s v="9654000-9655000"/>
          <s v="9655000-9656000"/>
          <s v="9656000-9657000"/>
          <s v="9657000-9658000"/>
          <s v="9658000-9659000"/>
          <s v="9659000-9660000"/>
          <s v="9660000-9661000"/>
          <s v="9661000-9662000"/>
          <s v="9662000-9663000"/>
          <s v="9663000-9664000"/>
          <s v="9664000-9665000"/>
          <s v="9665000-9666000"/>
          <s v="9666000-9667000"/>
          <s v="9667000-9668000"/>
          <s v="9668000-9669000"/>
          <s v="9669000-9670000"/>
          <s v="9670000-9671000"/>
          <s v="9671000-9672000"/>
          <s v="9672000-9673000"/>
          <s v="9673000-9674000"/>
          <s v="9674000-9675000"/>
          <s v="9675000-9676000"/>
          <s v="9676000-9677000"/>
          <s v="9677000-9678000"/>
          <s v="9678000-9679000"/>
          <s v="9679000-9680000"/>
          <s v="9680000-9681000"/>
          <s v="9681000-9682000"/>
          <s v="9682000-9683000"/>
          <s v="9683000-9684000"/>
          <s v="9684000-9685000"/>
          <s v="9685000-9686000"/>
          <s v="9686000-9687000"/>
          <s v="9687000-9688000"/>
          <s v="9688000-9689000"/>
          <s v="9689000-9690000"/>
          <s v="9690000-9691000"/>
          <s v="9691000-9692000"/>
          <s v="9692000-9693000"/>
          <s v="9693000-9694000"/>
          <s v="9694000-9695000"/>
          <s v="9695000-9696000"/>
          <s v="9696000-9697000"/>
          <s v="9697000-9698000"/>
          <s v="9698000-9699000"/>
          <s v="9699000-9700000"/>
          <s v="9700000-9701000"/>
          <s v="9701000-9702000"/>
          <s v="9702000-9703000"/>
          <s v="9703000-9704000"/>
          <s v="9704000-9705000"/>
          <s v="9705000-9706000"/>
          <s v="9706000-9707000"/>
          <s v="9707000-9708000"/>
          <s v="9708000-9709000"/>
          <s v="9709000-9710000"/>
          <s v="9710000-9711000"/>
          <s v="9711000-9712000"/>
          <s v="9712000-9713000"/>
          <s v="9713000-9714000"/>
          <s v="9714000-9715000"/>
          <s v="9715000-9716000"/>
          <s v="9716000-9717000"/>
          <s v="9717000-9718000"/>
          <s v="9718000-9719000"/>
          <s v="9719000-9720000"/>
          <s v="9720000-9721000"/>
          <s v="9721000-9722000"/>
          <s v="9722000-9723000"/>
          <s v="9723000-9724000"/>
          <s v="9724000-9725000"/>
          <s v="9725000-9726000"/>
          <s v="9726000-9727000"/>
          <s v="9727000-9728000"/>
          <s v="9728000-9729000"/>
          <s v="9729000-9730000"/>
          <s v="9730000-9731000"/>
          <s v="9731000-9732000"/>
          <s v="9732000-9733000"/>
          <s v="9733000-9734000"/>
          <s v="9734000-9735000"/>
          <s v="9735000-9736000"/>
          <s v="9736000-9737000"/>
          <s v="9737000-9738000"/>
          <s v="9738000-9739000"/>
          <s v="9739000-9740000"/>
          <s v="9740000-9741000"/>
          <s v="9741000-9742000"/>
          <s v="9742000-9743000"/>
          <s v="9743000-9744000"/>
          <s v="9744000-9745000"/>
          <s v="9745000-9746000"/>
          <s v="9746000-9747000"/>
          <s v="9747000-9748000"/>
          <s v="9748000-9749000"/>
          <s v="9749000-9750000"/>
          <s v="9750000-9751000"/>
          <s v="9751000-9752000"/>
          <s v="9752000-9753000"/>
          <s v="9753000-9754000"/>
          <s v="9754000-9755000"/>
          <s v="9755000-9756000"/>
          <s v="9756000-9757000"/>
          <s v="9757000-9758000"/>
          <s v="9758000-9759000"/>
          <s v="9759000-9760000"/>
          <s v="9760000-9761000"/>
          <s v="9761000-9762000"/>
          <s v="9762000-9763000"/>
          <s v="9763000-9764000"/>
          <s v="9764000-9765000"/>
          <s v="9765000-9766000"/>
          <s v="9766000-9767000"/>
          <s v="9767000-9768000"/>
          <s v="9768000-9769000"/>
          <s v="9769000-9770000"/>
          <s v="9770000-9771000"/>
          <s v="9771000-9772000"/>
          <s v="9772000-9773000"/>
          <s v="9773000-9774000"/>
          <s v="9774000-9775000"/>
          <s v="9775000-9776000"/>
          <s v="9776000-9777000"/>
          <s v="9777000-9778000"/>
          <s v="9778000-9779000"/>
          <s v="9779000-9780000"/>
          <s v="9780000-9781000"/>
          <s v="9781000-9782000"/>
          <s v="9782000-9783000"/>
          <s v="9783000-9784000"/>
          <s v="9784000-9785000"/>
          <s v="9785000-9786000"/>
          <s v="9786000-9787000"/>
          <s v="9787000-9788000"/>
          <s v="9788000-9789000"/>
          <s v="9789000-9790000"/>
          <s v="9790000-9791000"/>
          <s v="9791000-9792000"/>
          <s v="9792000-9793000"/>
          <s v="9793000-9794000"/>
          <s v="9794000-9795000"/>
          <s v="9795000-9796000"/>
          <s v="9796000-9797000"/>
          <s v="9797000-9798000"/>
          <s v="9798000-9799000"/>
          <s v="9799000-9800000"/>
          <s v="9800000-9801000"/>
          <s v="9801000-9802000"/>
          <s v="9802000-9803000"/>
          <s v="9803000-9804000"/>
          <s v="9804000-9805000"/>
          <s v="9805000-9806000"/>
          <s v="9806000-9807000"/>
          <s v="9807000-9808000"/>
          <s v="9808000-9809000"/>
          <s v="9809000-9810000"/>
          <s v="9810000-9811000"/>
          <s v="9811000-9812000"/>
          <s v="9812000-9813000"/>
          <s v="9813000-9814000"/>
          <s v="9814000-9815000"/>
          <s v="9815000-9816000"/>
          <s v="9816000-9817000"/>
          <s v="9817000-9818000"/>
          <s v="9818000-9819000"/>
          <s v="9819000-9820000"/>
          <s v="9820000-9821000"/>
          <s v="9821000-9822000"/>
          <s v="9822000-9823000"/>
          <s v="9823000-9824000"/>
          <s v="9824000-9825000"/>
          <s v="9825000-9826000"/>
          <s v="9826000-9827000"/>
          <s v="9827000-9828000"/>
          <s v="9828000-9829000"/>
          <s v="9829000-9830000"/>
          <s v="9830000-9831000"/>
          <s v="9831000-9832000"/>
          <s v="9832000-9833000"/>
          <s v="9833000-9834000"/>
          <s v="9834000-9835000"/>
          <s v="9835000-9836000"/>
          <s v="9836000-9837000"/>
          <s v="9837000-9838000"/>
          <s v="9838000-9839000"/>
          <s v="9839000-9840000"/>
          <s v="9840000-9841000"/>
          <s v="9841000-9842000"/>
          <s v="9842000-9843000"/>
          <s v="9843000-9844000"/>
          <s v="9844000-9845000"/>
          <s v="9845000-9846000"/>
          <s v="9846000-9847000"/>
          <s v="9847000-9848000"/>
          <s v="9848000-9849000"/>
          <s v="9849000-9850000"/>
          <s v="9850000-9851000"/>
          <s v="9851000-9852000"/>
          <s v="9852000-9853000"/>
          <s v="9853000-9854000"/>
          <s v="9854000-9855000"/>
          <s v="9855000-9856000"/>
          <s v="9856000-9857000"/>
          <s v="9857000-9858000"/>
          <s v="9858000-9859000"/>
          <s v="9859000-9860000"/>
          <s v="9860000-9861000"/>
          <s v="9861000-9862000"/>
          <s v="9862000-9863000"/>
          <s v="9863000-9864000"/>
          <s v="9864000-9865000"/>
          <s v="9865000-9866000"/>
          <s v="9866000-9867000"/>
          <s v="9867000-9868000"/>
          <s v="9868000-9869000"/>
          <s v="9869000-9870000"/>
          <s v="9870000-9871000"/>
          <s v="9871000-9872000"/>
          <s v="9872000-9873000"/>
          <s v="9873000-9874000"/>
          <s v="9874000-9875000"/>
          <s v="9875000-9876000"/>
          <s v="9876000-9877000"/>
          <s v="9877000-9878000"/>
          <s v="9878000-9879000"/>
          <s v="9879000-9880000"/>
          <s v="9880000-9881000"/>
          <s v="9881000-9882000"/>
          <s v="9882000-9883000"/>
          <s v="9883000-9884000"/>
          <s v="9884000-9885000"/>
          <s v="9885000-9886000"/>
          <s v="9886000-9887000"/>
          <s v="9887000-9888000"/>
          <s v="9888000-9889000"/>
          <s v="9889000-9890000"/>
          <s v="9890000-9891000"/>
          <s v="9891000-9892000"/>
          <s v="9892000-9893000"/>
          <s v="9893000-9894000"/>
          <s v="9894000-9895000"/>
          <s v="9895000-9896000"/>
          <s v="9896000-9897000"/>
          <s v="9897000-9898000"/>
          <s v="9898000-9899000"/>
          <s v="9899000-9900000"/>
          <s v="9900000-9901000"/>
          <s v="9901000-9902000"/>
          <s v="9902000-9903000"/>
          <s v="9903000-9904000"/>
          <s v="9904000-9905000"/>
          <s v="9905000-9906000"/>
          <s v="9906000-9907000"/>
          <s v="9907000-9908000"/>
          <s v="9908000-9909000"/>
          <s v="9909000-9910000"/>
          <s v="9910000-9911000"/>
          <s v="9911000-9912000"/>
          <s v="9912000-9913000"/>
          <s v="9913000-9914000"/>
          <s v="9914000-9915000"/>
          <s v="9915000-9916000"/>
          <s v="9916000-9917000"/>
          <s v="9917000-9918000"/>
          <s v="9918000-9919000"/>
          <s v="9919000-9920000"/>
          <s v="9920000-9921000"/>
          <s v="9921000-9922000"/>
          <s v="9922000-9923000"/>
          <s v="9923000-9924000"/>
          <s v="9924000-9925000"/>
          <s v="9925000-9926000"/>
          <s v="9926000-9927000"/>
          <s v="9927000-9928000"/>
          <s v="9928000-9929000"/>
          <s v="9929000-9930000"/>
          <s v="9930000-9931000"/>
          <s v="9931000-9932000"/>
          <s v="9932000-9933000"/>
          <s v="9933000-9934000"/>
          <s v="9934000-9935000"/>
          <s v="9935000-9936000"/>
          <s v="9936000-9937000"/>
          <s v="9937000-9938000"/>
          <s v="9938000-9939000"/>
          <s v="9939000-9940000"/>
          <s v="9940000-9941000"/>
          <s v="9941000-9942000"/>
          <s v="9942000-9943000"/>
          <s v="9943000-9944000"/>
          <s v="9944000-9945000"/>
          <s v="9945000-9946000"/>
          <s v="9946000-9947000"/>
          <s v="9947000-9948000"/>
          <s v="9948000-9949000"/>
          <s v="9949000-9950000"/>
          <s v="9950000-9951000"/>
          <s v="9951000-9952000"/>
          <s v="9952000-9953000"/>
          <s v="9953000-9954000"/>
          <s v="9954000-9955000"/>
          <s v="9955000-9956000"/>
          <s v="9956000-9957000"/>
          <s v="9957000-9958000"/>
          <s v="9958000-9959000"/>
          <s v="9959000-9960000"/>
          <s v="9960000-9961000"/>
          <s v="9961000-9962000"/>
          <s v="9962000-9963000"/>
          <s v="9963000-9964000"/>
          <s v="9964000-9965000"/>
          <s v="9965000-9966000"/>
          <s v="9966000-9967000"/>
          <s v="9967000-9968000"/>
          <s v="9968000-9969000"/>
          <s v="9969000-9970000"/>
          <s v="9970000-9971000"/>
          <s v="9971000-9972000"/>
          <s v="9972000-9973000"/>
          <s v="9973000-9974000"/>
          <s v="9974000-9975000"/>
          <s v="9975000-9976000"/>
          <s v="9976000-9977000"/>
          <s v="9977000-9978000"/>
          <s v="9978000-9979000"/>
          <s v="9979000-9980000"/>
          <s v="9980000-9981000"/>
          <s v="9981000-9982000"/>
          <s v="9982000-9983000"/>
          <s v="9983000-9984000"/>
          <s v="9984000-9985000"/>
          <s v="9985000-9986000"/>
          <s v="9986000-9987000"/>
          <s v="9987000-9988000"/>
          <s v="9988000-9989000"/>
          <s v="9989000-9990000"/>
          <s v="9990000-9991000"/>
          <s v="9991000-9992000"/>
          <s v="9992000-9993000"/>
          <s v="9993000-9994000"/>
          <s v="9994000-9995000"/>
          <s v="9995000-9996000"/>
          <s v="9996000-9997000"/>
          <s v="9997000-9998000"/>
          <s v="9998000-9999000"/>
          <s v="9999000-10000000"/>
          <s v="&gt;10000000"/>
        </groupItems>
      </fieldGroup>
    </cacheField>
    <cacheField name="option " numFmtId="0">
      <sharedItems count="3">
        <s v="option 2"/>
        <s v="option 3"/>
        <s v="option 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x v="0"/>
    <x v="0"/>
  </r>
  <r>
    <x v="1"/>
    <x v="0"/>
  </r>
  <r>
    <x v="2"/>
    <x v="0"/>
  </r>
  <r>
    <x v="3"/>
    <x v="0"/>
  </r>
  <r>
    <x v="4"/>
    <x v="0"/>
  </r>
  <r>
    <x v="5"/>
    <x v="0"/>
  </r>
  <r>
    <x v="6"/>
    <x v="0"/>
  </r>
  <r>
    <x v="7"/>
    <x v="0"/>
  </r>
  <r>
    <x v="8"/>
    <x v="0"/>
  </r>
  <r>
    <x v="9"/>
    <x v="0"/>
  </r>
  <r>
    <x v="10"/>
    <x v="0"/>
  </r>
  <r>
    <x v="11"/>
    <x v="0"/>
  </r>
  <r>
    <x v="12"/>
    <x v="0"/>
  </r>
  <r>
    <x v="13"/>
    <x v="0"/>
  </r>
  <r>
    <x v="14"/>
    <x v="0"/>
  </r>
  <r>
    <x v="15"/>
    <x v="0"/>
  </r>
  <r>
    <x v="16"/>
    <x v="0"/>
  </r>
  <r>
    <x v="17"/>
    <x v="0"/>
  </r>
  <r>
    <x v="18"/>
    <x v="0"/>
  </r>
  <r>
    <x v="19"/>
    <x v="0"/>
  </r>
  <r>
    <x v="20"/>
    <x v="0"/>
  </r>
  <r>
    <x v="21"/>
    <x v="0"/>
  </r>
  <r>
    <x v="22"/>
    <x v="0"/>
  </r>
  <r>
    <x v="23"/>
    <x v="0"/>
  </r>
  <r>
    <x v="24"/>
    <x v="0"/>
  </r>
  <r>
    <x v="25"/>
    <x v="0"/>
  </r>
  <r>
    <x v="26"/>
    <x v="0"/>
  </r>
  <r>
    <x v="27"/>
    <x v="0"/>
  </r>
  <r>
    <x v="28"/>
    <x v="0"/>
  </r>
  <r>
    <x v="29"/>
    <x v="0"/>
  </r>
  <r>
    <x v="30"/>
    <x v="0"/>
  </r>
  <r>
    <x v="31"/>
    <x v="0"/>
  </r>
  <r>
    <x v="32"/>
    <x v="0"/>
  </r>
  <r>
    <x v="33"/>
    <x v="0"/>
  </r>
  <r>
    <x v="34"/>
    <x v="0"/>
  </r>
  <r>
    <x v="35"/>
    <x v="0"/>
  </r>
  <r>
    <x v="36"/>
    <x v="0"/>
  </r>
  <r>
    <x v="37"/>
    <x v="0"/>
  </r>
  <r>
    <x v="38"/>
    <x v="0"/>
  </r>
  <r>
    <x v="39"/>
    <x v="0"/>
  </r>
  <r>
    <x v="40"/>
    <x v="0"/>
  </r>
  <r>
    <x v="41"/>
    <x v="0"/>
  </r>
  <r>
    <x v="42"/>
    <x v="0"/>
  </r>
  <r>
    <x v="43"/>
    <x v="0"/>
  </r>
  <r>
    <x v="44"/>
    <x v="0"/>
  </r>
  <r>
    <x v="45"/>
    <x v="0"/>
  </r>
  <r>
    <x v="46"/>
    <x v="0"/>
  </r>
  <r>
    <x v="47"/>
    <x v="0"/>
  </r>
  <r>
    <x v="48"/>
    <x v="0"/>
  </r>
  <r>
    <x v="49"/>
    <x v="0"/>
  </r>
  <r>
    <x v="50"/>
    <x v="0"/>
  </r>
  <r>
    <x v="51"/>
    <x v="0"/>
  </r>
  <r>
    <x v="52"/>
    <x v="0"/>
  </r>
  <r>
    <x v="53"/>
    <x v="0"/>
  </r>
  <r>
    <x v="54"/>
    <x v="0"/>
  </r>
  <r>
    <x v="55"/>
    <x v="0"/>
  </r>
  <r>
    <x v="56"/>
    <x v="0"/>
  </r>
  <r>
    <x v="57"/>
    <x v="0"/>
  </r>
  <r>
    <x v="58"/>
    <x v="0"/>
  </r>
  <r>
    <x v="59"/>
    <x v="0"/>
  </r>
  <r>
    <x v="60"/>
    <x v="0"/>
  </r>
  <r>
    <x v="61"/>
    <x v="0"/>
  </r>
  <r>
    <x v="62"/>
    <x v="0"/>
  </r>
  <r>
    <x v="63"/>
    <x v="0"/>
  </r>
  <r>
    <x v="64"/>
    <x v="0"/>
  </r>
  <r>
    <x v="65"/>
    <x v="0"/>
  </r>
  <r>
    <x v="66"/>
    <x v="0"/>
  </r>
  <r>
    <x v="67"/>
    <x v="0"/>
  </r>
  <r>
    <x v="68"/>
    <x v="0"/>
  </r>
  <r>
    <x v="69"/>
    <x v="0"/>
  </r>
  <r>
    <x v="70"/>
    <x v="0"/>
  </r>
  <r>
    <x v="71"/>
    <x v="0"/>
  </r>
  <r>
    <x v="72"/>
    <x v="0"/>
  </r>
  <r>
    <x v="73"/>
    <x v="0"/>
  </r>
  <r>
    <x v="74"/>
    <x v="0"/>
  </r>
  <r>
    <x v="75"/>
    <x v="0"/>
  </r>
  <r>
    <x v="76"/>
    <x v="0"/>
  </r>
  <r>
    <x v="77"/>
    <x v="0"/>
  </r>
  <r>
    <x v="78"/>
    <x v="0"/>
  </r>
  <r>
    <x v="79"/>
    <x v="0"/>
  </r>
  <r>
    <x v="80"/>
    <x v="0"/>
  </r>
  <r>
    <x v="81"/>
    <x v="0"/>
  </r>
  <r>
    <x v="82"/>
    <x v="0"/>
  </r>
  <r>
    <x v="83"/>
    <x v="0"/>
  </r>
  <r>
    <x v="84"/>
    <x v="0"/>
  </r>
  <r>
    <x v="85"/>
    <x v="0"/>
  </r>
  <r>
    <x v="86"/>
    <x v="0"/>
  </r>
  <r>
    <x v="87"/>
    <x v="0"/>
  </r>
  <r>
    <x v="88"/>
    <x v="0"/>
  </r>
  <r>
    <x v="89"/>
    <x v="0"/>
  </r>
  <r>
    <x v="90"/>
    <x v="0"/>
  </r>
  <r>
    <x v="91"/>
    <x v="0"/>
  </r>
  <r>
    <x v="92"/>
    <x v="0"/>
  </r>
  <r>
    <x v="93"/>
    <x v="0"/>
  </r>
  <r>
    <x v="94"/>
    <x v="0"/>
  </r>
  <r>
    <x v="95"/>
    <x v="0"/>
  </r>
  <r>
    <x v="96"/>
    <x v="0"/>
  </r>
  <r>
    <x v="97"/>
    <x v="0"/>
  </r>
  <r>
    <x v="98"/>
    <x v="0"/>
  </r>
  <r>
    <x v="99"/>
    <x v="0"/>
  </r>
  <r>
    <x v="100"/>
    <x v="1"/>
  </r>
  <r>
    <x v="101"/>
    <x v="1"/>
  </r>
  <r>
    <x v="102"/>
    <x v="1"/>
  </r>
  <r>
    <x v="103"/>
    <x v="1"/>
  </r>
  <r>
    <x v="104"/>
    <x v="1"/>
  </r>
  <r>
    <x v="105"/>
    <x v="1"/>
  </r>
  <r>
    <x v="106"/>
    <x v="1"/>
  </r>
  <r>
    <x v="107"/>
    <x v="1"/>
  </r>
  <r>
    <x v="108"/>
    <x v="1"/>
  </r>
  <r>
    <x v="109"/>
    <x v="1"/>
  </r>
  <r>
    <x v="110"/>
    <x v="1"/>
  </r>
  <r>
    <x v="111"/>
    <x v="1"/>
  </r>
  <r>
    <x v="112"/>
    <x v="1"/>
  </r>
  <r>
    <x v="113"/>
    <x v="1"/>
  </r>
  <r>
    <x v="114"/>
    <x v="1"/>
  </r>
  <r>
    <x v="115"/>
    <x v="1"/>
  </r>
  <r>
    <x v="116"/>
    <x v="1"/>
  </r>
  <r>
    <x v="117"/>
    <x v="1"/>
  </r>
  <r>
    <x v="118"/>
    <x v="1"/>
  </r>
  <r>
    <x v="119"/>
    <x v="1"/>
  </r>
  <r>
    <x v="120"/>
    <x v="1"/>
  </r>
  <r>
    <x v="121"/>
    <x v="1"/>
  </r>
  <r>
    <x v="122"/>
    <x v="1"/>
  </r>
  <r>
    <x v="123"/>
    <x v="1"/>
  </r>
  <r>
    <x v="124"/>
    <x v="1"/>
  </r>
  <r>
    <x v="125"/>
    <x v="1"/>
  </r>
  <r>
    <x v="126"/>
    <x v="1"/>
  </r>
  <r>
    <x v="127"/>
    <x v="1"/>
  </r>
  <r>
    <x v="128"/>
    <x v="1"/>
  </r>
  <r>
    <x v="129"/>
    <x v="1"/>
  </r>
  <r>
    <x v="130"/>
    <x v="1"/>
  </r>
  <r>
    <x v="131"/>
    <x v="1"/>
  </r>
  <r>
    <x v="132"/>
    <x v="1"/>
  </r>
  <r>
    <x v="133"/>
    <x v="1"/>
  </r>
  <r>
    <x v="134"/>
    <x v="1"/>
  </r>
  <r>
    <x v="135"/>
    <x v="1"/>
  </r>
  <r>
    <x v="136"/>
    <x v="1"/>
  </r>
  <r>
    <x v="137"/>
    <x v="1"/>
  </r>
  <r>
    <x v="138"/>
    <x v="1"/>
  </r>
  <r>
    <x v="139"/>
    <x v="1"/>
  </r>
  <r>
    <x v="140"/>
    <x v="1"/>
  </r>
  <r>
    <x v="141"/>
    <x v="1"/>
  </r>
  <r>
    <x v="142"/>
    <x v="1"/>
  </r>
  <r>
    <x v="143"/>
    <x v="1"/>
  </r>
  <r>
    <x v="144"/>
    <x v="1"/>
  </r>
  <r>
    <x v="145"/>
    <x v="1"/>
  </r>
  <r>
    <x v="146"/>
    <x v="1"/>
  </r>
  <r>
    <x v="147"/>
    <x v="1"/>
  </r>
  <r>
    <x v="148"/>
    <x v="1"/>
  </r>
  <r>
    <x v="149"/>
    <x v="1"/>
  </r>
  <r>
    <x v="150"/>
    <x v="1"/>
  </r>
  <r>
    <x v="151"/>
    <x v="1"/>
  </r>
  <r>
    <x v="152"/>
    <x v="1"/>
  </r>
  <r>
    <x v="153"/>
    <x v="1"/>
  </r>
  <r>
    <x v="154"/>
    <x v="1"/>
  </r>
  <r>
    <x v="155"/>
    <x v="1"/>
  </r>
  <r>
    <x v="156"/>
    <x v="1"/>
  </r>
  <r>
    <x v="157"/>
    <x v="1"/>
  </r>
  <r>
    <x v="158"/>
    <x v="1"/>
  </r>
  <r>
    <x v="159"/>
    <x v="1"/>
  </r>
  <r>
    <x v="160"/>
    <x v="1"/>
  </r>
  <r>
    <x v="161"/>
    <x v="1"/>
  </r>
  <r>
    <x v="162"/>
    <x v="1"/>
  </r>
  <r>
    <x v="163"/>
    <x v="1"/>
  </r>
  <r>
    <x v="164"/>
    <x v="1"/>
  </r>
  <r>
    <x v="165"/>
    <x v="1"/>
  </r>
  <r>
    <x v="166"/>
    <x v="1"/>
  </r>
  <r>
    <x v="167"/>
    <x v="1"/>
  </r>
  <r>
    <x v="168"/>
    <x v="1"/>
  </r>
  <r>
    <x v="169"/>
    <x v="1"/>
  </r>
  <r>
    <x v="170"/>
    <x v="1"/>
  </r>
  <r>
    <x v="171"/>
    <x v="1"/>
  </r>
  <r>
    <x v="172"/>
    <x v="1"/>
  </r>
  <r>
    <x v="173"/>
    <x v="1"/>
  </r>
  <r>
    <x v="174"/>
    <x v="1"/>
  </r>
  <r>
    <x v="175"/>
    <x v="1"/>
  </r>
  <r>
    <x v="176"/>
    <x v="1"/>
  </r>
  <r>
    <x v="177"/>
    <x v="1"/>
  </r>
  <r>
    <x v="178"/>
    <x v="1"/>
  </r>
  <r>
    <x v="179"/>
    <x v="1"/>
  </r>
  <r>
    <x v="180"/>
    <x v="1"/>
  </r>
  <r>
    <x v="181"/>
    <x v="1"/>
  </r>
  <r>
    <x v="182"/>
    <x v="1"/>
  </r>
  <r>
    <x v="183"/>
    <x v="1"/>
  </r>
  <r>
    <x v="184"/>
    <x v="1"/>
  </r>
  <r>
    <x v="185"/>
    <x v="1"/>
  </r>
  <r>
    <x v="186"/>
    <x v="1"/>
  </r>
  <r>
    <x v="187"/>
    <x v="1"/>
  </r>
  <r>
    <x v="188"/>
    <x v="1"/>
  </r>
  <r>
    <x v="189"/>
    <x v="1"/>
  </r>
  <r>
    <x v="190"/>
    <x v="1"/>
  </r>
  <r>
    <x v="191"/>
    <x v="1"/>
  </r>
  <r>
    <x v="192"/>
    <x v="1"/>
  </r>
  <r>
    <x v="193"/>
    <x v="1"/>
  </r>
  <r>
    <x v="194"/>
    <x v="1"/>
  </r>
  <r>
    <x v="195"/>
    <x v="1"/>
  </r>
  <r>
    <x v="196"/>
    <x v="1"/>
  </r>
  <r>
    <x v="197"/>
    <x v="1"/>
  </r>
  <r>
    <x v="198"/>
    <x v="1"/>
  </r>
  <r>
    <x v="199"/>
    <x v="1"/>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r>
    <x v="20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83834D-9C77-5946-8133-26C8EF9FB516}" name="PivotTable2" cacheId="2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
  <location ref="A26:E50" firstHeaderRow="1" firstDataRow="2" firstDataCol="1"/>
  <pivotFields count="2">
    <pivotField axis="axisRow" dataField="1" numFmtId="164" showAll="0">
      <items count="100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t="default"/>
      </items>
    </pivotField>
    <pivotField axis="axisCol" showAll="0">
      <items count="4">
        <item x="2"/>
        <item x="0"/>
        <item x="1"/>
        <item t="default"/>
      </items>
    </pivotField>
  </pivotFields>
  <rowFields count="1">
    <field x="0"/>
  </rowFields>
  <rowItems count="23">
    <i>
      <x v="362"/>
    </i>
    <i>
      <x v="363"/>
    </i>
    <i>
      <x v="364"/>
    </i>
    <i>
      <x v="430"/>
    </i>
    <i>
      <x v="574"/>
    </i>
    <i>
      <x v="575"/>
    </i>
    <i>
      <x v="576"/>
    </i>
    <i>
      <x v="578"/>
    </i>
    <i>
      <x v="579"/>
    </i>
    <i>
      <x v="580"/>
    </i>
    <i>
      <x v="581"/>
    </i>
    <i>
      <x v="582"/>
    </i>
    <i>
      <x v="583"/>
    </i>
    <i>
      <x v="584"/>
    </i>
    <i>
      <x v="585"/>
    </i>
    <i>
      <x v="586"/>
    </i>
    <i>
      <x v="587"/>
    </i>
    <i>
      <x v="588"/>
    </i>
    <i>
      <x v="589"/>
    </i>
    <i>
      <x v="590"/>
    </i>
    <i>
      <x v="591"/>
    </i>
    <i>
      <x v="592"/>
    </i>
    <i t="grand">
      <x/>
    </i>
  </rowItems>
  <colFields count="1">
    <field x="1"/>
  </colFields>
  <colItems count="4">
    <i>
      <x/>
    </i>
    <i>
      <x v="1"/>
    </i>
    <i>
      <x v="2"/>
    </i>
    <i t="grand">
      <x/>
    </i>
  </colItems>
  <dataFields count="1">
    <dataField name="Count of Accumulated value" fld="0" subtotal="count" baseField="0" baseItem="0"/>
  </dataFields>
  <chartFormats count="1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2" format="3" series="1">
      <pivotArea type="data" outline="0" fieldPosition="0">
        <references count="2">
          <reference field="4294967294" count="1" selected="0">
            <x v="0"/>
          </reference>
          <reference field="1" count="1" selected="0">
            <x v="0"/>
          </reference>
        </references>
      </pivotArea>
    </chartFormat>
    <chartFormat chart="2" format="4" series="1">
      <pivotArea type="data" outline="0" fieldPosition="0">
        <references count="2">
          <reference field="4294967294" count="1" selected="0">
            <x v="0"/>
          </reference>
          <reference field="1" count="1" selected="0">
            <x v="1"/>
          </reference>
        </references>
      </pivotArea>
    </chartFormat>
    <chartFormat chart="2" format="5" series="1">
      <pivotArea type="data" outline="0" fieldPosition="0">
        <references count="2">
          <reference field="4294967294" count="1" selected="0">
            <x v="0"/>
          </reference>
          <reference field="1" count="1" selected="0">
            <x v="2"/>
          </reference>
        </references>
      </pivotArea>
    </chartFormat>
    <chartFormat chart="6" format="6" series="1">
      <pivotArea type="data" outline="0" fieldPosition="0">
        <references count="2">
          <reference field="4294967294" count="1" selected="0">
            <x v="0"/>
          </reference>
          <reference field="1" count="1" selected="0">
            <x v="0"/>
          </reference>
        </references>
      </pivotArea>
    </chartFormat>
    <chartFormat chart="6" format="7" series="1">
      <pivotArea type="data" outline="0" fieldPosition="0">
        <references count="2">
          <reference field="4294967294" count="1" selected="0">
            <x v="0"/>
          </reference>
          <reference field="1" count="1" selected="0">
            <x v="1"/>
          </reference>
        </references>
      </pivotArea>
    </chartFormat>
    <chartFormat chart="6" format="8" series="1">
      <pivotArea type="data" outline="0" fieldPosition="0">
        <references count="2">
          <reference field="4294967294" count="1" selected="0">
            <x v="0"/>
          </reference>
          <reference field="1" count="1" selected="0">
            <x v="2"/>
          </reference>
        </references>
      </pivotArea>
    </chartFormat>
    <chartFormat chart="7" format="3" series="1">
      <pivotArea type="data" outline="0" fieldPosition="0">
        <references count="2">
          <reference field="4294967294" count="1" selected="0">
            <x v="0"/>
          </reference>
          <reference field="1" count="1" selected="0">
            <x v="0"/>
          </reference>
        </references>
      </pivotArea>
    </chartFormat>
    <chartFormat chart="7" format="4" series="1">
      <pivotArea type="data" outline="0" fieldPosition="0">
        <references count="2">
          <reference field="4294967294" count="1" selected="0">
            <x v="0"/>
          </reference>
          <reference field="1" count="1" selected="0">
            <x v="1"/>
          </reference>
        </references>
      </pivotArea>
    </chartFormat>
    <chartFormat chart="7" format="5" series="1">
      <pivotArea type="data" outline="0" fieldPosition="0">
        <references count="2">
          <reference field="4294967294" count="1" selected="0">
            <x v="0"/>
          </reference>
          <reference field="1" count="1" selected="0">
            <x v="2"/>
          </reference>
        </references>
      </pivotArea>
    </chartFormat>
    <chartFormat chart="8" format="6" series="1">
      <pivotArea type="data" outline="0" fieldPosition="0">
        <references count="2">
          <reference field="4294967294" count="1" selected="0">
            <x v="0"/>
          </reference>
          <reference field="1" count="1" selected="0">
            <x v="0"/>
          </reference>
        </references>
      </pivotArea>
    </chartFormat>
    <chartFormat chart="8" format="7" series="1">
      <pivotArea type="data" outline="0" fieldPosition="0">
        <references count="2">
          <reference field="4294967294" count="1" selected="0">
            <x v="0"/>
          </reference>
          <reference field="1" count="1" selected="0">
            <x v="1"/>
          </reference>
        </references>
      </pivotArea>
    </chartFormat>
    <chartFormat chart="8" format="8" series="1">
      <pivotArea type="data" outline="0" fieldPosition="0">
        <references count="2">
          <reference field="4294967294" count="1" selected="0">
            <x v="0"/>
          </reference>
          <reference field="1" count="1" selected="0">
            <x v="2"/>
          </reference>
        </references>
      </pivotArea>
    </chartFormat>
    <chartFormat chart="12" format="6" series="1">
      <pivotArea type="data" outline="0" fieldPosition="0">
        <references count="2">
          <reference field="4294967294" count="1" selected="0">
            <x v="0"/>
          </reference>
          <reference field="1" count="1" selected="0">
            <x v="0"/>
          </reference>
        </references>
      </pivotArea>
    </chartFormat>
    <chartFormat chart="12" format="7" series="1">
      <pivotArea type="data" outline="0" fieldPosition="0">
        <references count="2">
          <reference field="4294967294" count="1" selected="0">
            <x v="0"/>
          </reference>
          <reference field="1" count="1" selected="0">
            <x v="1"/>
          </reference>
        </references>
      </pivotArea>
    </chartFormat>
    <chartFormat chart="12" format="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3AED35-61F1-114C-B024-70247752F1E9}" name="Table3" displayName="Table3" ref="E4:I124" totalsRowShown="0">
  <autoFilter ref="E4:I124" xr:uid="{CD3AED35-61F1-114C-B024-70247752F1E9}"/>
  <tableColumns count="5">
    <tableColumn id="1" xr3:uid="{91B253F5-2C2F-C246-8F3D-3F897BDC4081}" name="Time" dataDxfId="10"/>
    <tableColumn id="2" xr3:uid="{40EFFDD9-8548-704B-A31C-7A0DE4819AC8}" name="Year">
      <calculatedColumnFormula>YEAR(E5)</calculatedColumnFormula>
    </tableColumn>
    <tableColumn id="3" xr3:uid="{E611BAF8-928B-2049-88BD-87D36E38E0D5}" name="t" dataDxfId="9"/>
    <tableColumn id="4" xr3:uid="{C88A5175-3A25-7542-A759-3A0C1C7B4C21}" name="no of  exams passed" dataDxfId="8"/>
    <tableColumn id="5" xr3:uid="{833F0B25-611E-2C4A-B825-EBEE08D0B124}" name="Monthly salary" dataDxfId="7">
      <calculatedColumnFormula>IF((F5-F4)&lt;1,1,(1+$B$6))*I4*IF(H5-H4=1,1+$B$7,1)</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5D01986-4FBE-E64C-BF3E-8A3175EC8BA4}" name="Table4" displayName="Table4" ref="A14:B24" totalsRowShown="0" headerRowDxfId="6" dataDxfId="5">
  <autoFilter ref="A14:B24" xr:uid="{05D01986-4FBE-E64C-BF3E-8A3175EC8BA4}"/>
  <tableColumns count="2">
    <tableColumn id="1" xr3:uid="{F14E4CAF-70E8-274B-AA35-51D786E5ACDC}" name="Year" dataDxfId="4"/>
    <tableColumn id="2" xr3:uid="{E478C662-FE4D-1647-B32E-C996E8013B75}" name="Monthly salary" dataDxfId="3"/>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456CEC-A8D0-BC49-9E94-18979A242FF5}" name="Table1" displayName="Table1" ref="A11:C132" totalsRowShown="0">
  <autoFilter ref="A11:C132" xr:uid="{31456CEC-A8D0-BC49-9E94-18979A242FF5}"/>
  <tableColumns count="3">
    <tableColumn id="1" xr3:uid="{15C0DCC5-E519-3049-B9B9-546918FFC806}" name="t" dataDxfId="2"/>
    <tableColumn id="2" xr3:uid="{F67008AB-98C9-8E40-A1EC-74E53122814F}" name="s(t)" dataDxfId="1">
      <calculatedColumnFormula array="1">yieldplot(A12)</calculatedColumnFormula>
    </tableColumn>
    <tableColumn id="3" xr3:uid="{5F868BE0-41CC-DB45-B9E2-8546C20F806E}" name="f(t_n-1,n)" dataDxfId="0">
      <calculatedColumnFormula>(1+B12/12)^(A12*12)/(1+B11/12)^(A11*12)-1</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77" dT="2022-04-12T15:02:54.39" personId="{D8129C5D-4815-1047-974E-B883107D1BEA}" id="{EF5DCAE9-98A0-9E40-9C91-99E845B76EDE}">
    <text>My computer has crushed everytime when I tried to use data analysis in excel. I have used R-studio to generate a sample stats summary.</text>
  </threadedComment>
</ThreadedComments>
</file>

<file path=xl/threadedComments/threadedComment2.xml><?xml version="1.0" encoding="utf-8"?>
<ThreadedComments xmlns="http://schemas.microsoft.com/office/spreadsheetml/2018/threadedcomments" xmlns:x="http://schemas.openxmlformats.org/spreadsheetml/2006/main">
  <threadedComment ref="C4" dT="2022-04-12T12:34:21.99" personId="{D8129C5D-4815-1047-974E-B883107D1BEA}" id="{BBC19FE7-FE75-C84D-9FB6-29B6279804BB}">
    <text xml:space="preserve">used later in part g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8006C-F4B9-6845-8CF0-BA12AE641B10}">
  <sheetPr codeName="Sheet1"/>
  <dimension ref="A1:Q120"/>
  <sheetViews>
    <sheetView showGridLines="0" tabSelected="1" zoomScale="115" zoomScaleNormal="115" workbookViewId="0">
      <selection sqref="A1:C1"/>
    </sheetView>
  </sheetViews>
  <sheetFormatPr baseColWidth="10" defaultRowHeight="16" x14ac:dyDescent="0.2"/>
  <cols>
    <col min="4" max="4" width="13" customWidth="1"/>
    <col min="5" max="5" width="12.1640625" bestFit="1" customWidth="1"/>
  </cols>
  <sheetData>
    <row r="1" spans="1:5" ht="26" x14ac:dyDescent="0.3">
      <c r="A1" s="60" t="s">
        <v>61</v>
      </c>
      <c r="B1" s="60"/>
      <c r="C1" s="60"/>
    </row>
    <row r="2" spans="1:5" ht="26" x14ac:dyDescent="0.3">
      <c r="A2" s="60" t="s">
        <v>62</v>
      </c>
      <c r="B2" s="60"/>
      <c r="C2" s="60"/>
    </row>
    <row r="3" spans="1:5" ht="26" x14ac:dyDescent="0.3">
      <c r="A3" s="46" t="s">
        <v>90</v>
      </c>
      <c r="B3" s="15"/>
      <c r="C3" s="15"/>
    </row>
    <row r="6" spans="1:5" x14ac:dyDescent="0.2">
      <c r="A6" s="17" t="s">
        <v>63</v>
      </c>
      <c r="C6" s="6"/>
      <c r="D6" s="6" t="s">
        <v>15</v>
      </c>
      <c r="E6" s="6" t="s">
        <v>16</v>
      </c>
    </row>
    <row r="7" spans="1:5" x14ac:dyDescent="0.2">
      <c r="C7" s="6" t="s">
        <v>64</v>
      </c>
      <c r="D7" s="5">
        <f>'Task a'!B7</f>
        <v>0.16308</v>
      </c>
      <c r="E7" s="5">
        <f>'Task a'!B10</f>
        <v>0.61721721360000026</v>
      </c>
    </row>
    <row r="9" spans="1:5" x14ac:dyDescent="0.2">
      <c r="A9" s="17" t="s">
        <v>68</v>
      </c>
      <c r="C9" s="6" t="str" cm="1">
        <f t="array" ref="C9:D19">'Task b'!A14:B24</f>
        <v>Year</v>
      </c>
      <c r="D9" s="6" t="str">
        <v>Monthly salary</v>
      </c>
      <c r="E9" s="6" t="s">
        <v>117</v>
      </c>
    </row>
    <row r="10" spans="1:5" x14ac:dyDescent="0.2">
      <c r="C10" s="6">
        <v>2022</v>
      </c>
      <c r="D10" s="9">
        <v>6250</v>
      </c>
      <c r="E10" s="9">
        <f>12*D10</f>
        <v>75000</v>
      </c>
    </row>
    <row r="11" spans="1:5" x14ac:dyDescent="0.2">
      <c r="C11" s="6">
        <v>2023</v>
      </c>
      <c r="D11" s="9">
        <v>6500</v>
      </c>
      <c r="E11" s="9">
        <f t="shared" ref="E11:E19" si="0">12*D11</f>
        <v>78000</v>
      </c>
    </row>
    <row r="12" spans="1:5" x14ac:dyDescent="0.2">
      <c r="C12" s="6">
        <v>2024</v>
      </c>
      <c r="D12" s="9">
        <v>7734.9999999999991</v>
      </c>
      <c r="E12" s="9">
        <f t="shared" si="0"/>
        <v>92819.999999999985</v>
      </c>
    </row>
    <row r="13" spans="1:5" x14ac:dyDescent="0.2">
      <c r="C13" s="6">
        <v>2025</v>
      </c>
      <c r="D13" s="9">
        <v>8044.4</v>
      </c>
      <c r="E13" s="9">
        <f t="shared" si="0"/>
        <v>96532.799999999988</v>
      </c>
    </row>
    <row r="14" spans="1:5" x14ac:dyDescent="0.2">
      <c r="C14" s="6">
        <v>2026</v>
      </c>
      <c r="D14" s="9">
        <v>9572.8359999999993</v>
      </c>
      <c r="E14" s="9">
        <f t="shared" si="0"/>
        <v>114874.03199999999</v>
      </c>
    </row>
    <row r="15" spans="1:5" ht="18" customHeight="1" x14ac:dyDescent="0.2">
      <c r="C15" s="6">
        <v>2027</v>
      </c>
      <c r="D15" s="9">
        <v>9955.7494399999996</v>
      </c>
      <c r="E15" s="9">
        <f t="shared" si="0"/>
        <v>119468.99328</v>
      </c>
    </row>
    <row r="16" spans="1:5" x14ac:dyDescent="0.2">
      <c r="C16" s="6">
        <v>2028</v>
      </c>
      <c r="D16" s="9">
        <v>11847.3418336</v>
      </c>
      <c r="E16" s="9">
        <f t="shared" si="0"/>
        <v>142168.10200319998</v>
      </c>
    </row>
    <row r="17" spans="1:8" x14ac:dyDescent="0.2">
      <c r="C17" s="6">
        <v>2029</v>
      </c>
      <c r="D17" s="9">
        <v>12321.235506944</v>
      </c>
      <c r="E17" s="9">
        <f t="shared" si="0"/>
        <v>147854.82608332799</v>
      </c>
    </row>
    <row r="18" spans="1:8" x14ac:dyDescent="0.2">
      <c r="C18" s="6">
        <v>2030</v>
      </c>
      <c r="D18" s="9">
        <v>12814.08492722176</v>
      </c>
      <c r="E18" s="9">
        <f t="shared" si="0"/>
        <v>153769.01912666112</v>
      </c>
    </row>
    <row r="19" spans="1:8" x14ac:dyDescent="0.2">
      <c r="C19" s="6">
        <v>2031</v>
      </c>
      <c r="D19" s="9">
        <v>13326.64832431063</v>
      </c>
      <c r="E19" s="9">
        <f t="shared" si="0"/>
        <v>159919.77989172755</v>
      </c>
    </row>
    <row r="21" spans="1:8" x14ac:dyDescent="0.2">
      <c r="A21" s="17" t="s">
        <v>73</v>
      </c>
      <c r="C21" s="5" t="s">
        <v>72</v>
      </c>
      <c r="D21" s="5"/>
      <c r="E21" s="5"/>
      <c r="F21" s="5"/>
      <c r="G21" s="5"/>
      <c r="H21" s="5"/>
    </row>
    <row r="23" spans="1:8" x14ac:dyDescent="0.2">
      <c r="A23" s="17" t="s">
        <v>74</v>
      </c>
    </row>
    <row r="40" spans="1:13" x14ac:dyDescent="0.2">
      <c r="C40" s="61" t="s">
        <v>79</v>
      </c>
      <c r="D40" s="62"/>
      <c r="E40" s="62"/>
      <c r="F40" s="62"/>
      <c r="G40" s="62"/>
      <c r="H40" s="62"/>
      <c r="I40" s="62"/>
    </row>
    <row r="41" spans="1:13" x14ac:dyDescent="0.2">
      <c r="C41" s="62"/>
      <c r="D41" s="62"/>
      <c r="E41" s="62"/>
      <c r="F41" s="62"/>
      <c r="G41" s="62"/>
      <c r="H41" s="62"/>
      <c r="I41" s="62"/>
    </row>
    <row r="42" spans="1:13" x14ac:dyDescent="0.2">
      <c r="C42" s="62"/>
      <c r="D42" s="62"/>
      <c r="E42" s="62"/>
      <c r="F42" s="62"/>
      <c r="G42" s="62"/>
      <c r="H42" s="62"/>
      <c r="I42" s="62"/>
    </row>
    <row r="43" spans="1:13" x14ac:dyDescent="0.2">
      <c r="C43" s="62"/>
      <c r="D43" s="62"/>
      <c r="E43" s="62"/>
      <c r="F43" s="62"/>
      <c r="G43" s="62"/>
      <c r="H43" s="62"/>
      <c r="I43" s="62"/>
    </row>
    <row r="44" spans="1:13" x14ac:dyDescent="0.2">
      <c r="C44" s="62"/>
      <c r="D44" s="62"/>
      <c r="E44" s="62"/>
      <c r="F44" s="62"/>
      <c r="G44" s="62"/>
      <c r="H44" s="62"/>
      <c r="I44" s="62"/>
    </row>
    <row r="46" spans="1:13" x14ac:dyDescent="0.2">
      <c r="A46" s="17" t="s">
        <v>80</v>
      </c>
      <c r="C46" t="s">
        <v>169</v>
      </c>
      <c r="D46" s="6" t="s">
        <v>168</v>
      </c>
      <c r="E46" s="5" t="str">
        <f>'Task e'!G7</f>
        <v>CSL.AX</v>
      </c>
      <c r="F46" s="5" t="str">
        <f>'Task e'!H7</f>
        <v>CBA.AX</v>
      </c>
      <c r="G46" s="5" t="str">
        <f>'Task e'!I7</f>
        <v>BHP.AX</v>
      </c>
      <c r="I46" t="s">
        <v>173</v>
      </c>
      <c r="J46" s="6" t="s">
        <v>174</v>
      </c>
      <c r="K46" s="6"/>
      <c r="L46" s="6"/>
      <c r="M46" s="5">
        <f>'Task e'!A29</f>
        <v>1.1333439204035416E-2</v>
      </c>
    </row>
    <row r="47" spans="1:13" ht="17" thickBot="1" x14ac:dyDescent="0.25"/>
    <row r="48" spans="1:13" ht="17" thickBot="1" x14ac:dyDescent="0.25">
      <c r="C48" t="s">
        <v>170</v>
      </c>
      <c r="D48" s="7" t="s">
        <v>28</v>
      </c>
      <c r="E48" s="7"/>
      <c r="F48" s="7"/>
      <c r="G48" s="7"/>
      <c r="I48" t="s">
        <v>172</v>
      </c>
      <c r="J48" s="63" t="s">
        <v>175</v>
      </c>
      <c r="K48" s="64"/>
      <c r="L48" s="65"/>
    </row>
    <row r="49" spans="1:17" x14ac:dyDescent="0.2">
      <c r="D49" s="6"/>
      <c r="E49" s="6" t="s">
        <v>25</v>
      </c>
      <c r="F49" s="6" t="s">
        <v>26</v>
      </c>
      <c r="G49" s="6" t="s">
        <v>27</v>
      </c>
    </row>
    <row r="50" spans="1:17" x14ac:dyDescent="0.2">
      <c r="D50" s="6" t="s">
        <v>25</v>
      </c>
      <c r="E50" s="53">
        <v>3.5218300000000001E-3</v>
      </c>
      <c r="F50" s="53"/>
      <c r="G50" s="53"/>
    </row>
    <row r="51" spans="1:17" x14ac:dyDescent="0.2">
      <c r="D51" s="6" t="s">
        <v>26</v>
      </c>
      <c r="E51" s="53">
        <v>5.8770999999999997E-4</v>
      </c>
      <c r="F51" s="53">
        <v>2.4835500000000002E-3</v>
      </c>
      <c r="G51" s="53"/>
    </row>
    <row r="52" spans="1:17" x14ac:dyDescent="0.2">
      <c r="D52" s="6" t="s">
        <v>27</v>
      </c>
      <c r="E52" s="53">
        <v>1.3694E-4</v>
      </c>
      <c r="F52" s="53">
        <v>5.5542999999999999E-4</v>
      </c>
      <c r="G52" s="53">
        <v>5.6044900000000002E-3</v>
      </c>
    </row>
    <row r="54" spans="1:17" x14ac:dyDescent="0.2">
      <c r="C54" t="s">
        <v>171</v>
      </c>
      <c r="D54" s="7" t="s">
        <v>88</v>
      </c>
      <c r="E54" s="7"/>
      <c r="F54" s="7"/>
      <c r="G54" s="7"/>
    </row>
    <row r="55" spans="1:17" x14ac:dyDescent="0.2">
      <c r="D55" s="6">
        <f>E44</f>
        <v>0</v>
      </c>
      <c r="E55" s="6">
        <f>F44</f>
        <v>0</v>
      </c>
      <c r="F55" s="6">
        <f>G44</f>
        <v>0</v>
      </c>
      <c r="G55" s="6" t="s">
        <v>33</v>
      </c>
    </row>
    <row r="56" spans="1:17" x14ac:dyDescent="0.2">
      <c r="D56" s="31">
        <v>0.32931827369248168</v>
      </c>
      <c r="E56" s="5">
        <v>0.46406518675430392</v>
      </c>
      <c r="F56" s="5">
        <v>0.20661653955321446</v>
      </c>
      <c r="G56" s="5">
        <f>SUM(D56:F56)</f>
        <v>1</v>
      </c>
    </row>
    <row r="57" spans="1:17" ht="17" thickBot="1" x14ac:dyDescent="0.25"/>
    <row r="58" spans="1:17" ht="17" thickBot="1" x14ac:dyDescent="0.25">
      <c r="A58" s="17" t="s">
        <v>102</v>
      </c>
      <c r="C58" s="58" t="s">
        <v>176</v>
      </c>
    </row>
    <row r="59" spans="1:17" ht="17" thickBot="1" x14ac:dyDescent="0.25"/>
    <row r="60" spans="1:17" ht="17" thickBot="1" x14ac:dyDescent="0.25">
      <c r="A60" s="58" t="s">
        <v>179</v>
      </c>
      <c r="J60" s="53"/>
      <c r="K60" s="53"/>
      <c r="L60" s="53"/>
      <c r="M60" s="53"/>
      <c r="N60" s="53"/>
      <c r="O60" s="53"/>
      <c r="P60" s="53"/>
      <c r="Q60" s="53"/>
    </row>
    <row r="61" spans="1:17" x14ac:dyDescent="0.2">
      <c r="J61" s="66"/>
      <c r="K61" s="67"/>
      <c r="L61" s="67"/>
      <c r="M61" s="67"/>
      <c r="N61" s="67"/>
      <c r="O61" s="67"/>
      <c r="P61" s="67"/>
      <c r="Q61" s="67"/>
    </row>
    <row r="62" spans="1:17" x14ac:dyDescent="0.2">
      <c r="J62" s="67"/>
      <c r="K62" s="67"/>
      <c r="L62" s="67"/>
      <c r="M62" s="67"/>
      <c r="N62" s="67"/>
      <c r="O62" s="67"/>
      <c r="P62" s="67"/>
      <c r="Q62" s="67"/>
    </row>
    <row r="63" spans="1:17" x14ac:dyDescent="0.2">
      <c r="J63" s="67"/>
      <c r="K63" s="67"/>
      <c r="L63" s="67"/>
      <c r="M63" s="67"/>
      <c r="N63" s="67"/>
      <c r="O63" s="67"/>
      <c r="P63" s="67"/>
      <c r="Q63" s="67"/>
    </row>
    <row r="64" spans="1:17" x14ac:dyDescent="0.2">
      <c r="J64" s="67"/>
      <c r="K64" s="67"/>
      <c r="L64" s="67"/>
      <c r="M64" s="67"/>
      <c r="N64" s="67"/>
      <c r="O64" s="67"/>
      <c r="P64" s="67"/>
      <c r="Q64" s="67"/>
    </row>
    <row r="65" spans="3:17" x14ac:dyDescent="0.2">
      <c r="J65" s="67"/>
      <c r="K65" s="67"/>
      <c r="L65" s="67"/>
      <c r="M65" s="67"/>
      <c r="N65" s="67"/>
      <c r="O65" s="67"/>
      <c r="P65" s="67"/>
      <c r="Q65" s="67"/>
    </row>
    <row r="77" spans="3:17" x14ac:dyDescent="0.2">
      <c r="C77" s="7" t="s">
        <v>178</v>
      </c>
      <c r="D77" s="7"/>
    </row>
    <row r="78" spans="3:17" ht="17" thickBot="1" x14ac:dyDescent="0.25">
      <c r="C78" s="7" t="s">
        <v>118</v>
      </c>
      <c r="D78" s="7"/>
      <c r="E78" s="7"/>
      <c r="F78" s="7"/>
      <c r="G78" s="7"/>
      <c r="H78" s="7"/>
    </row>
    <row r="79" spans="3:17" ht="17" thickBot="1" x14ac:dyDescent="0.25">
      <c r="C79" s="6" t="str">
        <f>'Task h'!A7</f>
        <v xml:space="preserve">   Min. 1st Qu.  Median    Mean 3rd Qu.    Max. </v>
      </c>
      <c r="D79" s="6"/>
      <c r="E79" s="56"/>
      <c r="F79" s="6"/>
      <c r="G79" s="6" t="s">
        <v>165</v>
      </c>
      <c r="H79" s="6"/>
    </row>
    <row r="80" spans="3:17" ht="17" thickBot="1" x14ac:dyDescent="0.25">
      <c r="C80" s="5" t="s">
        <v>160</v>
      </c>
      <c r="D80" s="5"/>
      <c r="E80" s="55"/>
      <c r="F80" s="5"/>
      <c r="G80" s="5">
        <f>SQRT(_xlfn.VAR.S('Task h'!M4:'Task h'!M103))</f>
        <v>434.45274923970652</v>
      </c>
      <c r="H80" s="5"/>
    </row>
    <row r="81" spans="1:8" ht="17" thickBot="1" x14ac:dyDescent="0.25">
      <c r="C81" s="7" t="s">
        <v>125</v>
      </c>
      <c r="D81" s="7"/>
      <c r="E81" s="7"/>
      <c r="F81" s="7"/>
      <c r="G81" s="7"/>
      <c r="H81" s="7"/>
    </row>
    <row r="82" spans="1:8" ht="17" thickBot="1" x14ac:dyDescent="0.25">
      <c r="C82" s="6" t="s">
        <v>159</v>
      </c>
      <c r="D82" s="6"/>
      <c r="E82" s="56"/>
      <c r="F82" s="6"/>
      <c r="G82" s="6" t="s">
        <v>165</v>
      </c>
      <c r="H82" s="6"/>
    </row>
    <row r="83" spans="1:8" ht="17" thickBot="1" x14ac:dyDescent="0.25">
      <c r="C83" s="5" t="s">
        <v>161</v>
      </c>
      <c r="D83" s="5"/>
      <c r="E83" s="55"/>
      <c r="F83" s="5"/>
      <c r="G83" s="5">
        <f>SQRT(_xlfn.VAR.S('Task h'!N4:'Task h'!N103))</f>
        <v>3804.71085487145</v>
      </c>
      <c r="H83" s="5"/>
    </row>
    <row r="84" spans="1:8" ht="17" thickBot="1" x14ac:dyDescent="0.25">
      <c r="C84" s="7" t="s">
        <v>124</v>
      </c>
      <c r="D84" s="7"/>
      <c r="E84" s="7"/>
      <c r="F84" s="7"/>
      <c r="G84" s="7"/>
      <c r="H84" s="7"/>
    </row>
    <row r="85" spans="1:8" ht="17" thickBot="1" x14ac:dyDescent="0.25">
      <c r="C85" s="6" t="s">
        <v>121</v>
      </c>
      <c r="D85" s="6"/>
      <c r="E85" s="54">
        <f>'Task h'!C13</f>
        <v>429132.57453970669</v>
      </c>
      <c r="F85" s="5"/>
      <c r="G85" s="5"/>
      <c r="H85" s="5"/>
    </row>
    <row r="86" spans="1:8" ht="17" thickBot="1" x14ac:dyDescent="0.25"/>
    <row r="87" spans="1:8" ht="17" thickBot="1" x14ac:dyDescent="0.25">
      <c r="A87" s="58" t="s">
        <v>177</v>
      </c>
      <c r="C87" s="7" t="s">
        <v>132</v>
      </c>
      <c r="D87" s="7"/>
      <c r="E87" s="7"/>
      <c r="F87" s="7"/>
      <c r="G87" s="7"/>
      <c r="H87" s="7"/>
    </row>
    <row r="88" spans="1:8" x14ac:dyDescent="0.2">
      <c r="C88" s="59" t="s">
        <v>167</v>
      </c>
      <c r="D88" s="59"/>
      <c r="E88" s="59"/>
      <c r="F88" s="59"/>
      <c r="G88" s="59"/>
      <c r="H88" s="59"/>
    </row>
    <row r="89" spans="1:8" x14ac:dyDescent="0.2">
      <c r="C89" s="59"/>
      <c r="D89" s="59"/>
      <c r="E89" s="59"/>
      <c r="F89" s="59"/>
      <c r="G89" s="59"/>
      <c r="H89" s="59"/>
    </row>
    <row r="90" spans="1:8" x14ac:dyDescent="0.2">
      <c r="C90" s="59"/>
      <c r="D90" s="59"/>
      <c r="E90" s="59"/>
      <c r="F90" s="59"/>
      <c r="G90" s="59"/>
      <c r="H90" s="59"/>
    </row>
    <row r="91" spans="1:8" x14ac:dyDescent="0.2">
      <c r="C91" s="59"/>
      <c r="D91" s="59"/>
      <c r="E91" s="59"/>
      <c r="F91" s="59"/>
      <c r="G91" s="59"/>
      <c r="H91" s="59"/>
    </row>
    <row r="92" spans="1:8" x14ac:dyDescent="0.2">
      <c r="C92" s="59"/>
      <c r="D92" s="59"/>
      <c r="E92" s="59"/>
      <c r="F92" s="59"/>
      <c r="G92" s="59"/>
      <c r="H92" s="59"/>
    </row>
    <row r="93" spans="1:8" x14ac:dyDescent="0.2">
      <c r="C93" s="59"/>
      <c r="D93" s="59"/>
      <c r="E93" s="59"/>
      <c r="F93" s="59"/>
      <c r="G93" s="59"/>
      <c r="H93" s="59"/>
    </row>
    <row r="94" spans="1:8" x14ac:dyDescent="0.2">
      <c r="C94" s="59"/>
      <c r="D94" s="59"/>
      <c r="E94" s="59"/>
      <c r="F94" s="59"/>
      <c r="G94" s="59"/>
      <c r="H94" s="59"/>
    </row>
    <row r="95" spans="1:8" x14ac:dyDescent="0.2">
      <c r="C95" s="59"/>
      <c r="D95" s="59"/>
      <c r="E95" s="59"/>
      <c r="F95" s="59"/>
      <c r="G95" s="59"/>
      <c r="H95" s="59"/>
    </row>
    <row r="96" spans="1:8" x14ac:dyDescent="0.2">
      <c r="C96" s="59"/>
      <c r="D96" s="59"/>
      <c r="E96" s="59"/>
      <c r="F96" s="59"/>
      <c r="G96" s="59"/>
      <c r="H96" s="59"/>
    </row>
    <row r="97" spans="3:8" x14ac:dyDescent="0.2">
      <c r="C97" s="59"/>
      <c r="D97" s="59"/>
      <c r="E97" s="59"/>
      <c r="F97" s="59"/>
      <c r="G97" s="59"/>
      <c r="H97" s="59"/>
    </row>
    <row r="98" spans="3:8" x14ac:dyDescent="0.2">
      <c r="C98" s="59"/>
      <c r="D98" s="59"/>
      <c r="E98" s="59"/>
      <c r="F98" s="59"/>
      <c r="G98" s="59"/>
      <c r="H98" s="59"/>
    </row>
    <row r="99" spans="3:8" x14ac:dyDescent="0.2">
      <c r="C99" s="59"/>
      <c r="D99" s="59"/>
      <c r="E99" s="59"/>
      <c r="F99" s="59"/>
      <c r="G99" s="59"/>
      <c r="H99" s="59"/>
    </row>
    <row r="100" spans="3:8" x14ac:dyDescent="0.2">
      <c r="C100" s="59"/>
      <c r="D100" s="59"/>
      <c r="E100" s="59"/>
      <c r="F100" s="59"/>
      <c r="G100" s="59"/>
      <c r="H100" s="59"/>
    </row>
    <row r="101" spans="3:8" x14ac:dyDescent="0.2">
      <c r="C101" s="59"/>
      <c r="D101" s="59"/>
      <c r="E101" s="59"/>
      <c r="F101" s="59"/>
      <c r="G101" s="59"/>
      <c r="H101" s="59"/>
    </row>
    <row r="102" spans="3:8" x14ac:dyDescent="0.2">
      <c r="C102" s="59"/>
      <c r="D102" s="59"/>
      <c r="E102" s="59"/>
      <c r="F102" s="59"/>
      <c r="G102" s="59"/>
      <c r="H102" s="59"/>
    </row>
    <row r="103" spans="3:8" x14ac:dyDescent="0.2">
      <c r="C103" s="59"/>
      <c r="D103" s="59"/>
      <c r="E103" s="59"/>
      <c r="F103" s="59"/>
      <c r="G103" s="59"/>
      <c r="H103" s="59"/>
    </row>
    <row r="104" spans="3:8" x14ac:dyDescent="0.2">
      <c r="C104" s="59"/>
      <c r="D104" s="59"/>
      <c r="E104" s="59"/>
      <c r="F104" s="59"/>
      <c r="G104" s="59"/>
      <c r="H104" s="59"/>
    </row>
    <row r="105" spans="3:8" x14ac:dyDescent="0.2">
      <c r="C105" s="59"/>
      <c r="D105" s="59"/>
      <c r="E105" s="59"/>
      <c r="F105" s="59"/>
      <c r="G105" s="59"/>
      <c r="H105" s="59"/>
    </row>
    <row r="106" spans="3:8" x14ac:dyDescent="0.2">
      <c r="C106" s="59"/>
      <c r="D106" s="59"/>
      <c r="E106" s="59"/>
      <c r="F106" s="59"/>
      <c r="G106" s="59"/>
      <c r="H106" s="59"/>
    </row>
    <row r="107" spans="3:8" x14ac:dyDescent="0.2">
      <c r="C107" s="59"/>
      <c r="D107" s="59"/>
      <c r="E107" s="59"/>
      <c r="F107" s="59"/>
      <c r="G107" s="59"/>
      <c r="H107" s="59"/>
    </row>
    <row r="108" spans="3:8" x14ac:dyDescent="0.2">
      <c r="C108" s="59"/>
      <c r="D108" s="59"/>
      <c r="E108" s="59"/>
      <c r="F108" s="59"/>
      <c r="G108" s="59"/>
      <c r="H108" s="59"/>
    </row>
    <row r="109" spans="3:8" x14ac:dyDescent="0.2">
      <c r="C109" s="59"/>
      <c r="D109" s="59"/>
      <c r="E109" s="59"/>
      <c r="F109" s="59"/>
      <c r="G109" s="59"/>
      <c r="H109" s="59"/>
    </row>
    <row r="110" spans="3:8" x14ac:dyDescent="0.2">
      <c r="C110" s="59"/>
      <c r="D110" s="59"/>
      <c r="E110" s="59"/>
      <c r="F110" s="59"/>
      <c r="G110" s="59"/>
      <c r="H110" s="59"/>
    </row>
    <row r="111" spans="3:8" x14ac:dyDescent="0.2">
      <c r="C111" s="59"/>
      <c r="D111" s="59"/>
      <c r="E111" s="59"/>
      <c r="F111" s="59"/>
      <c r="G111" s="59"/>
      <c r="H111" s="59"/>
    </row>
    <row r="112" spans="3:8" x14ac:dyDescent="0.2">
      <c r="C112" s="59"/>
      <c r="D112" s="59"/>
      <c r="E112" s="59"/>
      <c r="F112" s="59"/>
      <c r="G112" s="59"/>
      <c r="H112" s="59"/>
    </row>
    <row r="113" spans="3:8" x14ac:dyDescent="0.2">
      <c r="C113" s="59"/>
      <c r="D113" s="59"/>
      <c r="E113" s="59"/>
      <c r="F113" s="59"/>
      <c r="G113" s="59"/>
      <c r="H113" s="59"/>
    </row>
    <row r="114" spans="3:8" x14ac:dyDescent="0.2">
      <c r="C114" s="59"/>
      <c r="D114" s="59"/>
      <c r="E114" s="59"/>
      <c r="F114" s="59"/>
      <c r="G114" s="59"/>
      <c r="H114" s="59"/>
    </row>
    <row r="115" spans="3:8" x14ac:dyDescent="0.2">
      <c r="C115" s="59"/>
      <c r="D115" s="59"/>
      <c r="E115" s="59"/>
      <c r="F115" s="59"/>
      <c r="G115" s="59"/>
      <c r="H115" s="59"/>
    </row>
    <row r="116" spans="3:8" x14ac:dyDescent="0.2">
      <c r="C116" s="59"/>
      <c r="D116" s="59"/>
      <c r="E116" s="59"/>
      <c r="F116" s="59"/>
      <c r="G116" s="59"/>
      <c r="H116" s="59"/>
    </row>
    <row r="117" spans="3:8" x14ac:dyDescent="0.2">
      <c r="C117" s="59"/>
      <c r="D117" s="59"/>
      <c r="E117" s="59"/>
      <c r="F117" s="59"/>
      <c r="G117" s="59"/>
      <c r="H117" s="59"/>
    </row>
    <row r="118" spans="3:8" x14ac:dyDescent="0.2">
      <c r="C118" s="59"/>
      <c r="D118" s="59"/>
      <c r="E118" s="59"/>
      <c r="F118" s="59"/>
      <c r="G118" s="59"/>
      <c r="H118" s="59"/>
    </row>
    <row r="119" spans="3:8" x14ac:dyDescent="0.2">
      <c r="C119" s="59"/>
      <c r="D119" s="59"/>
      <c r="E119" s="59"/>
      <c r="F119" s="59"/>
      <c r="G119" s="59"/>
      <c r="H119" s="59"/>
    </row>
    <row r="120" spans="3:8" x14ac:dyDescent="0.2">
      <c r="C120" s="59"/>
      <c r="D120" s="59"/>
      <c r="E120" s="59"/>
      <c r="F120" s="59"/>
      <c r="G120" s="59"/>
      <c r="H120" s="59"/>
    </row>
  </sheetData>
  <mergeCells count="6">
    <mergeCell ref="C88:H120"/>
    <mergeCell ref="A1:C1"/>
    <mergeCell ref="A2:C2"/>
    <mergeCell ref="C40:I44"/>
    <mergeCell ref="J48:L48"/>
    <mergeCell ref="J61:Q65"/>
  </mergeCells>
  <hyperlinks>
    <hyperlink ref="A6" location="'Task a'!A1" display="Task a:" xr:uid="{AF418B1D-4A70-E048-9DE3-0A7DF3C6F500}"/>
    <hyperlink ref="A9" location="'Task b'!A1" display="Task b:" xr:uid="{D7009DC6-2741-554F-A18E-5587450A0EDE}"/>
    <hyperlink ref="A21" location="'Task c'!A1" display="Task c" xr:uid="{FD6FCD95-18CC-5044-BDED-52246AE10C14}"/>
    <hyperlink ref="A23" location="'Task d'!A1" display="Task d:" xr:uid="{AEF72DC6-B2A5-C34D-AFE8-E5474FA1DD9C}"/>
    <hyperlink ref="A46" location="'Task e'!A1" display="Task e:" xr:uid="{73262536-A551-014A-9E95-3350BC73A643}"/>
    <hyperlink ref="A58" location="'Task f '!A1" display="Task f:" xr:uid="{F043A2CE-C3A5-6544-8D98-9D029255E48E}"/>
    <hyperlink ref="J48:L48" location="'Task e simulation procedure'!A1" display="Page: Task e simulation procedure" xr:uid="{2C0917D8-02F5-2E4F-8E11-69EFB77CEE2F}"/>
    <hyperlink ref="C58" location="'Task f '!A1" display="Page: Task f" xr:uid="{7977698B-2F87-3040-98D9-B1D0232B7DA3}"/>
    <hyperlink ref="A60" location="'Task g histogram and answers'!A1" display="Task g:" xr:uid="{3C491A0D-14EF-5F4C-A144-033A2BA456F6}"/>
    <hyperlink ref="A87" location="'Task h'!A1" display="Task h:" xr:uid="{C243C022-6371-B34B-AC53-3EB6CDBF6309}"/>
  </hyperlink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1BCF8-10F5-2E4D-84EE-9895898BBDE2}">
  <sheetPr codeName="Sheet2"/>
  <dimension ref="A1:J13"/>
  <sheetViews>
    <sheetView showGridLines="0" showRowColHeaders="0" zoomScale="178" workbookViewId="0">
      <selection activeCell="B10" sqref="B10"/>
    </sheetView>
  </sheetViews>
  <sheetFormatPr baseColWidth="10" defaultRowHeight="16" x14ac:dyDescent="0.2"/>
  <cols>
    <col min="1" max="1" width="16" customWidth="1"/>
  </cols>
  <sheetData>
    <row r="1" spans="1:10" ht="19" x14ac:dyDescent="0.25">
      <c r="A1" s="57" t="s">
        <v>14</v>
      </c>
      <c r="B1" s="14"/>
      <c r="C1" s="14"/>
      <c r="D1" s="14"/>
      <c r="E1" s="14"/>
      <c r="F1" s="14"/>
      <c r="G1" s="14"/>
      <c r="H1" s="14"/>
      <c r="I1" s="14"/>
      <c r="J1" s="14"/>
    </row>
    <row r="2" spans="1:10" ht="36" customHeight="1" x14ac:dyDescent="0.25">
      <c r="A2" s="68" t="s">
        <v>12</v>
      </c>
      <c r="B2" s="68"/>
      <c r="C2" s="68"/>
      <c r="D2" s="68"/>
      <c r="E2" s="68"/>
      <c r="F2" s="68"/>
      <c r="G2" s="68"/>
      <c r="H2" s="68"/>
      <c r="I2" s="68"/>
      <c r="J2" s="68"/>
    </row>
    <row r="3" spans="1:10" ht="19" x14ac:dyDescent="0.25">
      <c r="A3" s="57" t="s">
        <v>13</v>
      </c>
      <c r="B3" s="14"/>
      <c r="C3" s="14"/>
      <c r="D3" s="14"/>
      <c r="E3" s="14"/>
      <c r="F3" s="14"/>
      <c r="G3" s="14"/>
      <c r="H3" s="14"/>
      <c r="I3" s="14"/>
      <c r="J3" s="14"/>
    </row>
    <row r="4" spans="1:10" ht="19" customHeight="1" x14ac:dyDescent="0.25">
      <c r="A4" s="14" t="s">
        <v>66</v>
      </c>
      <c r="B4" s="14"/>
      <c r="C4" s="14"/>
      <c r="D4" s="14"/>
      <c r="E4" s="14"/>
      <c r="F4" s="14"/>
      <c r="G4" s="14"/>
      <c r="H4" s="14"/>
      <c r="I4" s="14"/>
      <c r="J4" s="14"/>
    </row>
    <row r="6" spans="1:10" x14ac:dyDescent="0.2">
      <c r="A6" s="6"/>
      <c r="B6" s="6" t="s">
        <v>15</v>
      </c>
    </row>
    <row r="7" spans="1:10" x14ac:dyDescent="0.2">
      <c r="A7" s="6" t="s">
        <v>65</v>
      </c>
      <c r="B7" s="5">
        <f>1-_xlfn.BINOM.DIST(2,5,0.3,TRUE)</f>
        <v>0.16308</v>
      </c>
    </row>
    <row r="9" spans="1:10" x14ac:dyDescent="0.2">
      <c r="A9" s="6"/>
      <c r="B9" s="6" t="s">
        <v>16</v>
      </c>
    </row>
    <row r="10" spans="1:10" x14ac:dyDescent="0.2">
      <c r="A10" s="6" t="s">
        <v>65</v>
      </c>
      <c r="B10" s="5">
        <f>1-_xlfn.BINOM.DIST(2,10,0.3,TRUE)</f>
        <v>0.61721721360000026</v>
      </c>
    </row>
    <row r="13" spans="1:10" x14ac:dyDescent="0.2">
      <c r="A13" s="16" t="s">
        <v>67</v>
      </c>
    </row>
  </sheetData>
  <mergeCells count="1">
    <mergeCell ref="A2:J2"/>
  </mergeCells>
  <hyperlinks>
    <hyperlink ref="A13" location="Answers!A1" display="Back to answers" xr:uid="{9F591F75-825E-314E-99A3-0F7036E5723F}"/>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38394-3A85-1A47-BBF3-F8736123DFAD}">
  <sheetPr codeName="Sheet3"/>
  <dimension ref="A1:I125"/>
  <sheetViews>
    <sheetView showGridLines="0" showRowColHeaders="0" topLeftCell="A17" zoomScale="147" zoomScaleNormal="147" workbookViewId="0">
      <selection activeCell="A27" sqref="A27"/>
    </sheetView>
  </sheetViews>
  <sheetFormatPr baseColWidth="10" defaultRowHeight="16" x14ac:dyDescent="0.2"/>
  <cols>
    <col min="1" max="1" width="16.83203125" bestFit="1" customWidth="1"/>
    <col min="2" max="2" width="15.5" customWidth="1"/>
    <col min="4" max="4" width="15.33203125" customWidth="1"/>
    <col min="7" max="7" width="10.83203125" customWidth="1"/>
    <col min="8" max="8" width="20.1640625" customWidth="1"/>
    <col min="9" max="9" width="15.5" customWidth="1"/>
  </cols>
  <sheetData>
    <row r="1" spans="1:9" x14ac:dyDescent="0.2">
      <c r="A1" s="6" t="s">
        <v>10</v>
      </c>
    </row>
    <row r="2" spans="1:9" ht="77" customHeight="1" x14ac:dyDescent="0.2">
      <c r="A2" s="61" t="s">
        <v>17</v>
      </c>
      <c r="B2" s="61"/>
      <c r="C2" s="61"/>
      <c r="D2" s="61"/>
      <c r="E2" s="61"/>
      <c r="F2" s="61"/>
      <c r="G2" s="61"/>
      <c r="H2" s="61"/>
      <c r="I2" s="61"/>
    </row>
    <row r="3" spans="1:9" x14ac:dyDescent="0.2">
      <c r="E3" s="69" t="s">
        <v>11</v>
      </c>
      <c r="F3" s="70"/>
      <c r="G3" s="70"/>
      <c r="H3" s="70"/>
      <c r="I3" s="70"/>
    </row>
    <row r="4" spans="1:9" ht="17" x14ac:dyDescent="0.2">
      <c r="A4" s="6" t="s">
        <v>0</v>
      </c>
      <c r="B4" s="6"/>
      <c r="E4" t="s">
        <v>5</v>
      </c>
      <c r="F4" t="s">
        <v>4</v>
      </c>
      <c r="G4" t="s">
        <v>6</v>
      </c>
      <c r="H4" s="2" t="s">
        <v>9</v>
      </c>
      <c r="I4" t="s">
        <v>7</v>
      </c>
    </row>
    <row r="5" spans="1:9" x14ac:dyDescent="0.2">
      <c r="A5" s="5" t="s">
        <v>1</v>
      </c>
      <c r="B5" s="9">
        <v>75000</v>
      </c>
      <c r="E5" s="3">
        <v>44562</v>
      </c>
      <c r="F5">
        <f>YEAR(E5)</f>
        <v>2022</v>
      </c>
      <c r="G5" s="4">
        <v>8.3333333333333329E-2</v>
      </c>
      <c r="H5">
        <v>0</v>
      </c>
      <c r="I5" s="1">
        <f>B5/12</f>
        <v>6250</v>
      </c>
    </row>
    <row r="6" spans="1:9" x14ac:dyDescent="0.2">
      <c r="A6" s="5" t="s">
        <v>2</v>
      </c>
      <c r="B6" s="10">
        <v>0.04</v>
      </c>
      <c r="E6" s="3">
        <v>44593</v>
      </c>
      <c r="F6">
        <f t="shared" ref="F6:F69" si="0">YEAR(E6)</f>
        <v>2022</v>
      </c>
      <c r="G6" s="4">
        <v>0.16666666666666666</v>
      </c>
      <c r="H6">
        <v>0</v>
      </c>
      <c r="I6" s="1">
        <f t="shared" ref="I6:I37" si="1">IF((F6-F5)&lt;1,1,(1+$B$6))*I5*IF(H6-H5=1,1+$B$7,1)</f>
        <v>6250</v>
      </c>
    </row>
    <row r="7" spans="1:9" x14ac:dyDescent="0.2">
      <c r="A7" s="5" t="s">
        <v>3</v>
      </c>
      <c r="B7" s="10">
        <f>1.19/(1+B6)-1</f>
        <v>0.14423076923076916</v>
      </c>
      <c r="E7" s="3">
        <v>44621</v>
      </c>
      <c r="F7">
        <f t="shared" si="0"/>
        <v>2022</v>
      </c>
      <c r="G7" s="4">
        <v>0.25</v>
      </c>
      <c r="H7">
        <v>0</v>
      </c>
      <c r="I7" s="1">
        <f t="shared" si="1"/>
        <v>6250</v>
      </c>
    </row>
    <row r="8" spans="1:9" x14ac:dyDescent="0.2">
      <c r="E8" s="3">
        <v>44652</v>
      </c>
      <c r="F8">
        <f t="shared" si="0"/>
        <v>2022</v>
      </c>
      <c r="G8" s="4">
        <v>0.33333333333333298</v>
      </c>
      <c r="H8">
        <v>0</v>
      </c>
      <c r="I8" s="1">
        <f t="shared" si="1"/>
        <v>6250</v>
      </c>
    </row>
    <row r="9" spans="1:9" x14ac:dyDescent="0.2">
      <c r="A9" s="6" t="s">
        <v>8</v>
      </c>
      <c r="E9" s="3">
        <v>44682</v>
      </c>
      <c r="F9">
        <f t="shared" si="0"/>
        <v>2022</v>
      </c>
      <c r="G9" s="4">
        <v>0.41666666666666702</v>
      </c>
      <c r="H9">
        <v>0</v>
      </c>
      <c r="I9" s="1">
        <f t="shared" si="1"/>
        <v>6250</v>
      </c>
    </row>
    <row r="10" spans="1:9" x14ac:dyDescent="0.2">
      <c r="A10" s="5">
        <v>2023</v>
      </c>
      <c r="E10" s="3">
        <v>44713</v>
      </c>
      <c r="F10">
        <f t="shared" si="0"/>
        <v>2022</v>
      </c>
      <c r="G10" s="4">
        <v>0.5</v>
      </c>
      <c r="H10">
        <v>0</v>
      </c>
      <c r="I10" s="1">
        <f t="shared" si="1"/>
        <v>6250</v>
      </c>
    </row>
    <row r="11" spans="1:9" x14ac:dyDescent="0.2">
      <c r="A11" s="5">
        <v>2025</v>
      </c>
      <c r="E11" s="3">
        <v>44743</v>
      </c>
      <c r="F11">
        <f t="shared" si="0"/>
        <v>2022</v>
      </c>
      <c r="G11" s="4">
        <v>0.58333333333333304</v>
      </c>
      <c r="H11">
        <v>0</v>
      </c>
      <c r="I11" s="1">
        <f t="shared" si="1"/>
        <v>6250</v>
      </c>
    </row>
    <row r="12" spans="1:9" x14ac:dyDescent="0.2">
      <c r="A12" s="5">
        <v>2027</v>
      </c>
      <c r="E12" s="3">
        <v>44774</v>
      </c>
      <c r="F12">
        <f t="shared" si="0"/>
        <v>2022</v>
      </c>
      <c r="G12" s="4">
        <v>0.66666666666666696</v>
      </c>
      <c r="H12">
        <v>0</v>
      </c>
      <c r="I12" s="1">
        <f t="shared" si="1"/>
        <v>6250</v>
      </c>
    </row>
    <row r="13" spans="1:9" x14ac:dyDescent="0.2">
      <c r="E13" s="3">
        <v>44805</v>
      </c>
      <c r="F13">
        <f t="shared" si="0"/>
        <v>2022</v>
      </c>
      <c r="G13" s="4">
        <v>0.75</v>
      </c>
      <c r="H13">
        <v>0</v>
      </c>
      <c r="I13" s="1">
        <f t="shared" si="1"/>
        <v>6250</v>
      </c>
    </row>
    <row r="14" spans="1:9" ht="18" customHeight="1" x14ac:dyDescent="0.2">
      <c r="A14" s="7" t="s">
        <v>4</v>
      </c>
      <c r="B14" s="7" t="s">
        <v>7</v>
      </c>
      <c r="E14" s="3">
        <v>44835</v>
      </c>
      <c r="F14">
        <f t="shared" si="0"/>
        <v>2022</v>
      </c>
      <c r="G14" s="4">
        <v>0.83333333333333304</v>
      </c>
      <c r="H14">
        <v>0</v>
      </c>
      <c r="I14" s="1">
        <f t="shared" si="1"/>
        <v>6250</v>
      </c>
    </row>
    <row r="15" spans="1:9" x14ac:dyDescent="0.2">
      <c r="A15" s="5">
        <v>2022</v>
      </c>
      <c r="B15" s="11">
        <f>I5</f>
        <v>6250</v>
      </c>
      <c r="E15" s="3">
        <v>44866</v>
      </c>
      <c r="F15">
        <f t="shared" si="0"/>
        <v>2022</v>
      </c>
      <c r="G15" s="4">
        <v>0.91666666666666696</v>
      </c>
      <c r="H15">
        <v>0</v>
      </c>
      <c r="I15" s="1">
        <f t="shared" si="1"/>
        <v>6250</v>
      </c>
    </row>
    <row r="16" spans="1:9" x14ac:dyDescent="0.2">
      <c r="A16" s="5">
        <v>2023</v>
      </c>
      <c r="B16" s="9">
        <f>I17</f>
        <v>6500</v>
      </c>
      <c r="E16" s="3">
        <v>44896</v>
      </c>
      <c r="F16">
        <f t="shared" si="0"/>
        <v>2022</v>
      </c>
      <c r="G16" s="4">
        <v>1</v>
      </c>
      <c r="H16">
        <v>0</v>
      </c>
      <c r="I16" s="1">
        <f t="shared" si="1"/>
        <v>6250</v>
      </c>
    </row>
    <row r="17" spans="1:9" x14ac:dyDescent="0.2">
      <c r="A17" s="5">
        <v>2024</v>
      </c>
      <c r="B17" s="9">
        <f>I29</f>
        <v>7734.9999999999991</v>
      </c>
      <c r="E17" s="3">
        <v>44927</v>
      </c>
      <c r="F17">
        <f t="shared" si="0"/>
        <v>2023</v>
      </c>
      <c r="G17" s="4">
        <v>1.0833333333333299</v>
      </c>
      <c r="H17">
        <v>0</v>
      </c>
      <c r="I17" s="1">
        <f t="shared" si="1"/>
        <v>6500</v>
      </c>
    </row>
    <row r="18" spans="1:9" x14ac:dyDescent="0.2">
      <c r="A18" s="5">
        <v>2025</v>
      </c>
      <c r="B18" s="9">
        <f>I41</f>
        <v>8044.4</v>
      </c>
      <c r="E18" s="3">
        <v>44958</v>
      </c>
      <c r="F18">
        <f t="shared" si="0"/>
        <v>2023</v>
      </c>
      <c r="G18" s="4">
        <v>1.1666666666666701</v>
      </c>
      <c r="H18">
        <v>0</v>
      </c>
      <c r="I18" s="1">
        <f t="shared" si="1"/>
        <v>6500</v>
      </c>
    </row>
    <row r="19" spans="1:9" x14ac:dyDescent="0.2">
      <c r="A19" s="5">
        <v>2026</v>
      </c>
      <c r="B19" s="9">
        <f>I53</f>
        <v>9572.8359999999993</v>
      </c>
      <c r="E19" s="3">
        <v>44986</v>
      </c>
      <c r="F19">
        <f t="shared" si="0"/>
        <v>2023</v>
      </c>
      <c r="G19" s="4">
        <v>1.25</v>
      </c>
      <c r="H19">
        <v>0</v>
      </c>
      <c r="I19" s="1">
        <f t="shared" si="1"/>
        <v>6500</v>
      </c>
    </row>
    <row r="20" spans="1:9" x14ac:dyDescent="0.2">
      <c r="A20" s="5">
        <v>2027</v>
      </c>
      <c r="B20" s="9">
        <f>I65</f>
        <v>9955.7494399999996</v>
      </c>
      <c r="E20" s="3">
        <v>45017</v>
      </c>
      <c r="F20">
        <f t="shared" si="0"/>
        <v>2023</v>
      </c>
      <c r="G20" s="4">
        <v>1.3333333333333299</v>
      </c>
      <c r="H20">
        <v>0</v>
      </c>
      <c r="I20" s="1">
        <f t="shared" si="1"/>
        <v>6500</v>
      </c>
    </row>
    <row r="21" spans="1:9" x14ac:dyDescent="0.2">
      <c r="A21" s="5">
        <v>2028</v>
      </c>
      <c r="B21" s="9">
        <f>I77</f>
        <v>11847.3418336</v>
      </c>
      <c r="E21" s="3">
        <v>45047</v>
      </c>
      <c r="F21">
        <f t="shared" si="0"/>
        <v>2023</v>
      </c>
      <c r="G21" s="4">
        <v>1.4166666666666701</v>
      </c>
      <c r="H21">
        <v>0</v>
      </c>
      <c r="I21" s="1">
        <f t="shared" si="1"/>
        <v>6500</v>
      </c>
    </row>
    <row r="22" spans="1:9" x14ac:dyDescent="0.2">
      <c r="A22" s="5">
        <v>2029</v>
      </c>
      <c r="B22" s="9">
        <f>I89</f>
        <v>12321.235506944</v>
      </c>
      <c r="E22" s="3">
        <v>45078</v>
      </c>
      <c r="F22">
        <f t="shared" si="0"/>
        <v>2023</v>
      </c>
      <c r="G22" s="4">
        <v>1.5</v>
      </c>
      <c r="H22">
        <v>0</v>
      </c>
      <c r="I22" s="1">
        <f t="shared" si="1"/>
        <v>6500</v>
      </c>
    </row>
    <row r="23" spans="1:9" x14ac:dyDescent="0.2">
      <c r="A23" s="5">
        <v>2030</v>
      </c>
      <c r="B23" s="9">
        <f>I101</f>
        <v>12814.08492722176</v>
      </c>
      <c r="E23" s="3">
        <v>45108</v>
      </c>
      <c r="F23">
        <f t="shared" si="0"/>
        <v>2023</v>
      </c>
      <c r="G23" s="4">
        <v>1.5833333333333299</v>
      </c>
      <c r="H23">
        <v>0</v>
      </c>
      <c r="I23" s="1">
        <f t="shared" si="1"/>
        <v>6500</v>
      </c>
    </row>
    <row r="24" spans="1:9" x14ac:dyDescent="0.2">
      <c r="A24" s="5">
        <v>2031</v>
      </c>
      <c r="B24" s="9">
        <f>I113</f>
        <v>13326.64832431063</v>
      </c>
      <c r="E24" s="3">
        <v>45139</v>
      </c>
      <c r="F24">
        <f t="shared" si="0"/>
        <v>2023</v>
      </c>
      <c r="G24" s="4">
        <v>1.6666666666666701</v>
      </c>
      <c r="H24">
        <v>0</v>
      </c>
      <c r="I24" s="1">
        <f t="shared" si="1"/>
        <v>6500</v>
      </c>
    </row>
    <row r="25" spans="1:9" x14ac:dyDescent="0.2">
      <c r="A25" s="8"/>
      <c r="B25" s="8"/>
      <c r="E25" s="3">
        <v>45170</v>
      </c>
      <c r="F25">
        <f t="shared" si="0"/>
        <v>2023</v>
      </c>
      <c r="G25" s="4">
        <v>1.75</v>
      </c>
      <c r="H25">
        <v>0</v>
      </c>
      <c r="I25" s="1">
        <f t="shared" si="1"/>
        <v>6500</v>
      </c>
    </row>
    <row r="26" spans="1:9" x14ac:dyDescent="0.2">
      <c r="E26" s="3">
        <v>45200</v>
      </c>
      <c r="F26">
        <f t="shared" si="0"/>
        <v>2023</v>
      </c>
      <c r="G26" s="4">
        <v>1.8333333333333299</v>
      </c>
      <c r="H26">
        <v>0</v>
      </c>
      <c r="I26" s="1">
        <f t="shared" si="1"/>
        <v>6500</v>
      </c>
    </row>
    <row r="27" spans="1:9" x14ac:dyDescent="0.2">
      <c r="A27" s="16" t="s">
        <v>67</v>
      </c>
      <c r="E27" s="3">
        <v>45231</v>
      </c>
      <c r="F27">
        <f t="shared" si="0"/>
        <v>2023</v>
      </c>
      <c r="G27" s="4">
        <v>1.9166666666666701</v>
      </c>
      <c r="H27">
        <v>0</v>
      </c>
      <c r="I27" s="1">
        <f t="shared" si="1"/>
        <v>6500</v>
      </c>
    </row>
    <row r="28" spans="1:9" x14ac:dyDescent="0.2">
      <c r="E28" s="3">
        <v>45261</v>
      </c>
      <c r="F28">
        <f t="shared" si="0"/>
        <v>2023</v>
      </c>
      <c r="G28" s="4">
        <v>2</v>
      </c>
      <c r="H28">
        <v>0</v>
      </c>
      <c r="I28" s="1">
        <f t="shared" si="1"/>
        <v>6500</v>
      </c>
    </row>
    <row r="29" spans="1:9" x14ac:dyDescent="0.2">
      <c r="E29" s="3">
        <v>45292</v>
      </c>
      <c r="F29">
        <f t="shared" si="0"/>
        <v>2024</v>
      </c>
      <c r="G29" s="4">
        <v>2.0833333333333299</v>
      </c>
      <c r="H29" s="5">
        <v>1</v>
      </c>
      <c r="I29" s="1">
        <f t="shared" si="1"/>
        <v>7734.9999999999991</v>
      </c>
    </row>
    <row r="30" spans="1:9" x14ac:dyDescent="0.2">
      <c r="E30" s="3">
        <v>45323</v>
      </c>
      <c r="F30">
        <f t="shared" si="0"/>
        <v>2024</v>
      </c>
      <c r="G30" s="4">
        <v>2.1666666666666701</v>
      </c>
      <c r="H30" s="5">
        <v>1</v>
      </c>
      <c r="I30" s="1">
        <f t="shared" si="1"/>
        <v>7734.9999999999991</v>
      </c>
    </row>
    <row r="31" spans="1:9" x14ac:dyDescent="0.2">
      <c r="E31" s="3">
        <v>45352</v>
      </c>
      <c r="F31">
        <f t="shared" si="0"/>
        <v>2024</v>
      </c>
      <c r="G31" s="4">
        <v>2.25</v>
      </c>
      <c r="H31" s="5">
        <v>1</v>
      </c>
      <c r="I31" s="1">
        <f t="shared" si="1"/>
        <v>7734.9999999999991</v>
      </c>
    </row>
    <row r="32" spans="1:9" x14ac:dyDescent="0.2">
      <c r="E32" s="3">
        <v>45383</v>
      </c>
      <c r="F32">
        <f t="shared" si="0"/>
        <v>2024</v>
      </c>
      <c r="G32" s="4">
        <v>2.3333333333333299</v>
      </c>
      <c r="H32" s="5">
        <v>1</v>
      </c>
      <c r="I32" s="1">
        <f t="shared" si="1"/>
        <v>7734.9999999999991</v>
      </c>
    </row>
    <row r="33" spans="5:9" x14ac:dyDescent="0.2">
      <c r="E33" s="3">
        <v>45413</v>
      </c>
      <c r="F33">
        <f t="shared" si="0"/>
        <v>2024</v>
      </c>
      <c r="G33" s="4">
        <v>2.4166666666666701</v>
      </c>
      <c r="H33" s="5">
        <v>1</v>
      </c>
      <c r="I33" s="1">
        <f t="shared" si="1"/>
        <v>7734.9999999999991</v>
      </c>
    </row>
    <row r="34" spans="5:9" x14ac:dyDescent="0.2">
      <c r="E34" s="3">
        <v>45444</v>
      </c>
      <c r="F34">
        <f t="shared" si="0"/>
        <v>2024</v>
      </c>
      <c r="G34" s="4">
        <v>2.5</v>
      </c>
      <c r="H34" s="5">
        <v>1</v>
      </c>
      <c r="I34" s="1">
        <f t="shared" si="1"/>
        <v>7734.9999999999991</v>
      </c>
    </row>
    <row r="35" spans="5:9" x14ac:dyDescent="0.2">
      <c r="E35" s="3">
        <v>45474</v>
      </c>
      <c r="F35">
        <f t="shared" si="0"/>
        <v>2024</v>
      </c>
      <c r="G35" s="4">
        <v>2.5833333333333299</v>
      </c>
      <c r="H35" s="5">
        <v>1</v>
      </c>
      <c r="I35" s="1">
        <f t="shared" si="1"/>
        <v>7734.9999999999991</v>
      </c>
    </row>
    <row r="36" spans="5:9" x14ac:dyDescent="0.2">
      <c r="E36" s="3">
        <v>45505</v>
      </c>
      <c r="F36">
        <f t="shared" si="0"/>
        <v>2024</v>
      </c>
      <c r="G36" s="4">
        <v>2.6666666666666701</v>
      </c>
      <c r="H36" s="5">
        <v>1</v>
      </c>
      <c r="I36" s="1">
        <f t="shared" si="1"/>
        <v>7734.9999999999991</v>
      </c>
    </row>
    <row r="37" spans="5:9" x14ac:dyDescent="0.2">
      <c r="E37" s="3">
        <v>45536</v>
      </c>
      <c r="F37">
        <f t="shared" si="0"/>
        <v>2024</v>
      </c>
      <c r="G37" s="4">
        <v>2.75</v>
      </c>
      <c r="H37" s="5">
        <v>1</v>
      </c>
      <c r="I37" s="1">
        <f t="shared" si="1"/>
        <v>7734.9999999999991</v>
      </c>
    </row>
    <row r="38" spans="5:9" x14ac:dyDescent="0.2">
      <c r="E38" s="3">
        <v>45566</v>
      </c>
      <c r="F38">
        <f t="shared" si="0"/>
        <v>2024</v>
      </c>
      <c r="G38" s="4">
        <v>2.8333333333333299</v>
      </c>
      <c r="H38" s="5">
        <v>1</v>
      </c>
      <c r="I38" s="1">
        <f t="shared" ref="I38:I69" si="2">IF((F38-F37)&lt;1,1,(1+$B$6))*I37*IF(H38-H37=1,1+$B$7,1)</f>
        <v>7734.9999999999991</v>
      </c>
    </row>
    <row r="39" spans="5:9" x14ac:dyDescent="0.2">
      <c r="E39" s="3">
        <v>45597</v>
      </c>
      <c r="F39">
        <f t="shared" si="0"/>
        <v>2024</v>
      </c>
      <c r="G39" s="4">
        <v>2.9166666666666701</v>
      </c>
      <c r="H39" s="5">
        <v>1</v>
      </c>
      <c r="I39" s="1">
        <f t="shared" si="2"/>
        <v>7734.9999999999991</v>
      </c>
    </row>
    <row r="40" spans="5:9" x14ac:dyDescent="0.2">
      <c r="E40" s="3">
        <v>45627</v>
      </c>
      <c r="F40">
        <f t="shared" si="0"/>
        <v>2024</v>
      </c>
      <c r="G40" s="4">
        <v>3</v>
      </c>
      <c r="H40" s="5">
        <v>1</v>
      </c>
      <c r="I40" s="1">
        <f t="shared" si="2"/>
        <v>7734.9999999999991</v>
      </c>
    </row>
    <row r="41" spans="5:9" x14ac:dyDescent="0.2">
      <c r="E41" s="3">
        <v>45658</v>
      </c>
      <c r="F41">
        <f t="shared" si="0"/>
        <v>2025</v>
      </c>
      <c r="G41" s="4">
        <v>3.0833333333333299</v>
      </c>
      <c r="H41" s="5">
        <v>1</v>
      </c>
      <c r="I41" s="1">
        <f t="shared" si="2"/>
        <v>8044.4</v>
      </c>
    </row>
    <row r="42" spans="5:9" x14ac:dyDescent="0.2">
      <c r="E42" s="3">
        <v>45689</v>
      </c>
      <c r="F42">
        <f t="shared" si="0"/>
        <v>2025</v>
      </c>
      <c r="G42" s="4">
        <v>3.1666666666666701</v>
      </c>
      <c r="H42" s="5">
        <v>1</v>
      </c>
      <c r="I42" s="1">
        <f t="shared" si="2"/>
        <v>8044.4</v>
      </c>
    </row>
    <row r="43" spans="5:9" x14ac:dyDescent="0.2">
      <c r="E43" s="3">
        <v>45717</v>
      </c>
      <c r="F43">
        <f t="shared" si="0"/>
        <v>2025</v>
      </c>
      <c r="G43" s="4">
        <v>3.25</v>
      </c>
      <c r="H43" s="5">
        <v>1</v>
      </c>
      <c r="I43" s="1">
        <f t="shared" si="2"/>
        <v>8044.4</v>
      </c>
    </row>
    <row r="44" spans="5:9" x14ac:dyDescent="0.2">
      <c r="E44" s="3">
        <v>45748</v>
      </c>
      <c r="F44">
        <f t="shared" si="0"/>
        <v>2025</v>
      </c>
      <c r="G44" s="4">
        <v>3.3333333333333299</v>
      </c>
      <c r="H44" s="5">
        <v>1</v>
      </c>
      <c r="I44" s="1">
        <f t="shared" si="2"/>
        <v>8044.4</v>
      </c>
    </row>
    <row r="45" spans="5:9" x14ac:dyDescent="0.2">
      <c r="E45" s="3">
        <v>45778</v>
      </c>
      <c r="F45">
        <f t="shared" si="0"/>
        <v>2025</v>
      </c>
      <c r="G45" s="4">
        <v>3.4166666666666701</v>
      </c>
      <c r="H45" s="5">
        <v>1</v>
      </c>
      <c r="I45" s="1">
        <f t="shared" si="2"/>
        <v>8044.4</v>
      </c>
    </row>
    <row r="46" spans="5:9" x14ac:dyDescent="0.2">
      <c r="E46" s="3">
        <v>45809</v>
      </c>
      <c r="F46">
        <f t="shared" si="0"/>
        <v>2025</v>
      </c>
      <c r="G46" s="4">
        <v>3.5</v>
      </c>
      <c r="H46" s="5">
        <v>1</v>
      </c>
      <c r="I46" s="1">
        <f t="shared" si="2"/>
        <v>8044.4</v>
      </c>
    </row>
    <row r="47" spans="5:9" x14ac:dyDescent="0.2">
      <c r="E47" s="3">
        <v>45839</v>
      </c>
      <c r="F47">
        <f>YEAR(E47)</f>
        <v>2025</v>
      </c>
      <c r="G47" s="4">
        <v>3.5833333333333299</v>
      </c>
      <c r="H47" s="5">
        <v>1</v>
      </c>
      <c r="I47" s="1">
        <f t="shared" si="2"/>
        <v>8044.4</v>
      </c>
    </row>
    <row r="48" spans="5:9" x14ac:dyDescent="0.2">
      <c r="E48" s="3">
        <v>45870</v>
      </c>
      <c r="F48">
        <f t="shared" si="0"/>
        <v>2025</v>
      </c>
      <c r="G48" s="4">
        <v>3.6666666666666701</v>
      </c>
      <c r="H48" s="5">
        <v>1</v>
      </c>
      <c r="I48" s="1">
        <f t="shared" si="2"/>
        <v>8044.4</v>
      </c>
    </row>
    <row r="49" spans="5:9" x14ac:dyDescent="0.2">
      <c r="E49" s="3">
        <v>45901</v>
      </c>
      <c r="F49">
        <f t="shared" si="0"/>
        <v>2025</v>
      </c>
      <c r="G49" s="4">
        <v>3.75</v>
      </c>
      <c r="H49" s="5">
        <v>1</v>
      </c>
      <c r="I49" s="1">
        <f t="shared" si="2"/>
        <v>8044.4</v>
      </c>
    </row>
    <row r="50" spans="5:9" x14ac:dyDescent="0.2">
      <c r="E50" s="3">
        <v>45931</v>
      </c>
      <c r="F50">
        <f t="shared" si="0"/>
        <v>2025</v>
      </c>
      <c r="G50" s="4">
        <v>3.8333333333333299</v>
      </c>
      <c r="H50" s="5">
        <v>1</v>
      </c>
      <c r="I50" s="1">
        <f t="shared" si="2"/>
        <v>8044.4</v>
      </c>
    </row>
    <row r="51" spans="5:9" x14ac:dyDescent="0.2">
      <c r="E51" s="3">
        <v>45962</v>
      </c>
      <c r="F51">
        <f t="shared" si="0"/>
        <v>2025</v>
      </c>
      <c r="G51" s="4">
        <v>3.9166666666666701</v>
      </c>
      <c r="H51" s="5">
        <v>1</v>
      </c>
      <c r="I51" s="1">
        <f t="shared" si="2"/>
        <v>8044.4</v>
      </c>
    </row>
    <row r="52" spans="5:9" x14ac:dyDescent="0.2">
      <c r="E52" s="3">
        <v>45992</v>
      </c>
      <c r="F52">
        <f t="shared" si="0"/>
        <v>2025</v>
      </c>
      <c r="G52" s="4">
        <v>4</v>
      </c>
      <c r="H52" s="5">
        <v>1</v>
      </c>
      <c r="I52" s="1">
        <f t="shared" si="2"/>
        <v>8044.4</v>
      </c>
    </row>
    <row r="53" spans="5:9" x14ac:dyDescent="0.2">
      <c r="E53" s="3">
        <v>46023</v>
      </c>
      <c r="F53">
        <f t="shared" si="0"/>
        <v>2026</v>
      </c>
      <c r="G53" s="4">
        <v>4.0833333333333304</v>
      </c>
      <c r="H53" s="6">
        <v>2</v>
      </c>
      <c r="I53" s="1">
        <f t="shared" si="2"/>
        <v>9572.8359999999993</v>
      </c>
    </row>
    <row r="54" spans="5:9" x14ac:dyDescent="0.2">
      <c r="E54" s="3">
        <v>46054</v>
      </c>
      <c r="F54">
        <f t="shared" si="0"/>
        <v>2026</v>
      </c>
      <c r="G54" s="4">
        <v>4.1666666666666696</v>
      </c>
      <c r="H54" s="6">
        <v>2</v>
      </c>
      <c r="I54" s="1">
        <f t="shared" si="2"/>
        <v>9572.8359999999993</v>
      </c>
    </row>
    <row r="55" spans="5:9" x14ac:dyDescent="0.2">
      <c r="E55" s="3">
        <v>46082</v>
      </c>
      <c r="F55">
        <f t="shared" si="0"/>
        <v>2026</v>
      </c>
      <c r="G55" s="4">
        <v>4.25</v>
      </c>
      <c r="H55" s="6">
        <v>2</v>
      </c>
      <c r="I55" s="1">
        <f t="shared" si="2"/>
        <v>9572.8359999999993</v>
      </c>
    </row>
    <row r="56" spans="5:9" x14ac:dyDescent="0.2">
      <c r="E56" s="3">
        <v>46113</v>
      </c>
      <c r="F56">
        <f t="shared" si="0"/>
        <v>2026</v>
      </c>
      <c r="G56" s="4">
        <v>4.3333333333333304</v>
      </c>
      <c r="H56" s="6">
        <v>2</v>
      </c>
      <c r="I56" s="1">
        <f t="shared" si="2"/>
        <v>9572.8359999999993</v>
      </c>
    </row>
    <row r="57" spans="5:9" x14ac:dyDescent="0.2">
      <c r="E57" s="3">
        <v>46143</v>
      </c>
      <c r="F57">
        <f t="shared" si="0"/>
        <v>2026</v>
      </c>
      <c r="G57" s="4">
        <v>4.4166666666666696</v>
      </c>
      <c r="H57" s="6">
        <v>2</v>
      </c>
      <c r="I57" s="1">
        <f t="shared" si="2"/>
        <v>9572.8359999999993</v>
      </c>
    </row>
    <row r="58" spans="5:9" x14ac:dyDescent="0.2">
      <c r="E58" s="3">
        <v>46174</v>
      </c>
      <c r="F58">
        <f t="shared" si="0"/>
        <v>2026</v>
      </c>
      <c r="G58" s="4">
        <v>4.5</v>
      </c>
      <c r="H58" s="6">
        <v>2</v>
      </c>
      <c r="I58" s="1">
        <f t="shared" si="2"/>
        <v>9572.8359999999993</v>
      </c>
    </row>
    <row r="59" spans="5:9" x14ac:dyDescent="0.2">
      <c r="E59" s="3">
        <v>46204</v>
      </c>
      <c r="F59">
        <f t="shared" si="0"/>
        <v>2026</v>
      </c>
      <c r="G59" s="4">
        <v>4.5833333333333304</v>
      </c>
      <c r="H59" s="6">
        <v>2</v>
      </c>
      <c r="I59" s="1">
        <f t="shared" si="2"/>
        <v>9572.8359999999993</v>
      </c>
    </row>
    <row r="60" spans="5:9" x14ac:dyDescent="0.2">
      <c r="E60" s="3">
        <v>46235</v>
      </c>
      <c r="F60">
        <f t="shared" si="0"/>
        <v>2026</v>
      </c>
      <c r="G60" s="4">
        <v>4.6666666666666696</v>
      </c>
      <c r="H60" s="6">
        <v>2</v>
      </c>
      <c r="I60" s="1">
        <f t="shared" si="2"/>
        <v>9572.8359999999993</v>
      </c>
    </row>
    <row r="61" spans="5:9" x14ac:dyDescent="0.2">
      <c r="E61" s="3">
        <v>46266</v>
      </c>
      <c r="F61">
        <f t="shared" si="0"/>
        <v>2026</v>
      </c>
      <c r="G61" s="4">
        <v>4.75</v>
      </c>
      <c r="H61" s="6">
        <v>2</v>
      </c>
      <c r="I61" s="1">
        <f t="shared" si="2"/>
        <v>9572.8359999999993</v>
      </c>
    </row>
    <row r="62" spans="5:9" x14ac:dyDescent="0.2">
      <c r="E62" s="3">
        <v>46296</v>
      </c>
      <c r="F62">
        <f t="shared" si="0"/>
        <v>2026</v>
      </c>
      <c r="G62" s="4">
        <v>4.8333333333333304</v>
      </c>
      <c r="H62" s="6">
        <v>2</v>
      </c>
      <c r="I62" s="1">
        <f t="shared" si="2"/>
        <v>9572.8359999999993</v>
      </c>
    </row>
    <row r="63" spans="5:9" x14ac:dyDescent="0.2">
      <c r="E63" s="3">
        <v>46327</v>
      </c>
      <c r="F63">
        <f t="shared" si="0"/>
        <v>2026</v>
      </c>
      <c r="G63" s="4">
        <v>4.9166666666666696</v>
      </c>
      <c r="H63" s="6">
        <v>2</v>
      </c>
      <c r="I63" s="1">
        <f t="shared" si="2"/>
        <v>9572.8359999999993</v>
      </c>
    </row>
    <row r="64" spans="5:9" x14ac:dyDescent="0.2">
      <c r="E64" s="3">
        <v>46357</v>
      </c>
      <c r="F64">
        <f t="shared" si="0"/>
        <v>2026</v>
      </c>
      <c r="G64" s="4">
        <v>5</v>
      </c>
      <c r="H64" s="6">
        <v>2</v>
      </c>
      <c r="I64" s="1">
        <f t="shared" si="2"/>
        <v>9572.8359999999993</v>
      </c>
    </row>
    <row r="65" spans="5:9" x14ac:dyDescent="0.2">
      <c r="E65" s="3">
        <v>46388</v>
      </c>
      <c r="F65">
        <f t="shared" si="0"/>
        <v>2027</v>
      </c>
      <c r="G65" s="4">
        <v>5.0833333333333304</v>
      </c>
      <c r="H65" s="6">
        <v>2</v>
      </c>
      <c r="I65" s="1">
        <f t="shared" si="2"/>
        <v>9955.7494399999996</v>
      </c>
    </row>
    <row r="66" spans="5:9" x14ac:dyDescent="0.2">
      <c r="E66" s="3">
        <v>46419</v>
      </c>
      <c r="F66">
        <f t="shared" si="0"/>
        <v>2027</v>
      </c>
      <c r="G66" s="4">
        <v>5.1666666666666696</v>
      </c>
      <c r="H66" s="6">
        <v>2</v>
      </c>
      <c r="I66" s="1">
        <f t="shared" si="2"/>
        <v>9955.7494399999996</v>
      </c>
    </row>
    <row r="67" spans="5:9" x14ac:dyDescent="0.2">
      <c r="E67" s="3">
        <v>46447</v>
      </c>
      <c r="F67">
        <f t="shared" si="0"/>
        <v>2027</v>
      </c>
      <c r="G67" s="4">
        <v>5.25</v>
      </c>
      <c r="H67" s="6">
        <v>2</v>
      </c>
      <c r="I67" s="1">
        <f t="shared" si="2"/>
        <v>9955.7494399999996</v>
      </c>
    </row>
    <row r="68" spans="5:9" x14ac:dyDescent="0.2">
      <c r="E68" s="3">
        <v>46478</v>
      </c>
      <c r="F68">
        <f t="shared" si="0"/>
        <v>2027</v>
      </c>
      <c r="G68" s="4">
        <v>5.3333333333333304</v>
      </c>
      <c r="H68" s="6">
        <v>2</v>
      </c>
      <c r="I68" s="1">
        <f t="shared" si="2"/>
        <v>9955.7494399999996</v>
      </c>
    </row>
    <row r="69" spans="5:9" x14ac:dyDescent="0.2">
      <c r="E69" s="3">
        <v>46508</v>
      </c>
      <c r="F69">
        <f t="shared" si="0"/>
        <v>2027</v>
      </c>
      <c r="G69" s="4">
        <v>5.4166666666666696</v>
      </c>
      <c r="H69" s="6">
        <v>2</v>
      </c>
      <c r="I69" s="1">
        <f t="shared" si="2"/>
        <v>9955.7494399999996</v>
      </c>
    </row>
    <row r="70" spans="5:9" x14ac:dyDescent="0.2">
      <c r="E70" s="3">
        <v>46539</v>
      </c>
      <c r="F70">
        <f t="shared" ref="F70:F101" si="3">YEAR(E70)</f>
        <v>2027</v>
      </c>
      <c r="G70" s="4">
        <v>5.5</v>
      </c>
      <c r="H70" s="6">
        <v>2</v>
      </c>
      <c r="I70" s="1">
        <f t="shared" ref="I70:I101" si="4">IF((F70-F69)&lt;1,1,(1+$B$6))*I69*IF(H70-H69=1,1+$B$7,1)</f>
        <v>9955.7494399999996</v>
      </c>
    </row>
    <row r="71" spans="5:9" x14ac:dyDescent="0.2">
      <c r="E71" s="3">
        <v>46569</v>
      </c>
      <c r="F71">
        <f t="shared" si="3"/>
        <v>2027</v>
      </c>
      <c r="G71" s="4">
        <v>5.5833333333333304</v>
      </c>
      <c r="H71" s="6">
        <v>2</v>
      </c>
      <c r="I71" s="1">
        <f t="shared" si="4"/>
        <v>9955.7494399999996</v>
      </c>
    </row>
    <row r="72" spans="5:9" x14ac:dyDescent="0.2">
      <c r="E72" s="3">
        <v>46600</v>
      </c>
      <c r="F72">
        <f t="shared" si="3"/>
        <v>2027</v>
      </c>
      <c r="G72" s="4">
        <v>5.6666666666666696</v>
      </c>
      <c r="H72" s="6">
        <v>2</v>
      </c>
      <c r="I72" s="1">
        <f t="shared" si="4"/>
        <v>9955.7494399999996</v>
      </c>
    </row>
    <row r="73" spans="5:9" x14ac:dyDescent="0.2">
      <c r="E73" s="3">
        <v>46631</v>
      </c>
      <c r="F73">
        <f t="shared" si="3"/>
        <v>2027</v>
      </c>
      <c r="G73" s="4">
        <v>5.75</v>
      </c>
      <c r="H73" s="6">
        <v>2</v>
      </c>
      <c r="I73" s="1">
        <f t="shared" si="4"/>
        <v>9955.7494399999996</v>
      </c>
    </row>
    <row r="74" spans="5:9" x14ac:dyDescent="0.2">
      <c r="E74" s="3">
        <v>46661</v>
      </c>
      <c r="F74">
        <f t="shared" si="3"/>
        <v>2027</v>
      </c>
      <c r="G74" s="4">
        <v>5.8333333333333304</v>
      </c>
      <c r="H74" s="6">
        <v>2</v>
      </c>
      <c r="I74" s="1">
        <f t="shared" si="4"/>
        <v>9955.7494399999996</v>
      </c>
    </row>
    <row r="75" spans="5:9" x14ac:dyDescent="0.2">
      <c r="E75" s="3">
        <v>46692</v>
      </c>
      <c r="F75">
        <f t="shared" si="3"/>
        <v>2027</v>
      </c>
      <c r="G75" s="4">
        <v>5.9166666666666696</v>
      </c>
      <c r="H75" s="6">
        <v>2</v>
      </c>
      <c r="I75" s="1">
        <f t="shared" si="4"/>
        <v>9955.7494399999996</v>
      </c>
    </row>
    <row r="76" spans="5:9" x14ac:dyDescent="0.2">
      <c r="E76" s="3">
        <v>46722</v>
      </c>
      <c r="F76">
        <f t="shared" si="3"/>
        <v>2027</v>
      </c>
      <c r="G76" s="4">
        <v>6</v>
      </c>
      <c r="H76" s="6">
        <v>2</v>
      </c>
      <c r="I76" s="1">
        <f t="shared" si="4"/>
        <v>9955.7494399999996</v>
      </c>
    </row>
    <row r="77" spans="5:9" x14ac:dyDescent="0.2">
      <c r="E77" s="3">
        <v>46753</v>
      </c>
      <c r="F77">
        <f t="shared" si="3"/>
        <v>2028</v>
      </c>
      <c r="G77" s="4">
        <v>6.0833333333333304</v>
      </c>
      <c r="H77" s="7">
        <v>3</v>
      </c>
      <c r="I77" s="1">
        <f t="shared" si="4"/>
        <v>11847.3418336</v>
      </c>
    </row>
    <row r="78" spans="5:9" x14ac:dyDescent="0.2">
      <c r="E78" s="3">
        <v>46784</v>
      </c>
      <c r="F78">
        <f t="shared" si="3"/>
        <v>2028</v>
      </c>
      <c r="G78" s="4">
        <v>6.1666666666666696</v>
      </c>
      <c r="H78" s="7">
        <v>3</v>
      </c>
      <c r="I78" s="1">
        <f t="shared" si="4"/>
        <v>11847.3418336</v>
      </c>
    </row>
    <row r="79" spans="5:9" x14ac:dyDescent="0.2">
      <c r="E79" s="3">
        <v>46813</v>
      </c>
      <c r="F79">
        <f t="shared" si="3"/>
        <v>2028</v>
      </c>
      <c r="G79" s="4">
        <v>6.25</v>
      </c>
      <c r="H79" s="7">
        <v>3</v>
      </c>
      <c r="I79" s="1">
        <f t="shared" si="4"/>
        <v>11847.3418336</v>
      </c>
    </row>
    <row r="80" spans="5:9" x14ac:dyDescent="0.2">
      <c r="E80" s="3">
        <v>46844</v>
      </c>
      <c r="F80">
        <f t="shared" si="3"/>
        <v>2028</v>
      </c>
      <c r="G80" s="4">
        <v>6.3333333333333304</v>
      </c>
      <c r="H80" s="7">
        <v>3</v>
      </c>
      <c r="I80" s="1">
        <f t="shared" si="4"/>
        <v>11847.3418336</v>
      </c>
    </row>
    <row r="81" spans="5:9" x14ac:dyDescent="0.2">
      <c r="E81" s="3">
        <v>46874</v>
      </c>
      <c r="F81">
        <f t="shared" si="3"/>
        <v>2028</v>
      </c>
      <c r="G81" s="4">
        <v>6.4166666666666696</v>
      </c>
      <c r="H81" s="7">
        <v>3</v>
      </c>
      <c r="I81" s="1">
        <f t="shared" si="4"/>
        <v>11847.3418336</v>
      </c>
    </row>
    <row r="82" spans="5:9" x14ac:dyDescent="0.2">
      <c r="E82" s="3">
        <v>46905</v>
      </c>
      <c r="F82">
        <f t="shared" si="3"/>
        <v>2028</v>
      </c>
      <c r="G82" s="4">
        <v>6.5</v>
      </c>
      <c r="H82" s="7">
        <v>3</v>
      </c>
      <c r="I82" s="1">
        <f t="shared" si="4"/>
        <v>11847.3418336</v>
      </c>
    </row>
    <row r="83" spans="5:9" x14ac:dyDescent="0.2">
      <c r="E83" s="3">
        <v>46935</v>
      </c>
      <c r="F83">
        <f t="shared" si="3"/>
        <v>2028</v>
      </c>
      <c r="G83" s="4">
        <v>6.5833333333333304</v>
      </c>
      <c r="H83" s="7">
        <v>3</v>
      </c>
      <c r="I83" s="1">
        <f t="shared" si="4"/>
        <v>11847.3418336</v>
      </c>
    </row>
    <row r="84" spans="5:9" x14ac:dyDescent="0.2">
      <c r="E84" s="3">
        <v>46966</v>
      </c>
      <c r="F84">
        <f t="shared" si="3"/>
        <v>2028</v>
      </c>
      <c r="G84" s="4">
        <v>6.6666666666666696</v>
      </c>
      <c r="H84" s="7">
        <v>3</v>
      </c>
      <c r="I84" s="1">
        <f t="shared" si="4"/>
        <v>11847.3418336</v>
      </c>
    </row>
    <row r="85" spans="5:9" x14ac:dyDescent="0.2">
      <c r="E85" s="3">
        <v>46997</v>
      </c>
      <c r="F85">
        <f t="shared" si="3"/>
        <v>2028</v>
      </c>
      <c r="G85" s="4">
        <v>6.75</v>
      </c>
      <c r="H85" s="7">
        <v>3</v>
      </c>
      <c r="I85" s="1">
        <f t="shared" si="4"/>
        <v>11847.3418336</v>
      </c>
    </row>
    <row r="86" spans="5:9" x14ac:dyDescent="0.2">
      <c r="E86" s="3">
        <v>47027</v>
      </c>
      <c r="F86">
        <f t="shared" si="3"/>
        <v>2028</v>
      </c>
      <c r="G86" s="4">
        <v>6.8333333333333304</v>
      </c>
      <c r="H86" s="7">
        <v>3</v>
      </c>
      <c r="I86" s="1">
        <f t="shared" si="4"/>
        <v>11847.3418336</v>
      </c>
    </row>
    <row r="87" spans="5:9" x14ac:dyDescent="0.2">
      <c r="E87" s="3">
        <v>47058</v>
      </c>
      <c r="F87">
        <f t="shared" si="3"/>
        <v>2028</v>
      </c>
      <c r="G87" s="4">
        <v>6.9166666666666696</v>
      </c>
      <c r="H87" s="7">
        <v>3</v>
      </c>
      <c r="I87" s="1">
        <f t="shared" si="4"/>
        <v>11847.3418336</v>
      </c>
    </row>
    <row r="88" spans="5:9" x14ac:dyDescent="0.2">
      <c r="E88" s="3">
        <v>47088</v>
      </c>
      <c r="F88">
        <f t="shared" si="3"/>
        <v>2028</v>
      </c>
      <c r="G88" s="4">
        <v>7</v>
      </c>
      <c r="H88" s="7">
        <v>3</v>
      </c>
      <c r="I88" s="1">
        <f t="shared" si="4"/>
        <v>11847.3418336</v>
      </c>
    </row>
    <row r="89" spans="5:9" x14ac:dyDescent="0.2">
      <c r="E89" s="3">
        <v>47119</v>
      </c>
      <c r="F89">
        <f t="shared" si="3"/>
        <v>2029</v>
      </c>
      <c r="G89" s="4">
        <v>7.0833333333333304</v>
      </c>
      <c r="H89" s="7">
        <v>3</v>
      </c>
      <c r="I89" s="1">
        <f t="shared" si="4"/>
        <v>12321.235506944</v>
      </c>
    </row>
    <row r="90" spans="5:9" x14ac:dyDescent="0.2">
      <c r="E90" s="3">
        <v>47150</v>
      </c>
      <c r="F90">
        <f t="shared" si="3"/>
        <v>2029</v>
      </c>
      <c r="G90" s="4">
        <v>7.1666666666666696</v>
      </c>
      <c r="H90" s="7">
        <v>3</v>
      </c>
      <c r="I90" s="1">
        <f t="shared" si="4"/>
        <v>12321.235506944</v>
      </c>
    </row>
    <row r="91" spans="5:9" x14ac:dyDescent="0.2">
      <c r="E91" s="3">
        <v>47178</v>
      </c>
      <c r="F91">
        <f t="shared" si="3"/>
        <v>2029</v>
      </c>
      <c r="G91" s="4">
        <v>7.25</v>
      </c>
      <c r="H91" s="7">
        <v>3</v>
      </c>
      <c r="I91" s="1">
        <f t="shared" si="4"/>
        <v>12321.235506944</v>
      </c>
    </row>
    <row r="92" spans="5:9" x14ac:dyDescent="0.2">
      <c r="E92" s="3">
        <v>47209</v>
      </c>
      <c r="F92">
        <f t="shared" si="3"/>
        <v>2029</v>
      </c>
      <c r="G92" s="4">
        <v>7.3333333333333304</v>
      </c>
      <c r="H92" s="7">
        <v>3</v>
      </c>
      <c r="I92" s="1">
        <f t="shared" si="4"/>
        <v>12321.235506944</v>
      </c>
    </row>
    <row r="93" spans="5:9" x14ac:dyDescent="0.2">
      <c r="E93" s="3">
        <v>47239</v>
      </c>
      <c r="F93">
        <f t="shared" si="3"/>
        <v>2029</v>
      </c>
      <c r="G93" s="4">
        <v>7.4166666666666696</v>
      </c>
      <c r="H93" s="7">
        <v>3</v>
      </c>
      <c r="I93" s="1">
        <f t="shared" si="4"/>
        <v>12321.235506944</v>
      </c>
    </row>
    <row r="94" spans="5:9" x14ac:dyDescent="0.2">
      <c r="E94" s="3">
        <v>47270</v>
      </c>
      <c r="F94">
        <f t="shared" si="3"/>
        <v>2029</v>
      </c>
      <c r="G94" s="4">
        <v>7.5</v>
      </c>
      <c r="H94" s="7">
        <v>3</v>
      </c>
      <c r="I94" s="1">
        <f t="shared" si="4"/>
        <v>12321.235506944</v>
      </c>
    </row>
    <row r="95" spans="5:9" x14ac:dyDescent="0.2">
      <c r="E95" s="3">
        <v>47300</v>
      </c>
      <c r="F95">
        <f t="shared" si="3"/>
        <v>2029</v>
      </c>
      <c r="G95" s="4">
        <v>7.5833333333333304</v>
      </c>
      <c r="H95" s="7">
        <v>3</v>
      </c>
      <c r="I95" s="1">
        <f t="shared" si="4"/>
        <v>12321.235506944</v>
      </c>
    </row>
    <row r="96" spans="5:9" x14ac:dyDescent="0.2">
      <c r="E96" s="3">
        <v>47331</v>
      </c>
      <c r="F96">
        <f t="shared" si="3"/>
        <v>2029</v>
      </c>
      <c r="G96" s="4">
        <v>7.6666666666666696</v>
      </c>
      <c r="H96" s="7">
        <v>3</v>
      </c>
      <c r="I96" s="1">
        <f t="shared" si="4"/>
        <v>12321.235506944</v>
      </c>
    </row>
    <row r="97" spans="5:9" x14ac:dyDescent="0.2">
      <c r="E97" s="3">
        <v>47362</v>
      </c>
      <c r="F97">
        <f t="shared" si="3"/>
        <v>2029</v>
      </c>
      <c r="G97" s="4">
        <v>7.75</v>
      </c>
      <c r="H97" s="7">
        <v>3</v>
      </c>
      <c r="I97" s="1">
        <f t="shared" si="4"/>
        <v>12321.235506944</v>
      </c>
    </row>
    <row r="98" spans="5:9" x14ac:dyDescent="0.2">
      <c r="E98" s="3">
        <v>47392</v>
      </c>
      <c r="F98">
        <f t="shared" si="3"/>
        <v>2029</v>
      </c>
      <c r="G98" s="4">
        <v>7.8333333333333304</v>
      </c>
      <c r="H98" s="7">
        <v>3</v>
      </c>
      <c r="I98" s="1">
        <f t="shared" si="4"/>
        <v>12321.235506944</v>
      </c>
    </row>
    <row r="99" spans="5:9" x14ac:dyDescent="0.2">
      <c r="E99" s="3">
        <v>47423</v>
      </c>
      <c r="F99">
        <f t="shared" si="3"/>
        <v>2029</v>
      </c>
      <c r="G99" s="4">
        <v>7.9166666666666696</v>
      </c>
      <c r="H99" s="7">
        <v>3</v>
      </c>
      <c r="I99" s="1">
        <f t="shared" si="4"/>
        <v>12321.235506944</v>
      </c>
    </row>
    <row r="100" spans="5:9" x14ac:dyDescent="0.2">
      <c r="E100" s="3">
        <v>47453</v>
      </c>
      <c r="F100">
        <f t="shared" si="3"/>
        <v>2029</v>
      </c>
      <c r="G100" s="4">
        <v>8</v>
      </c>
      <c r="H100" s="7">
        <v>3</v>
      </c>
      <c r="I100" s="1">
        <f t="shared" si="4"/>
        <v>12321.235506944</v>
      </c>
    </row>
    <row r="101" spans="5:9" x14ac:dyDescent="0.2">
      <c r="E101" s="3">
        <v>47484</v>
      </c>
      <c r="F101">
        <f t="shared" si="3"/>
        <v>2030</v>
      </c>
      <c r="G101" s="4">
        <v>8.0833333333333304</v>
      </c>
      <c r="H101" s="7">
        <v>3</v>
      </c>
      <c r="I101" s="1">
        <f t="shared" si="4"/>
        <v>12814.08492722176</v>
      </c>
    </row>
    <row r="102" spans="5:9" x14ac:dyDescent="0.2">
      <c r="E102" s="3">
        <v>47515</v>
      </c>
      <c r="F102">
        <f t="shared" ref="F102:F124" si="5">YEAR(E102)</f>
        <v>2030</v>
      </c>
      <c r="G102" s="4">
        <v>8.1666666666666696</v>
      </c>
      <c r="H102" s="7">
        <v>3</v>
      </c>
      <c r="I102" s="1">
        <f t="shared" ref="I102:I124" si="6">IF((F102-F101)&lt;1,1,(1+$B$6))*I101*IF(H102-H101=1,1+$B$7,1)</f>
        <v>12814.08492722176</v>
      </c>
    </row>
    <row r="103" spans="5:9" x14ac:dyDescent="0.2">
      <c r="E103" s="3">
        <v>47543</v>
      </c>
      <c r="F103">
        <f t="shared" si="5"/>
        <v>2030</v>
      </c>
      <c r="G103" s="4">
        <v>8.25</v>
      </c>
      <c r="H103" s="7">
        <v>3</v>
      </c>
      <c r="I103" s="1">
        <f t="shared" si="6"/>
        <v>12814.08492722176</v>
      </c>
    </row>
    <row r="104" spans="5:9" x14ac:dyDescent="0.2">
      <c r="E104" s="3">
        <v>47574</v>
      </c>
      <c r="F104">
        <f t="shared" si="5"/>
        <v>2030</v>
      </c>
      <c r="G104" s="4">
        <v>8.3333333333333304</v>
      </c>
      <c r="H104" s="7">
        <v>3</v>
      </c>
      <c r="I104" s="1">
        <f t="shared" si="6"/>
        <v>12814.08492722176</v>
      </c>
    </row>
    <row r="105" spans="5:9" x14ac:dyDescent="0.2">
      <c r="E105" s="3">
        <v>47604</v>
      </c>
      <c r="F105">
        <f t="shared" si="5"/>
        <v>2030</v>
      </c>
      <c r="G105" s="4">
        <v>8.4166666666666696</v>
      </c>
      <c r="H105" s="7">
        <v>3</v>
      </c>
      <c r="I105" s="1">
        <f t="shared" si="6"/>
        <v>12814.08492722176</v>
      </c>
    </row>
    <row r="106" spans="5:9" x14ac:dyDescent="0.2">
      <c r="E106" s="3">
        <v>47635</v>
      </c>
      <c r="F106">
        <f t="shared" si="5"/>
        <v>2030</v>
      </c>
      <c r="G106" s="4">
        <v>8.5</v>
      </c>
      <c r="H106" s="7">
        <v>3</v>
      </c>
      <c r="I106" s="1">
        <f t="shared" si="6"/>
        <v>12814.08492722176</v>
      </c>
    </row>
    <row r="107" spans="5:9" x14ac:dyDescent="0.2">
      <c r="E107" s="3">
        <v>47665</v>
      </c>
      <c r="F107">
        <f t="shared" si="5"/>
        <v>2030</v>
      </c>
      <c r="G107" s="4">
        <v>8.5833333333333304</v>
      </c>
      <c r="H107" s="7">
        <v>3</v>
      </c>
      <c r="I107" s="1">
        <f t="shared" si="6"/>
        <v>12814.08492722176</v>
      </c>
    </row>
    <row r="108" spans="5:9" x14ac:dyDescent="0.2">
      <c r="E108" s="3">
        <v>47696</v>
      </c>
      <c r="F108">
        <f t="shared" si="5"/>
        <v>2030</v>
      </c>
      <c r="G108" s="4">
        <v>8.6666666666666696</v>
      </c>
      <c r="H108" s="7">
        <v>3</v>
      </c>
      <c r="I108" s="1">
        <f t="shared" si="6"/>
        <v>12814.08492722176</v>
      </c>
    </row>
    <row r="109" spans="5:9" x14ac:dyDescent="0.2">
      <c r="E109" s="3">
        <v>47727</v>
      </c>
      <c r="F109">
        <f t="shared" si="5"/>
        <v>2030</v>
      </c>
      <c r="G109" s="4">
        <v>8.75</v>
      </c>
      <c r="H109" s="7">
        <v>3</v>
      </c>
      <c r="I109" s="1">
        <f t="shared" si="6"/>
        <v>12814.08492722176</v>
      </c>
    </row>
    <row r="110" spans="5:9" x14ac:dyDescent="0.2">
      <c r="E110" s="3">
        <v>47757</v>
      </c>
      <c r="F110">
        <f t="shared" si="5"/>
        <v>2030</v>
      </c>
      <c r="G110" s="4">
        <v>8.8333333333333304</v>
      </c>
      <c r="H110" s="7">
        <v>3</v>
      </c>
      <c r="I110" s="1">
        <f t="shared" si="6"/>
        <v>12814.08492722176</v>
      </c>
    </row>
    <row r="111" spans="5:9" x14ac:dyDescent="0.2">
      <c r="E111" s="3">
        <v>47788</v>
      </c>
      <c r="F111">
        <f t="shared" si="5"/>
        <v>2030</v>
      </c>
      <c r="G111" s="4">
        <v>8.9166666666666696</v>
      </c>
      <c r="H111" s="7">
        <v>3</v>
      </c>
      <c r="I111" s="1">
        <f t="shared" si="6"/>
        <v>12814.08492722176</v>
      </c>
    </row>
    <row r="112" spans="5:9" x14ac:dyDescent="0.2">
      <c r="E112" s="3">
        <v>47818</v>
      </c>
      <c r="F112">
        <f t="shared" si="5"/>
        <v>2030</v>
      </c>
      <c r="G112" s="4">
        <v>9</v>
      </c>
      <c r="H112" s="7">
        <v>3</v>
      </c>
      <c r="I112" s="1">
        <f t="shared" si="6"/>
        <v>12814.08492722176</v>
      </c>
    </row>
    <row r="113" spans="5:9" x14ac:dyDescent="0.2">
      <c r="E113" s="3">
        <v>47849</v>
      </c>
      <c r="F113">
        <f t="shared" si="5"/>
        <v>2031</v>
      </c>
      <c r="G113" s="4">
        <v>9.0833333333333304</v>
      </c>
      <c r="H113" s="7">
        <v>3</v>
      </c>
      <c r="I113" s="1">
        <f t="shared" si="6"/>
        <v>13326.64832431063</v>
      </c>
    </row>
    <row r="114" spans="5:9" x14ac:dyDescent="0.2">
      <c r="E114" s="3">
        <v>47880</v>
      </c>
      <c r="F114">
        <f t="shared" si="5"/>
        <v>2031</v>
      </c>
      <c r="G114" s="4">
        <v>9.1666666666666696</v>
      </c>
      <c r="H114" s="7">
        <v>3</v>
      </c>
      <c r="I114" s="1">
        <f t="shared" si="6"/>
        <v>13326.64832431063</v>
      </c>
    </row>
    <row r="115" spans="5:9" x14ac:dyDescent="0.2">
      <c r="E115" s="3">
        <v>47908</v>
      </c>
      <c r="F115">
        <f t="shared" si="5"/>
        <v>2031</v>
      </c>
      <c r="G115" s="4">
        <v>9.25</v>
      </c>
      <c r="H115" s="7">
        <v>3</v>
      </c>
      <c r="I115" s="1">
        <f t="shared" si="6"/>
        <v>13326.64832431063</v>
      </c>
    </row>
    <row r="116" spans="5:9" x14ac:dyDescent="0.2">
      <c r="E116" s="3">
        <v>47939</v>
      </c>
      <c r="F116">
        <f t="shared" si="5"/>
        <v>2031</v>
      </c>
      <c r="G116" s="4">
        <v>9.3333333333333304</v>
      </c>
      <c r="H116" s="7">
        <v>3</v>
      </c>
      <c r="I116" s="1">
        <f t="shared" si="6"/>
        <v>13326.64832431063</v>
      </c>
    </row>
    <row r="117" spans="5:9" x14ac:dyDescent="0.2">
      <c r="E117" s="3">
        <v>47969</v>
      </c>
      <c r="F117">
        <f t="shared" si="5"/>
        <v>2031</v>
      </c>
      <c r="G117" s="4">
        <v>9.4166666666666696</v>
      </c>
      <c r="H117" s="7">
        <v>3</v>
      </c>
      <c r="I117" s="1">
        <f t="shared" si="6"/>
        <v>13326.64832431063</v>
      </c>
    </row>
    <row r="118" spans="5:9" x14ac:dyDescent="0.2">
      <c r="E118" s="3">
        <v>48000</v>
      </c>
      <c r="F118">
        <f t="shared" si="5"/>
        <v>2031</v>
      </c>
      <c r="G118" s="4">
        <v>9.5</v>
      </c>
      <c r="H118" s="7">
        <v>3</v>
      </c>
      <c r="I118" s="1">
        <f t="shared" si="6"/>
        <v>13326.64832431063</v>
      </c>
    </row>
    <row r="119" spans="5:9" x14ac:dyDescent="0.2">
      <c r="E119" s="3">
        <v>48030</v>
      </c>
      <c r="F119">
        <f t="shared" si="5"/>
        <v>2031</v>
      </c>
      <c r="G119" s="4">
        <v>9.5833333333333304</v>
      </c>
      <c r="H119" s="7">
        <v>3</v>
      </c>
      <c r="I119" s="1">
        <f t="shared" si="6"/>
        <v>13326.64832431063</v>
      </c>
    </row>
    <row r="120" spans="5:9" x14ac:dyDescent="0.2">
      <c r="E120" s="3">
        <v>48061</v>
      </c>
      <c r="F120">
        <f t="shared" si="5"/>
        <v>2031</v>
      </c>
      <c r="G120" s="4">
        <v>9.6666666666666696</v>
      </c>
      <c r="H120" s="7">
        <v>3</v>
      </c>
      <c r="I120" s="1">
        <f t="shared" si="6"/>
        <v>13326.64832431063</v>
      </c>
    </row>
    <row r="121" spans="5:9" x14ac:dyDescent="0.2">
      <c r="E121" s="3">
        <v>48092</v>
      </c>
      <c r="F121">
        <f t="shared" si="5"/>
        <v>2031</v>
      </c>
      <c r="G121" s="4">
        <v>9.75</v>
      </c>
      <c r="H121" s="7">
        <v>3</v>
      </c>
      <c r="I121" s="1">
        <f t="shared" si="6"/>
        <v>13326.64832431063</v>
      </c>
    </row>
    <row r="122" spans="5:9" x14ac:dyDescent="0.2">
      <c r="E122" s="3">
        <v>48122</v>
      </c>
      <c r="F122">
        <f t="shared" si="5"/>
        <v>2031</v>
      </c>
      <c r="G122" s="4">
        <v>9.8333333333333304</v>
      </c>
      <c r="H122" s="7">
        <v>3</v>
      </c>
      <c r="I122" s="1">
        <f t="shared" si="6"/>
        <v>13326.64832431063</v>
      </c>
    </row>
    <row r="123" spans="5:9" x14ac:dyDescent="0.2">
      <c r="E123" s="3">
        <v>48153</v>
      </c>
      <c r="F123">
        <f t="shared" si="5"/>
        <v>2031</v>
      </c>
      <c r="G123" s="4">
        <v>9.9166666666666696</v>
      </c>
      <c r="H123" s="7">
        <v>3</v>
      </c>
      <c r="I123" s="1">
        <f t="shared" si="6"/>
        <v>13326.64832431063</v>
      </c>
    </row>
    <row r="124" spans="5:9" x14ac:dyDescent="0.2">
      <c r="E124" s="3">
        <v>48183</v>
      </c>
      <c r="F124">
        <f t="shared" si="5"/>
        <v>2031</v>
      </c>
      <c r="G124" s="4">
        <v>10</v>
      </c>
      <c r="H124" s="7">
        <v>3</v>
      </c>
      <c r="I124" s="1">
        <f t="shared" si="6"/>
        <v>13326.64832431063</v>
      </c>
    </row>
    <row r="125" spans="5:9" x14ac:dyDescent="0.2">
      <c r="E125" s="3"/>
      <c r="G125" s="4"/>
      <c r="H125" s="8"/>
      <c r="I125" s="1"/>
    </row>
  </sheetData>
  <mergeCells count="2">
    <mergeCell ref="A2:I2"/>
    <mergeCell ref="E3:I3"/>
  </mergeCells>
  <hyperlinks>
    <hyperlink ref="A27" location="Answers!A1" display="Back to answers" xr:uid="{7A33DFB5-5D4E-674B-94D8-5AF3051215A1}"/>
  </hyperlinks>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359CF-12CE-C645-BAF0-C4261305CF49}">
  <sheetPr codeName="Sheet4"/>
  <dimension ref="A1:G23"/>
  <sheetViews>
    <sheetView showGridLines="0" showRowColHeaders="0" zoomScale="216" zoomScaleNormal="216" workbookViewId="0">
      <selection activeCell="A23" sqref="A23"/>
    </sheetView>
  </sheetViews>
  <sheetFormatPr baseColWidth="10" defaultRowHeight="16" x14ac:dyDescent="0.2"/>
  <cols>
    <col min="1" max="1" width="14.33203125" customWidth="1"/>
  </cols>
  <sheetData>
    <row r="1" spans="1:7" x14ac:dyDescent="0.2">
      <c r="A1" s="6" t="s">
        <v>69</v>
      </c>
      <c r="B1" s="6"/>
    </row>
    <row r="2" spans="1:7" x14ac:dyDescent="0.2">
      <c r="A2" t="s">
        <v>70</v>
      </c>
    </row>
    <row r="3" spans="1:7" x14ac:dyDescent="0.2">
      <c r="A3" t="s">
        <v>71</v>
      </c>
    </row>
    <row r="5" spans="1:7" x14ac:dyDescent="0.2">
      <c r="A5" s="61" t="s">
        <v>166</v>
      </c>
      <c r="B5" s="62"/>
      <c r="C5" s="62"/>
      <c r="D5" s="62"/>
      <c r="E5" s="62"/>
      <c r="F5" s="62"/>
      <c r="G5" s="62"/>
    </row>
    <row r="6" spans="1:7" x14ac:dyDescent="0.2">
      <c r="A6" s="62"/>
      <c r="B6" s="62"/>
      <c r="C6" s="62"/>
      <c r="D6" s="62"/>
      <c r="E6" s="62"/>
      <c r="F6" s="62"/>
      <c r="G6" s="62"/>
    </row>
    <row r="7" spans="1:7" x14ac:dyDescent="0.2">
      <c r="A7" s="62"/>
      <c r="B7" s="62"/>
      <c r="C7" s="62"/>
      <c r="D7" s="62"/>
      <c r="E7" s="62"/>
      <c r="F7" s="62"/>
      <c r="G7" s="62"/>
    </row>
    <row r="8" spans="1:7" x14ac:dyDescent="0.2">
      <c r="A8" s="62"/>
      <c r="B8" s="62"/>
      <c r="C8" s="62"/>
      <c r="D8" s="62"/>
      <c r="E8" s="62"/>
      <c r="F8" s="62"/>
      <c r="G8" s="62"/>
    </row>
    <row r="9" spans="1:7" x14ac:dyDescent="0.2">
      <c r="A9" s="62"/>
      <c r="B9" s="62"/>
      <c r="C9" s="62"/>
      <c r="D9" s="62"/>
      <c r="E9" s="62"/>
      <c r="F9" s="62"/>
      <c r="G9" s="62"/>
    </row>
    <row r="10" spans="1:7" x14ac:dyDescent="0.2">
      <c r="A10" s="62"/>
      <c r="B10" s="62"/>
      <c r="C10" s="62"/>
      <c r="D10" s="62"/>
      <c r="E10" s="62"/>
      <c r="F10" s="62"/>
      <c r="G10" s="62"/>
    </row>
    <row r="11" spans="1:7" x14ac:dyDescent="0.2">
      <c r="A11" s="62"/>
      <c r="B11" s="62"/>
      <c r="C11" s="62"/>
      <c r="D11" s="62"/>
      <c r="E11" s="62"/>
      <c r="F11" s="62"/>
      <c r="G11" s="62"/>
    </row>
    <row r="12" spans="1:7" x14ac:dyDescent="0.2">
      <c r="A12" s="62"/>
      <c r="B12" s="62"/>
      <c r="C12" s="62"/>
      <c r="D12" s="62"/>
      <c r="E12" s="62"/>
      <c r="F12" s="62"/>
      <c r="G12" s="62"/>
    </row>
    <row r="13" spans="1:7" x14ac:dyDescent="0.2">
      <c r="A13" s="62"/>
      <c r="B13" s="62"/>
      <c r="C13" s="62"/>
      <c r="D13" s="62"/>
      <c r="E13" s="62"/>
      <c r="F13" s="62"/>
      <c r="G13" s="62"/>
    </row>
    <row r="14" spans="1:7" x14ac:dyDescent="0.2">
      <c r="A14" s="62"/>
      <c r="B14" s="62"/>
      <c r="C14" s="62"/>
      <c r="D14" s="62"/>
      <c r="E14" s="62"/>
      <c r="F14" s="62"/>
      <c r="G14" s="62"/>
    </row>
    <row r="15" spans="1:7" x14ac:dyDescent="0.2">
      <c r="A15" s="62"/>
      <c r="B15" s="62"/>
      <c r="C15" s="62"/>
      <c r="D15" s="62"/>
      <c r="E15" s="62"/>
      <c r="F15" s="62"/>
      <c r="G15" s="62"/>
    </row>
    <row r="16" spans="1:7" x14ac:dyDescent="0.2">
      <c r="A16" s="62"/>
      <c r="B16" s="62"/>
      <c r="C16" s="62"/>
      <c r="D16" s="62"/>
      <c r="E16" s="62"/>
      <c r="F16" s="62"/>
      <c r="G16" s="62"/>
    </row>
    <row r="17" spans="1:7" x14ac:dyDescent="0.2">
      <c r="A17" s="62"/>
      <c r="B17" s="62"/>
      <c r="C17" s="62"/>
      <c r="D17" s="62"/>
      <c r="E17" s="62"/>
      <c r="F17" s="62"/>
      <c r="G17" s="62"/>
    </row>
    <row r="18" spans="1:7" x14ac:dyDescent="0.2">
      <c r="A18" s="62"/>
      <c r="B18" s="62"/>
      <c r="C18" s="62"/>
      <c r="D18" s="62"/>
      <c r="E18" s="62"/>
      <c r="F18" s="62"/>
      <c r="G18" s="62"/>
    </row>
    <row r="19" spans="1:7" x14ac:dyDescent="0.2">
      <c r="A19" s="62"/>
      <c r="B19" s="62"/>
      <c r="C19" s="62"/>
      <c r="D19" s="62"/>
      <c r="E19" s="62"/>
      <c r="F19" s="62"/>
      <c r="G19" s="62"/>
    </row>
    <row r="20" spans="1:7" x14ac:dyDescent="0.2">
      <c r="A20" s="62"/>
      <c r="B20" s="62"/>
      <c r="C20" s="62"/>
      <c r="D20" s="62"/>
      <c r="E20" s="62"/>
      <c r="F20" s="62"/>
      <c r="G20" s="62"/>
    </row>
    <row r="21" spans="1:7" x14ac:dyDescent="0.2">
      <c r="A21" s="62"/>
      <c r="B21" s="62"/>
      <c r="C21" s="62"/>
      <c r="D21" s="62"/>
      <c r="E21" s="62"/>
      <c r="F21" s="62"/>
      <c r="G21" s="62"/>
    </row>
    <row r="23" spans="1:7" x14ac:dyDescent="0.2">
      <c r="A23" s="16" t="s">
        <v>67</v>
      </c>
    </row>
  </sheetData>
  <mergeCells count="1">
    <mergeCell ref="A5:G21"/>
  </mergeCells>
  <hyperlinks>
    <hyperlink ref="A23" location="Answers!A1" display="Back to answers" xr:uid="{1B792923-34BA-DE4A-812B-002644888203}"/>
  </hyperlink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2C237-355B-2148-8AE9-DC7260155167}">
  <sheetPr codeName="Sheet5"/>
  <dimension ref="A1:K132"/>
  <sheetViews>
    <sheetView showGridLines="0" showRowColHeaders="0" zoomScale="134" workbookViewId="0">
      <selection activeCell="E11" sqref="E11"/>
    </sheetView>
  </sheetViews>
  <sheetFormatPr baseColWidth="10" defaultRowHeight="16" x14ac:dyDescent="0.2"/>
  <cols>
    <col min="5" max="5" width="14" customWidth="1"/>
  </cols>
  <sheetData>
    <row r="1" spans="1:5" x14ac:dyDescent="0.2">
      <c r="A1" s="6" t="s">
        <v>75</v>
      </c>
      <c r="B1" s="6"/>
    </row>
    <row r="2" spans="1:5" x14ac:dyDescent="0.2">
      <c r="A2" t="s">
        <v>76</v>
      </c>
    </row>
    <row r="3" spans="1:5" x14ac:dyDescent="0.2">
      <c r="A3" t="s">
        <v>77</v>
      </c>
    </row>
    <row r="4" spans="1:5" x14ac:dyDescent="0.2">
      <c r="A4" t="s">
        <v>78</v>
      </c>
    </row>
    <row r="6" spans="1:5" x14ac:dyDescent="0.2">
      <c r="A6" s="6" t="s">
        <v>19</v>
      </c>
      <c r="B6" s="6"/>
    </row>
    <row r="7" spans="1:5" x14ac:dyDescent="0.2">
      <c r="A7" t="s">
        <v>20</v>
      </c>
    </row>
    <row r="8" spans="1:5" x14ac:dyDescent="0.2">
      <c r="A8" t="s">
        <v>21</v>
      </c>
    </row>
    <row r="9" spans="1:5" x14ac:dyDescent="0.2">
      <c r="A9" t="s">
        <v>22</v>
      </c>
    </row>
    <row r="11" spans="1:5" x14ac:dyDescent="0.2">
      <c r="A11" t="s">
        <v>6</v>
      </c>
      <c r="B11" t="s">
        <v>18</v>
      </c>
      <c r="C11" t="s">
        <v>60</v>
      </c>
      <c r="E11" s="16" t="s">
        <v>67</v>
      </c>
    </row>
    <row r="12" spans="1:5" x14ac:dyDescent="0.2">
      <c r="A12" s="20">
        <v>0</v>
      </c>
      <c r="B12" s="20">
        <f>2.524/100</f>
        <v>2.5239999999999999E-2</v>
      </c>
      <c r="C12" s="20"/>
    </row>
    <row r="13" spans="1:5" x14ac:dyDescent="0.2">
      <c r="A13" s="18">
        <v>8.3333333333333329E-2</v>
      </c>
      <c r="B13" s="19" cm="1">
        <f t="array" ref="B13">yieldplot(A13)</f>
        <v>2.5169405870225696E-2</v>
      </c>
      <c r="C13" s="5">
        <f>(1+B13/12)^(A13*12)/(1+B12/12)^(A12*12)-1</f>
        <v>2.0974504891855261E-3</v>
      </c>
    </row>
    <row r="14" spans="1:5" x14ac:dyDescent="0.2">
      <c r="A14" s="18">
        <v>0.16666666666666666</v>
      </c>
      <c r="B14" s="19" cm="1">
        <f t="array" ref="B14">yieldplot(A14)</f>
        <v>2.5105948350694445E-2</v>
      </c>
      <c r="C14" s="5">
        <f>(1+B14/12)^(A14*12)/(1+B13/12)^(A13*12)-1</f>
        <v>2.0868742638358029E-3</v>
      </c>
    </row>
    <row r="15" spans="1:5" x14ac:dyDescent="0.2">
      <c r="A15" s="5">
        <v>0.25</v>
      </c>
      <c r="B15" s="19" cm="1">
        <f t="array" ref="B15">yieldplot(A15)</f>
        <v>2.5049520996093748E-2</v>
      </c>
      <c r="C15" s="5">
        <f t="shared" ref="C15:C78" si="0">(1+B15/12)^(A15*12)/(1+B14/12)^(A14*12)-1</f>
        <v>2.0780555901038777E-3</v>
      </c>
    </row>
    <row r="16" spans="1:5" x14ac:dyDescent="0.2">
      <c r="A16" s="18">
        <v>0.33333333333333298</v>
      </c>
      <c r="B16" s="19" cm="1">
        <f t="array" ref="B16">yieldplot(A16)</f>
        <v>2.5000017361111113E-2</v>
      </c>
      <c r="C16" s="5">
        <f t="shared" si="0"/>
        <v>2.0709589732423872E-3</v>
      </c>
    </row>
    <row r="17" spans="1:3" x14ac:dyDescent="0.2">
      <c r="A17" s="18">
        <v>0.41666666666666702</v>
      </c>
      <c r="B17" s="19" cm="1">
        <f t="array" ref="B17">yieldplot(A17)</f>
        <v>2.4957331000434027E-2</v>
      </c>
      <c r="C17" s="5">
        <f t="shared" si="0"/>
        <v>2.0655489227494606E-3</v>
      </c>
    </row>
    <row r="18" spans="1:3" x14ac:dyDescent="0.2">
      <c r="A18" s="5">
        <v>0.5</v>
      </c>
      <c r="B18" s="19" cm="1">
        <f t="array" ref="B18">yieldplot(A18)</f>
        <v>2.4921355468749996E-2</v>
      </c>
      <c r="C18" s="5">
        <f t="shared" si="0"/>
        <v>2.061789952064963E-3</v>
      </c>
    </row>
    <row r="19" spans="1:3" x14ac:dyDescent="0.2">
      <c r="A19" s="18">
        <v>0.58333333333333304</v>
      </c>
      <c r="B19" s="19" cm="1">
        <f t="array" ref="B19">yieldplot(A19)</f>
        <v>2.4891984320746529E-2</v>
      </c>
      <c r="C19" s="5">
        <f t="shared" si="0"/>
        <v>2.0596465782707352E-3</v>
      </c>
    </row>
    <row r="20" spans="1:3" x14ac:dyDescent="0.2">
      <c r="A20" s="18">
        <v>0.66666666666666696</v>
      </c>
      <c r="B20" s="19" cm="1">
        <f t="array" ref="B20">yieldplot(A20)</f>
        <v>2.4869111111111109E-2</v>
      </c>
      <c r="C20" s="5">
        <f t="shared" si="0"/>
        <v>2.059083321824362E-3</v>
      </c>
    </row>
    <row r="21" spans="1:3" x14ac:dyDescent="0.2">
      <c r="A21" s="5">
        <v>0.75</v>
      </c>
      <c r="B21" s="19" cm="1">
        <f t="array" ref="B21">yieldplot(A21)</f>
        <v>2.4852629394531246E-2</v>
      </c>
      <c r="C21" s="5">
        <f t="shared" si="0"/>
        <v>2.0600647062616328E-3</v>
      </c>
    </row>
    <row r="22" spans="1:3" x14ac:dyDescent="0.2">
      <c r="A22" s="18">
        <v>0.83333333333333304</v>
      </c>
      <c r="B22" s="19" cm="1">
        <f t="array" ref="B22">yieldplot(A22)</f>
        <v>2.484243272569445E-2</v>
      </c>
      <c r="C22" s="5">
        <f t="shared" si="0"/>
        <v>2.0625552579389694E-3</v>
      </c>
    </row>
    <row r="23" spans="1:3" x14ac:dyDescent="0.2">
      <c r="A23" s="18">
        <v>0.91666666666666696</v>
      </c>
      <c r="B23" s="19" cm="1">
        <f t="array" ref="B23">yieldplot(A23)</f>
        <v>2.483841465928819E-2</v>
      </c>
      <c r="C23" s="5">
        <f t="shared" si="0"/>
        <v>2.0665195057547603E-3</v>
      </c>
    </row>
    <row r="24" spans="1:3" x14ac:dyDescent="0.2">
      <c r="A24" s="5">
        <v>1</v>
      </c>
      <c r="B24" s="19" cm="1">
        <f t="array" ref="B24">yieldplot(A24)</f>
        <v>2.4840468749999997E-2</v>
      </c>
      <c r="C24" s="5">
        <f t="shared" si="0"/>
        <v>2.0719219809155476E-3</v>
      </c>
    </row>
    <row r="25" spans="1:3" x14ac:dyDescent="0.2">
      <c r="A25" s="18">
        <v>1.0833333333333299</v>
      </c>
      <c r="B25" s="19" cm="1">
        <f t="array" ref="B25">yieldplot(A25)</f>
        <v>2.4848488552517357E-2</v>
      </c>
      <c r="C25" s="5">
        <f t="shared" si="0"/>
        <v>2.0787272166604698E-3</v>
      </c>
    </row>
    <row r="26" spans="1:3" x14ac:dyDescent="0.2">
      <c r="A26" s="18">
        <v>1.1666666666666701</v>
      </c>
      <c r="B26" s="19" cm="1">
        <f t="array" ref="B26">yieldplot(A26)</f>
        <v>2.4862367621527784E-2</v>
      </c>
      <c r="C26" s="5">
        <f t="shared" si="0"/>
        <v>2.0868997480358864E-3</v>
      </c>
    </row>
    <row r="27" spans="1:3" x14ac:dyDescent="0.2">
      <c r="A27" s="5">
        <v>1.25</v>
      </c>
      <c r="B27" s="19" cm="1">
        <f t="array" ref="B27">yieldplot(A27)</f>
        <v>2.4881999511718746E-2</v>
      </c>
      <c r="C27" s="5">
        <f t="shared" si="0"/>
        <v>2.0964041116484644E-3</v>
      </c>
    </row>
    <row r="28" spans="1:3" x14ac:dyDescent="0.2">
      <c r="A28" s="18">
        <v>1.3333333333333299</v>
      </c>
      <c r="B28" s="19" cm="1">
        <f t="array" ref="B28">yieldplot(A28)</f>
        <v>2.4907277777777771E-2</v>
      </c>
      <c r="C28" s="5">
        <f t="shared" si="0"/>
        <v>2.1072048454513492E-3</v>
      </c>
    </row>
    <row r="29" spans="1:3" x14ac:dyDescent="0.2">
      <c r="A29" s="18">
        <v>1.4166666666666701</v>
      </c>
      <c r="B29" s="19" cm="1">
        <f t="array" ref="B29">yieldplot(A29)</f>
        <v>2.4938095974392355E-2</v>
      </c>
      <c r="C29" s="5">
        <f t="shared" si="0"/>
        <v>2.1192664885008039E-3</v>
      </c>
    </row>
    <row r="30" spans="1:3" x14ac:dyDescent="0.2">
      <c r="A30" s="5">
        <v>1.5</v>
      </c>
      <c r="B30" s="19" cm="1">
        <f t="array" ref="B30">yieldplot(A30)</f>
        <v>2.497434765625E-2</v>
      </c>
      <c r="C30" s="5">
        <f t="shared" si="0"/>
        <v>2.1325535807692475E-3</v>
      </c>
    </row>
    <row r="31" spans="1:3" x14ac:dyDescent="0.2">
      <c r="A31" s="18">
        <v>1.5833333333333299</v>
      </c>
      <c r="B31" s="19" cm="1">
        <f t="array" ref="B31">yieldplot(A31)</f>
        <v>2.5015926378038188E-2</v>
      </c>
      <c r="C31" s="5">
        <f t="shared" si="0"/>
        <v>2.1470306628996738E-3</v>
      </c>
    </row>
    <row r="32" spans="1:3" x14ac:dyDescent="0.2">
      <c r="A32" s="18">
        <v>1.6666666666666701</v>
      </c>
      <c r="B32" s="19" cm="1">
        <f t="array" ref="B32">yieldplot(A32)</f>
        <v>2.5062725694444451E-2</v>
      </c>
      <c r="C32" s="5">
        <f t="shared" si="0"/>
        <v>2.1626622760517744E-3</v>
      </c>
    </row>
    <row r="33" spans="1:11" x14ac:dyDescent="0.2">
      <c r="A33" s="5">
        <v>1.75</v>
      </c>
      <c r="B33" s="19" cm="1">
        <f t="array" ref="B33">yieldplot(A33)</f>
        <v>2.5114639160156247E-2</v>
      </c>
      <c r="C33" s="5">
        <f t="shared" si="0"/>
        <v>2.1794129616661273E-3</v>
      </c>
    </row>
    <row r="34" spans="1:11" x14ac:dyDescent="0.2">
      <c r="A34" s="18">
        <v>1.8333333333333299</v>
      </c>
      <c r="B34" s="19" cm="1">
        <f t="array" ref="B34">yieldplot(A34)</f>
        <v>2.5171560329861106E-2</v>
      </c>
      <c r="C34" s="5">
        <f t="shared" si="0"/>
        <v>2.1972472613127625E-3</v>
      </c>
    </row>
    <row r="35" spans="1:11" x14ac:dyDescent="0.2">
      <c r="A35" s="18">
        <v>1.9166666666666701</v>
      </c>
      <c r="B35" s="19" cm="1">
        <f t="array" ref="B35">yieldplot(A35)</f>
        <v>2.5233382758246534E-2</v>
      </c>
      <c r="C35" s="5">
        <f t="shared" si="0"/>
        <v>2.2161297164744465E-3</v>
      </c>
    </row>
    <row r="36" spans="1:11" x14ac:dyDescent="0.2">
      <c r="A36" s="20">
        <v>2</v>
      </c>
      <c r="B36" s="21" cm="1">
        <f t="array" ref="B36">yieldplot(A36)</f>
        <v>2.53E-2</v>
      </c>
      <c r="C36" s="20">
        <f t="shared" si="0"/>
        <v>2.2360248684192285E-3</v>
      </c>
    </row>
    <row r="37" spans="1:11" x14ac:dyDescent="0.2">
      <c r="A37" s="18">
        <v>2.0833333333333299</v>
      </c>
      <c r="B37" s="19" cm="1">
        <f t="array" ref="B37">yieldplot(A37)</f>
        <v>2.5371305609809019E-2</v>
      </c>
      <c r="C37" s="5">
        <f t="shared" si="0"/>
        <v>2.2568972579832813E-3</v>
      </c>
    </row>
    <row r="38" spans="1:11" x14ac:dyDescent="0.2">
      <c r="A38" s="18">
        <v>2.1666666666666701</v>
      </c>
      <c r="B38" s="19" cm="1">
        <f t="array" ref="B38">yieldplot(A38)</f>
        <v>2.5447193142361112E-2</v>
      </c>
      <c r="C38" s="5">
        <f t="shared" si="0"/>
        <v>2.2787114254683161E-3</v>
      </c>
    </row>
    <row r="39" spans="1:11" x14ac:dyDescent="0.2">
      <c r="A39" s="5">
        <v>2.25</v>
      </c>
      <c r="B39" s="19" cm="1">
        <f t="array" ref="B39">yieldplot(A39)</f>
        <v>2.5527556152343752E-2</v>
      </c>
      <c r="C39" s="5">
        <f t="shared" si="0"/>
        <v>2.3014319104484038E-3</v>
      </c>
    </row>
    <row r="40" spans="1:11" x14ac:dyDescent="0.2">
      <c r="A40" s="18">
        <v>2.3333333333333299</v>
      </c>
      <c r="B40" s="19" cm="1">
        <f t="array" ref="B40">yieldplot(A40)</f>
        <v>2.5612288194444437E-2</v>
      </c>
      <c r="C40" s="5">
        <f t="shared" si="0"/>
        <v>2.3250232516418556E-3</v>
      </c>
    </row>
    <row r="41" spans="1:11" x14ac:dyDescent="0.2">
      <c r="A41" s="18">
        <v>2.4166666666666701</v>
      </c>
      <c r="B41" s="19" cm="1">
        <f t="array" ref="B41">yieldplot(A41)</f>
        <v>2.5701282823350699E-2</v>
      </c>
      <c r="C41" s="5">
        <f t="shared" si="0"/>
        <v>2.3494499867762197E-3</v>
      </c>
    </row>
    <row r="42" spans="1:11" x14ac:dyDescent="0.2">
      <c r="A42" s="5">
        <v>2.5</v>
      </c>
      <c r="B42" s="19" cm="1">
        <f t="array" ref="B42">yieldplot(A42)</f>
        <v>2.5794433593749996E-2</v>
      </c>
      <c r="C42" s="5">
        <f t="shared" si="0"/>
        <v>2.3746766524583851E-3</v>
      </c>
    </row>
    <row r="43" spans="1:11" x14ac:dyDescent="0.2">
      <c r="A43" s="18">
        <v>2.5833333333333299</v>
      </c>
      <c r="B43" s="19" cm="1">
        <f t="array" ref="B43">yieldplot(A43)</f>
        <v>2.5891634060329852E-2</v>
      </c>
      <c r="C43" s="5">
        <f t="shared" si="0"/>
        <v>2.4006677840235913E-3</v>
      </c>
      <c r="E43" s="61" t="s">
        <v>79</v>
      </c>
      <c r="F43" s="62"/>
      <c r="G43" s="62"/>
      <c r="H43" s="62"/>
      <c r="I43" s="62"/>
      <c r="J43" s="62"/>
      <c r="K43" s="62"/>
    </row>
    <row r="44" spans="1:11" x14ac:dyDescent="0.2">
      <c r="A44" s="18">
        <v>2.6666666666666701</v>
      </c>
      <c r="B44" s="19" cm="1">
        <f t="array" ref="B44">yieldplot(A44)</f>
        <v>2.5992777777777781E-2</v>
      </c>
      <c r="C44" s="5">
        <f t="shared" si="0"/>
        <v>2.4273879154894651E-3</v>
      </c>
      <c r="E44" s="62"/>
      <c r="F44" s="62"/>
      <c r="G44" s="62"/>
      <c r="H44" s="62"/>
      <c r="I44" s="62"/>
      <c r="J44" s="62"/>
      <c r="K44" s="62"/>
    </row>
    <row r="45" spans="1:11" x14ac:dyDescent="0.2">
      <c r="A45" s="5">
        <v>2.75</v>
      </c>
      <c r="B45" s="19" cm="1">
        <f t="array" ref="B45">yieldplot(A45)</f>
        <v>2.6097758300781253E-2</v>
      </c>
      <c r="C45" s="5">
        <f t="shared" si="0"/>
        <v>2.454801579378163E-3</v>
      </c>
      <c r="E45" s="62"/>
      <c r="F45" s="62"/>
      <c r="G45" s="62"/>
      <c r="H45" s="62"/>
      <c r="I45" s="62"/>
      <c r="J45" s="62"/>
      <c r="K45" s="62"/>
    </row>
    <row r="46" spans="1:11" x14ac:dyDescent="0.2">
      <c r="A46" s="18">
        <v>2.8333333333333299</v>
      </c>
      <c r="B46" s="19" cm="1">
        <f t="array" ref="B46">yieldplot(A46)</f>
        <v>2.6206469184027772E-2</v>
      </c>
      <c r="C46" s="5">
        <f t="shared" si="0"/>
        <v>2.4828733066197817E-3</v>
      </c>
      <c r="E46" s="62"/>
      <c r="F46" s="62"/>
      <c r="G46" s="62"/>
      <c r="H46" s="62"/>
      <c r="I46" s="62"/>
      <c r="J46" s="62"/>
      <c r="K46" s="62"/>
    </row>
    <row r="47" spans="1:11" x14ac:dyDescent="0.2">
      <c r="A47" s="18">
        <v>2.9166666666666701</v>
      </c>
      <c r="B47" s="19" cm="1">
        <f t="array" ref="B47">yieldplot(A47)</f>
        <v>2.6318803982204864E-2</v>
      </c>
      <c r="C47" s="5">
        <f t="shared" si="0"/>
        <v>2.511567626528155E-3</v>
      </c>
      <c r="E47" s="62"/>
      <c r="F47" s="62"/>
      <c r="G47" s="62"/>
      <c r="H47" s="62"/>
      <c r="I47" s="62"/>
      <c r="J47" s="62"/>
      <c r="K47" s="62"/>
    </row>
    <row r="48" spans="1:11" x14ac:dyDescent="0.2">
      <c r="A48" s="5">
        <v>3</v>
      </c>
      <c r="B48" s="19" cm="1">
        <f t="array" ref="B48">yieldplot(A48)</f>
        <v>2.6434656249999997E-2</v>
      </c>
      <c r="C48" s="5">
        <f t="shared" si="0"/>
        <v>2.5408490666110062E-3</v>
      </c>
    </row>
    <row r="49" spans="1:3" x14ac:dyDescent="0.2">
      <c r="A49" s="18">
        <v>3.0833333333333299</v>
      </c>
      <c r="B49" s="19" cm="1">
        <f t="array" ref="B49">yieldplot(A49)</f>
        <v>2.6553919542100686E-2</v>
      </c>
      <c r="C49" s="5">
        <f t="shared" si="0"/>
        <v>2.5706821525692813E-3</v>
      </c>
    </row>
    <row r="50" spans="1:3" x14ac:dyDescent="0.2">
      <c r="A50" s="18">
        <v>3.1666666666666701</v>
      </c>
      <c r="B50" s="19" cm="1">
        <f t="array" ref="B50">yieldplot(A50)</f>
        <v>2.6676487413194446E-2</v>
      </c>
      <c r="C50" s="5">
        <f t="shared" si="0"/>
        <v>2.6010314082001162E-3</v>
      </c>
    </row>
    <row r="51" spans="1:3" x14ac:dyDescent="0.2">
      <c r="A51" s="5">
        <v>3.25</v>
      </c>
      <c r="B51" s="19" cm="1">
        <f t="array" ref="B51">yieldplot(A51)</f>
        <v>2.6802253417968755E-2</v>
      </c>
      <c r="C51" s="5">
        <f t="shared" si="0"/>
        <v>2.6318613553255599E-3</v>
      </c>
    </row>
    <row r="52" spans="1:3" x14ac:dyDescent="0.2">
      <c r="A52" s="18">
        <v>3.3333333333333299</v>
      </c>
      <c r="B52" s="19" cm="1">
        <f t="array" ref="B52">yieldplot(A52)</f>
        <v>2.6931111111111107E-2</v>
      </c>
      <c r="C52" s="5">
        <f t="shared" si="0"/>
        <v>2.6631365137015361E-3</v>
      </c>
    </row>
    <row r="53" spans="1:3" x14ac:dyDescent="0.2">
      <c r="A53" s="18">
        <v>3.4166666666666701</v>
      </c>
      <c r="B53" s="19" cm="1">
        <f t="array" ref="B53">yieldplot(A53)</f>
        <v>2.7062954047309039E-2</v>
      </c>
      <c r="C53" s="5">
        <f t="shared" si="0"/>
        <v>2.6948214010511506E-3</v>
      </c>
    </row>
    <row r="54" spans="1:3" x14ac:dyDescent="0.2">
      <c r="A54" s="5">
        <v>3.5</v>
      </c>
      <c r="B54" s="19" cm="1">
        <f t="array" ref="B54">yieldplot(A54)</f>
        <v>2.719767578125E-2</v>
      </c>
      <c r="C54" s="5">
        <f t="shared" si="0"/>
        <v>2.7268805329270229E-3</v>
      </c>
    </row>
    <row r="55" spans="1:3" x14ac:dyDescent="0.2">
      <c r="A55" s="18">
        <v>3.5833333333333299</v>
      </c>
      <c r="B55" s="19" cm="1">
        <f t="array" ref="B55">yieldplot(A55)</f>
        <v>2.7335169867621512E-2</v>
      </c>
      <c r="C55" s="5">
        <f t="shared" si="0"/>
        <v>2.7592784227545852E-3</v>
      </c>
    </row>
    <row r="56" spans="1:3" x14ac:dyDescent="0.2">
      <c r="A56" s="18">
        <v>3.6666666666666701</v>
      </c>
      <c r="B56" s="19" cm="1">
        <f t="array" ref="B56">yieldplot(A56)</f>
        <v>2.747532986111112E-2</v>
      </c>
      <c r="C56" s="5">
        <f t="shared" si="0"/>
        <v>2.7919795817039628E-3</v>
      </c>
    </row>
    <row r="57" spans="1:3" x14ac:dyDescent="0.2">
      <c r="A57" s="5">
        <v>3.75</v>
      </c>
      <c r="B57" s="19" cm="1">
        <f t="array" ref="B57">yieldplot(A57)</f>
        <v>2.7618049316406244E-2</v>
      </c>
      <c r="C57" s="5">
        <f t="shared" si="0"/>
        <v>2.8249485187885615E-3</v>
      </c>
    </row>
    <row r="58" spans="1:3" x14ac:dyDescent="0.2">
      <c r="A58" s="18">
        <v>3.8333333333333299</v>
      </c>
      <c r="B58" s="19" cm="1">
        <f t="array" ref="B58">yieldplot(A58)</f>
        <v>2.7763221788194438E-2</v>
      </c>
      <c r="C58" s="5">
        <f t="shared" si="0"/>
        <v>2.858149740715854E-3</v>
      </c>
    </row>
    <row r="59" spans="1:3" x14ac:dyDescent="0.2">
      <c r="A59" s="18">
        <v>3.9166666666666701</v>
      </c>
      <c r="B59" s="19" cm="1">
        <f t="array" ref="B59">yieldplot(A59)</f>
        <v>2.7910740831163204E-2</v>
      </c>
      <c r="C59" s="5">
        <f t="shared" si="0"/>
        <v>2.8915477520079502E-3</v>
      </c>
    </row>
    <row r="60" spans="1:3" x14ac:dyDescent="0.2">
      <c r="A60" s="5">
        <v>4</v>
      </c>
      <c r="B60" s="19" cm="1">
        <f t="array" ref="B60">yieldplot(A60)</f>
        <v>2.8060499999999999E-2</v>
      </c>
      <c r="C60" s="5">
        <f t="shared" si="0"/>
        <v>2.9251070549058955E-3</v>
      </c>
    </row>
    <row r="61" spans="1:3" x14ac:dyDescent="0.2">
      <c r="A61" s="18">
        <v>4.0833333333333304</v>
      </c>
      <c r="B61" s="19" cm="1">
        <f t="array" ref="B61">yieldplot(A61)</f>
        <v>2.8212392849392354E-2</v>
      </c>
      <c r="C61" s="5">
        <f t="shared" si="0"/>
        <v>2.958792149398759E-3</v>
      </c>
    </row>
    <row r="62" spans="1:3" x14ac:dyDescent="0.2">
      <c r="A62" s="18">
        <v>4.1666666666666696</v>
      </c>
      <c r="B62" s="19" cm="1">
        <f t="array" ref="B62">yieldplot(A62)</f>
        <v>2.8366312934027783E-2</v>
      </c>
      <c r="C62" s="5">
        <f t="shared" si="0"/>
        <v>2.9925675332440616E-3</v>
      </c>
    </row>
    <row r="63" spans="1:3" x14ac:dyDescent="0.2">
      <c r="A63" s="5">
        <v>4.25</v>
      </c>
      <c r="B63" s="19" cm="1">
        <f t="array" ref="B63">yieldplot(A63)</f>
        <v>2.8522153808593749E-2</v>
      </c>
      <c r="C63" s="5">
        <f t="shared" si="0"/>
        <v>3.026397701999084E-3</v>
      </c>
    </row>
    <row r="64" spans="1:3" x14ac:dyDescent="0.2">
      <c r="A64" s="18">
        <v>4.3333333333333304</v>
      </c>
      <c r="B64" s="19" cm="1">
        <f t="array" ref="B64">yieldplot(A64)</f>
        <v>2.8679809027777781E-2</v>
      </c>
      <c r="C64" s="5">
        <f t="shared" si="0"/>
        <v>3.0602471490284167E-3</v>
      </c>
    </row>
    <row r="65" spans="1:3" x14ac:dyDescent="0.2">
      <c r="A65" s="18">
        <v>4.4166666666666696</v>
      </c>
      <c r="B65" s="19" cm="1">
        <f t="array" ref="B65">yieldplot(A65)</f>
        <v>2.8839172146267366E-2</v>
      </c>
      <c r="C65" s="5">
        <f t="shared" si="0"/>
        <v>3.0940803655286064E-3</v>
      </c>
    </row>
    <row r="66" spans="1:3" x14ac:dyDescent="0.2">
      <c r="A66" s="5">
        <v>4.5</v>
      </c>
      <c r="B66" s="19" cm="1">
        <f t="array" ref="B66">yieldplot(A66)</f>
        <v>2.9000136718750003E-2</v>
      </c>
      <c r="C66" s="5">
        <f t="shared" si="0"/>
        <v>3.1278618405619074E-3</v>
      </c>
    </row>
    <row r="67" spans="1:3" x14ac:dyDescent="0.2">
      <c r="A67" s="18">
        <v>4.5833333333333304</v>
      </c>
      <c r="B67" s="19" cm="1">
        <f t="array" ref="B67">yieldplot(A67)</f>
        <v>2.9162596299913187E-2</v>
      </c>
      <c r="C67" s="5">
        <f t="shared" si="0"/>
        <v>3.1615560611812921E-3</v>
      </c>
    </row>
    <row r="68" spans="1:3" x14ac:dyDescent="0.2">
      <c r="A68" s="18">
        <v>4.6666666666666696</v>
      </c>
      <c r="B68" s="19" cm="1">
        <f t="array" ref="B68">yieldplot(A68)</f>
        <v>2.9326444444444454E-2</v>
      </c>
      <c r="C68" s="5">
        <f t="shared" si="0"/>
        <v>3.1951275123554002E-3</v>
      </c>
    </row>
    <row r="69" spans="1:3" x14ac:dyDescent="0.2">
      <c r="A69" s="5">
        <v>4.75</v>
      </c>
      <c r="B69" s="19" cm="1">
        <f t="array" ref="B69">yieldplot(A69)</f>
        <v>2.9491574707031242E-2</v>
      </c>
      <c r="C69" s="5">
        <f t="shared" si="0"/>
        <v>3.2285406771306313E-3</v>
      </c>
    </row>
    <row r="70" spans="1:3" x14ac:dyDescent="0.2">
      <c r="A70" s="18">
        <v>4.8333333333333304</v>
      </c>
      <c r="B70" s="19" cm="1">
        <f t="array" ref="B70">yieldplot(A70)</f>
        <v>2.9657880642361106E-2</v>
      </c>
      <c r="C70" s="5">
        <f t="shared" si="0"/>
        <v>3.2617600366753319E-3</v>
      </c>
    </row>
    <row r="71" spans="1:3" x14ac:dyDescent="0.2">
      <c r="A71" s="18">
        <v>4.9166666666666696</v>
      </c>
      <c r="B71" s="19" cm="1">
        <f t="array" ref="B71">yieldplot(A71)</f>
        <v>2.9825255805121537E-2</v>
      </c>
      <c r="C71" s="5">
        <f t="shared" si="0"/>
        <v>3.2947500703370824E-3</v>
      </c>
    </row>
    <row r="72" spans="1:3" x14ac:dyDescent="0.2">
      <c r="A72" s="5">
        <v>5</v>
      </c>
      <c r="B72" s="19" cm="1">
        <f t="array" ref="B72">yieldplot(A72)</f>
        <v>2.9993593750000002E-2</v>
      </c>
      <c r="C72" s="5">
        <f t="shared" si="0"/>
        <v>3.3274752557022058E-3</v>
      </c>
    </row>
    <row r="73" spans="1:3" x14ac:dyDescent="0.2">
      <c r="A73" s="18">
        <v>5.0833333333333304</v>
      </c>
      <c r="B73" s="19" cm="1">
        <f t="array" ref="B73">yieldplot(A73)</f>
        <v>3.0162788031684019E-2</v>
      </c>
      <c r="C73" s="5">
        <f t="shared" si="0"/>
        <v>3.3599000687996039E-3</v>
      </c>
    </row>
    <row r="74" spans="1:3" x14ac:dyDescent="0.2">
      <c r="A74" s="18">
        <v>5.1666666666666696</v>
      </c>
      <c r="B74" s="19" cm="1">
        <f t="array" ref="B74">yieldplot(A74)</f>
        <v>3.0332732204861115E-2</v>
      </c>
      <c r="C74" s="5">
        <f t="shared" si="0"/>
        <v>3.3919889840217099E-3</v>
      </c>
    </row>
    <row r="75" spans="1:3" x14ac:dyDescent="0.2">
      <c r="A75" s="5">
        <v>5.25</v>
      </c>
      <c r="B75" s="19" cm="1">
        <f t="array" ref="B75">yieldplot(A75)</f>
        <v>3.0503319824218753E-2</v>
      </c>
      <c r="C75" s="5">
        <f t="shared" si="0"/>
        <v>3.4237064743904977E-3</v>
      </c>
    </row>
    <row r="76" spans="1:3" x14ac:dyDescent="0.2">
      <c r="A76" s="18">
        <v>5.3333333333333304</v>
      </c>
      <c r="B76" s="19" cm="1">
        <f t="array" ref="B76">yieldplot(A76)</f>
        <v>3.0674444444444438E-2</v>
      </c>
      <c r="C76" s="5">
        <f t="shared" si="0"/>
        <v>3.4550170115443812E-3</v>
      </c>
    </row>
    <row r="77" spans="1:3" x14ac:dyDescent="0.2">
      <c r="A77" s="18">
        <v>5.4166666666666696</v>
      </c>
      <c r="B77" s="19" cm="1">
        <f t="array" ref="B77">yieldplot(A77)</f>
        <v>3.0845999620225703E-2</v>
      </c>
      <c r="C77" s="5">
        <f t="shared" si="0"/>
        <v>3.4858850659724716E-3</v>
      </c>
    </row>
    <row r="78" spans="1:3" x14ac:dyDescent="0.2">
      <c r="A78" s="5">
        <v>5.5</v>
      </c>
      <c r="B78" s="19" cm="1">
        <f t="array" ref="B78">yieldplot(A78)</f>
        <v>3.1017878906249997E-2</v>
      </c>
      <c r="C78" s="5">
        <f t="shared" si="0"/>
        <v>3.5162751070034748E-3</v>
      </c>
    </row>
    <row r="79" spans="1:3" x14ac:dyDescent="0.2">
      <c r="A79" s="18">
        <v>5.5833333333333304</v>
      </c>
      <c r="B79" s="19" cm="1">
        <f t="array" ref="B79">yieldplot(A79)</f>
        <v>3.1189975857204847E-2</v>
      </c>
      <c r="C79" s="5">
        <f t="shared" ref="C79:C132" si="1">(1+B79/12)^(A79*12)/(1+B78/12)^(A78*12)-1</f>
        <v>3.5461516031083384E-3</v>
      </c>
    </row>
    <row r="80" spans="1:3" x14ac:dyDescent="0.2">
      <c r="A80" s="18">
        <v>5.6666666666666696</v>
      </c>
      <c r="B80" s="19" cm="1">
        <f t="array" ref="B80">yieldplot(A80)</f>
        <v>3.1362184027777788E-2</v>
      </c>
      <c r="C80" s="5">
        <f t="shared" si="1"/>
        <v>3.5754790218236465E-3</v>
      </c>
    </row>
    <row r="81" spans="1:3" x14ac:dyDescent="0.2">
      <c r="A81" s="5">
        <v>5.75</v>
      </c>
      <c r="B81" s="19" cm="1">
        <f t="array" ref="B81">yieldplot(A81)</f>
        <v>3.1534396972656246E-2</v>
      </c>
      <c r="C81" s="5">
        <f t="shared" si="1"/>
        <v>3.6042218301306495E-3</v>
      </c>
    </row>
    <row r="82" spans="1:3" x14ac:dyDescent="0.2">
      <c r="A82" s="18">
        <v>5.8333333333333304</v>
      </c>
      <c r="B82" s="19" cm="1">
        <f t="array" ref="B82">yieldplot(A82)</f>
        <v>3.1706508246527772E-2</v>
      </c>
      <c r="C82" s="5">
        <f t="shared" si="1"/>
        <v>3.6323444944337258E-3</v>
      </c>
    </row>
    <row r="83" spans="1:3" x14ac:dyDescent="0.2">
      <c r="A83" s="18">
        <v>5.9166666666666696</v>
      </c>
      <c r="B83" s="19" cm="1">
        <f t="array" ref="B83">yieldplot(A83)</f>
        <v>3.1878411404079869E-2</v>
      </c>
      <c r="C83" s="5">
        <f t="shared" si="1"/>
        <v>3.6598114807553372E-3</v>
      </c>
    </row>
    <row r="84" spans="1:3" x14ac:dyDescent="0.2">
      <c r="A84" s="23">
        <v>6</v>
      </c>
      <c r="B84" s="24" cm="1">
        <f t="array" ref="B84">yieldplot(A84)</f>
        <v>3.2050000000000002E-2</v>
      </c>
      <c r="C84" s="23">
        <f t="shared" si="1"/>
        <v>3.6865872550095879E-3</v>
      </c>
    </row>
    <row r="85" spans="1:3" x14ac:dyDescent="0.2">
      <c r="A85" s="18">
        <v>6.0833333333333304</v>
      </c>
      <c r="B85" s="19" cm="1">
        <f t="array" ref="B85">yieldplot(A85)</f>
        <v>3.222116758897569E-2</v>
      </c>
      <c r="C85" s="5">
        <f t="shared" si="1"/>
        <v>3.7126362830104398E-3</v>
      </c>
    </row>
    <row r="86" spans="1:3" x14ac:dyDescent="0.2">
      <c r="A86" s="18">
        <v>6.1666666666666696</v>
      </c>
      <c r="B86" s="19" cm="1">
        <f t="array" ref="B86">yieldplot(A86)</f>
        <v>3.2391807725694451E-2</v>
      </c>
      <c r="C86" s="5">
        <f t="shared" si="1"/>
        <v>3.737923030812329E-3</v>
      </c>
    </row>
    <row r="87" spans="1:3" x14ac:dyDescent="0.2">
      <c r="A87" s="5">
        <v>6.25</v>
      </c>
      <c r="B87" s="19" cm="1">
        <f t="array" ref="B87">yieldplot(A87)</f>
        <v>3.2561813964843749E-2</v>
      </c>
      <c r="C87" s="5">
        <f t="shared" si="1"/>
        <v>3.762411964749024E-3</v>
      </c>
    </row>
    <row r="88" spans="1:3" x14ac:dyDescent="0.2">
      <c r="A88" s="18">
        <v>6.3333333333333304</v>
      </c>
      <c r="B88" s="19" cm="1">
        <f t="array" ref="B88">yieldplot(A88)</f>
        <v>3.2731079861111109E-2</v>
      </c>
      <c r="C88" s="5">
        <f t="shared" si="1"/>
        <v>3.7860675517842335E-3</v>
      </c>
    </row>
    <row r="89" spans="1:3" x14ac:dyDescent="0.2">
      <c r="A89" s="18">
        <v>6.4166666666666696</v>
      </c>
      <c r="B89" s="19" cm="1">
        <f t="array" ref="B89">yieldplot(A89)</f>
        <v>3.2899498969184038E-2</v>
      </c>
      <c r="C89" s="5">
        <f t="shared" si="1"/>
        <v>3.8088542595706709E-3</v>
      </c>
    </row>
    <row r="90" spans="1:3" x14ac:dyDescent="0.2">
      <c r="A90" s="5">
        <v>6.5</v>
      </c>
      <c r="B90" s="19" cm="1">
        <f t="array" ref="B90">yieldplot(A90)</f>
        <v>3.3066964843750005E-2</v>
      </c>
      <c r="C90" s="5">
        <f t="shared" si="1"/>
        <v>3.8307365567566976E-3</v>
      </c>
    </row>
    <row r="91" spans="1:3" x14ac:dyDescent="0.2">
      <c r="A91" s="18">
        <v>6.5833333333333304</v>
      </c>
      <c r="B91" s="19" cm="1">
        <f t="array" ref="B91">yieldplot(A91)</f>
        <v>3.3233371039496522E-2</v>
      </c>
      <c r="C91" s="5">
        <f t="shared" si="1"/>
        <v>3.8516789131135543E-3</v>
      </c>
    </row>
    <row r="92" spans="1:3" x14ac:dyDescent="0.2">
      <c r="A92" s="18">
        <v>6.6666666666666696</v>
      </c>
      <c r="B92" s="19" cm="1">
        <f t="array" ref="B92">yieldplot(A92)</f>
        <v>3.3398611111111115E-2</v>
      </c>
      <c r="C92" s="5">
        <f t="shared" si="1"/>
        <v>3.8716457999248277E-3</v>
      </c>
    </row>
    <row r="93" spans="1:3" x14ac:dyDescent="0.2">
      <c r="A93" s="5">
        <v>6.75</v>
      </c>
      <c r="B93" s="19" cm="1">
        <f t="array" ref="B93">yieldplot(A93)</f>
        <v>3.3562578613281248E-2</v>
      </c>
      <c r="C93" s="5">
        <f t="shared" si="1"/>
        <v>3.8906016899891149E-3</v>
      </c>
    </row>
    <row r="94" spans="1:3" x14ac:dyDescent="0.2">
      <c r="A94" s="18">
        <v>6.8333333333333304</v>
      </c>
      <c r="B94" s="19" cm="1">
        <f t="array" ref="B94">yieldplot(A94)</f>
        <v>3.3725167100694439E-2</v>
      </c>
      <c r="C94" s="5">
        <f t="shared" si="1"/>
        <v>3.9085110580439064E-3</v>
      </c>
    </row>
    <row r="95" spans="1:3" x14ac:dyDescent="0.2">
      <c r="A95" s="18">
        <v>6.9166666666666696</v>
      </c>
      <c r="B95" s="19" cm="1">
        <f t="array" ref="B95">yieldplot(A95)</f>
        <v>3.3886270128038201E-2</v>
      </c>
      <c r="C95" s="5">
        <f t="shared" si="1"/>
        <v>3.9253383809316755E-3</v>
      </c>
    </row>
    <row r="96" spans="1:3" x14ac:dyDescent="0.2">
      <c r="A96" s="5">
        <v>7</v>
      </c>
      <c r="B96" s="19" cm="1">
        <f t="array" ref="B96">yieldplot(A96)</f>
        <v>3.4045781249999997E-2</v>
      </c>
      <c r="C96" s="5">
        <f t="shared" si="1"/>
        <v>3.9410481378137074E-3</v>
      </c>
    </row>
    <row r="97" spans="1:3" x14ac:dyDescent="0.2">
      <c r="A97" s="18">
        <v>7.0833333333333304</v>
      </c>
      <c r="B97" s="19" cm="1">
        <f t="array" ref="B97">yieldplot(A97)</f>
        <v>3.420359402126736E-2</v>
      </c>
      <c r="C97" s="5">
        <f t="shared" si="1"/>
        <v>3.9556048105415798E-3</v>
      </c>
    </row>
    <row r="98" spans="1:3" x14ac:dyDescent="0.2">
      <c r="A98" s="18">
        <v>7.1666666666666696</v>
      </c>
      <c r="B98" s="19" cm="1">
        <f t="array" ref="B98">yieldplot(A98)</f>
        <v>3.4359601996527787E-2</v>
      </c>
      <c r="C98" s="5">
        <f t="shared" si="1"/>
        <v>3.9689728838361304E-3</v>
      </c>
    </row>
    <row r="99" spans="1:3" x14ac:dyDescent="0.2">
      <c r="A99" s="5">
        <v>7.25</v>
      </c>
      <c r="B99" s="19" cm="1">
        <f t="array" ref="B99">yieldplot(A99)</f>
        <v>3.451369873046875E-2</v>
      </c>
      <c r="C99" s="5">
        <f t="shared" si="1"/>
        <v>3.9811168455476942E-3</v>
      </c>
    </row>
    <row r="100" spans="1:3" x14ac:dyDescent="0.2">
      <c r="A100" s="18">
        <v>7.3333333333333304</v>
      </c>
      <c r="B100" s="19" cm="1">
        <f t="array" ref="B100">yieldplot(A100)</f>
        <v>3.4665777777777768E-2</v>
      </c>
      <c r="C100" s="5">
        <f t="shared" si="1"/>
        <v>3.9920011870075989E-3</v>
      </c>
    </row>
    <row r="101" spans="1:3" x14ac:dyDescent="0.2">
      <c r="A101" s="18">
        <v>7.4166666666666696</v>
      </c>
      <c r="B101" s="19" cm="1">
        <f t="array" ref="B101">yieldplot(A101)</f>
        <v>3.4815732693142365E-2</v>
      </c>
      <c r="C101" s="5">
        <f t="shared" si="1"/>
        <v>4.0015904032910665E-3</v>
      </c>
    </row>
    <row r="102" spans="1:3" x14ac:dyDescent="0.2">
      <c r="A102" s="5">
        <v>7.5</v>
      </c>
      <c r="B102" s="19" cm="1">
        <f t="array" ref="B102">yieldplot(A102)</f>
        <v>3.4963457031249992E-2</v>
      </c>
      <c r="C102" s="5">
        <f t="shared" si="1"/>
        <v>4.0098489934459192E-3</v>
      </c>
    </row>
    <row r="103" spans="1:3" x14ac:dyDescent="0.2">
      <c r="A103" s="18">
        <v>7.5833333333333304</v>
      </c>
      <c r="B103" s="19" cm="1">
        <f t="array" ref="B103">yieldplot(A103)</f>
        <v>3.5108844346788189E-2</v>
      </c>
      <c r="C103" s="5">
        <f t="shared" si="1"/>
        <v>4.01674146085651E-3</v>
      </c>
    </row>
    <row r="104" spans="1:3" x14ac:dyDescent="0.2">
      <c r="A104" s="18">
        <v>7.6666666666666696</v>
      </c>
      <c r="B104" s="19" cm="1">
        <f t="array" ref="B104">yieldplot(A104)</f>
        <v>3.5251788194444446E-2</v>
      </c>
      <c r="C104" s="5">
        <f t="shared" si="1"/>
        <v>4.0222323135743476E-3</v>
      </c>
    </row>
    <row r="105" spans="1:3" x14ac:dyDescent="0.2">
      <c r="A105" s="5">
        <v>7.75</v>
      </c>
      <c r="B105" s="19" cm="1">
        <f t="array" ref="B105">yieldplot(A105)</f>
        <v>3.5392182128906248E-2</v>
      </c>
      <c r="C105" s="5">
        <f t="shared" si="1"/>
        <v>4.0262860646103071E-3</v>
      </c>
    </row>
    <row r="106" spans="1:3" x14ac:dyDescent="0.2">
      <c r="A106" s="18">
        <v>7.8333333333333304</v>
      </c>
      <c r="B106" s="19" cm="1">
        <f t="array" ref="B106">yieldplot(A106)</f>
        <v>3.5529919704861107E-2</v>
      </c>
      <c r="C106" s="5">
        <f t="shared" si="1"/>
        <v>4.0288672321640018E-3</v>
      </c>
    </row>
    <row r="107" spans="1:3" x14ac:dyDescent="0.2">
      <c r="A107" s="18">
        <v>7.9166666666666696</v>
      </c>
      <c r="B107" s="19" cm="1">
        <f t="array" ref="B107">yieldplot(A107)</f>
        <v>3.5664894476996542E-2</v>
      </c>
      <c r="C107" s="5">
        <f t="shared" si="1"/>
        <v>4.0299403401053979E-3</v>
      </c>
    </row>
    <row r="108" spans="1:3" x14ac:dyDescent="0.2">
      <c r="A108" s="5">
        <v>8</v>
      </c>
      <c r="B108" s="19" cm="1">
        <f t="array" ref="B108">yieldplot(A108)</f>
        <v>3.5797000000000002E-2</v>
      </c>
      <c r="C108" s="5">
        <f t="shared" si="1"/>
        <v>4.029469918228612E-3</v>
      </c>
    </row>
    <row r="109" spans="1:3" x14ac:dyDescent="0.2">
      <c r="A109" s="18">
        <v>8.0833333333333304</v>
      </c>
      <c r="B109" s="19" cm="1">
        <f t="array" ref="B109">yieldplot(A109)</f>
        <v>3.5926129828559021E-2</v>
      </c>
      <c r="C109" s="5">
        <f t="shared" si="1"/>
        <v>4.0274205025845333E-3</v>
      </c>
    </row>
    <row r="110" spans="1:3" x14ac:dyDescent="0.2">
      <c r="A110" s="18">
        <v>8.1666666666666696</v>
      </c>
      <c r="B110" s="19" cm="1">
        <f t="array" ref="B110">yieldplot(A110)</f>
        <v>3.6052177517361124E-2</v>
      </c>
      <c r="C110" s="5">
        <f t="shared" si="1"/>
        <v>4.0237566358445331E-3</v>
      </c>
    </row>
    <row r="111" spans="1:3" x14ac:dyDescent="0.2">
      <c r="A111" s="5">
        <v>8.25</v>
      </c>
      <c r="B111" s="19" cm="1">
        <f t="array" ref="B111">yieldplot(A111)</f>
        <v>3.6175036621093754E-2</v>
      </c>
      <c r="C111" s="5">
        <f t="shared" si="1"/>
        <v>4.0184428677358941E-3</v>
      </c>
    </row>
    <row r="112" spans="1:3" x14ac:dyDescent="0.2">
      <c r="A112" s="18">
        <v>8.3333333333333304</v>
      </c>
      <c r="B112" s="19" cm="1">
        <f t="array" ref="B112">yieldplot(A112)</f>
        <v>3.6294600694444443E-2</v>
      </c>
      <c r="C112" s="5">
        <f t="shared" si="1"/>
        <v>4.0114437552067894E-3</v>
      </c>
    </row>
    <row r="113" spans="1:3" x14ac:dyDescent="0.2">
      <c r="A113" s="18">
        <v>8.4166666666666696</v>
      </c>
      <c r="B113" s="19" cm="1">
        <f t="array" ref="B113">yieldplot(A113)</f>
        <v>3.6410763292100704E-2</v>
      </c>
      <c r="C113" s="5">
        <f t="shared" si="1"/>
        <v>4.0027238631152873E-3</v>
      </c>
    </row>
    <row r="114" spans="1:3" x14ac:dyDescent="0.2">
      <c r="A114" s="5">
        <v>8.5</v>
      </c>
      <c r="B114" s="19" cm="1">
        <f t="array" ref="B114">yieldplot(A114)</f>
        <v>3.6523417968749999E-2</v>
      </c>
      <c r="C114" s="5">
        <f t="shared" si="1"/>
        <v>3.9922477641747278E-3</v>
      </c>
    </row>
    <row r="115" spans="1:3" x14ac:dyDescent="0.2">
      <c r="A115" s="18">
        <v>8.5833333333333304</v>
      </c>
      <c r="B115" s="19" cm="1">
        <f t="array" ref="B115">yieldplot(A115)</f>
        <v>3.6632458279079863E-2</v>
      </c>
      <c r="C115" s="5">
        <f t="shared" si="1"/>
        <v>3.9799800398143681E-3</v>
      </c>
    </row>
    <row r="116" spans="1:3" x14ac:dyDescent="0.2">
      <c r="A116" s="18">
        <v>8.6666666666666696</v>
      </c>
      <c r="B116" s="19" cm="1">
        <f t="array" ref="B116">yieldplot(A116)</f>
        <v>3.6737777777777779E-2</v>
      </c>
      <c r="C116" s="5">
        <f t="shared" si="1"/>
        <v>3.9658852801813804E-3</v>
      </c>
    </row>
    <row r="117" spans="1:3" x14ac:dyDescent="0.2">
      <c r="A117" s="5">
        <v>8.75</v>
      </c>
      <c r="B117" s="19" cm="1">
        <f t="array" ref="B117">yieldplot(A117)</f>
        <v>3.6839270019531252E-2</v>
      </c>
      <c r="C117" s="5">
        <f t="shared" si="1"/>
        <v>3.9499280847601348E-3</v>
      </c>
    </row>
    <row r="118" spans="1:3" x14ac:dyDescent="0.2">
      <c r="A118" s="18">
        <v>8.8333333333333304</v>
      </c>
      <c r="B118" s="19" cm="1">
        <f t="array" ref="B118">yieldplot(A118)</f>
        <v>3.6936828559027773E-2</v>
      </c>
      <c r="C118" s="5">
        <f t="shared" si="1"/>
        <v>3.9320730627527833E-3</v>
      </c>
    </row>
    <row r="119" spans="1:3" x14ac:dyDescent="0.2">
      <c r="A119" s="18">
        <v>8.9166666666666696</v>
      </c>
      <c r="B119" s="19" cm="1">
        <f t="array" ref="B119">yieldplot(A119)</f>
        <v>3.7030346950954869E-2</v>
      </c>
      <c r="C119" s="5">
        <f t="shared" si="1"/>
        <v>3.9122848333454918E-3</v>
      </c>
    </row>
    <row r="120" spans="1:3" x14ac:dyDescent="0.2">
      <c r="A120" s="5">
        <v>9</v>
      </c>
      <c r="B120" s="19" cm="1">
        <f t="array" ref="B120">yieldplot(A120)</f>
        <v>3.7119718750000003E-2</v>
      </c>
      <c r="C120" s="5">
        <f t="shared" si="1"/>
        <v>3.8905280263501485E-3</v>
      </c>
    </row>
    <row r="121" spans="1:3" x14ac:dyDescent="0.2">
      <c r="A121" s="18">
        <v>9.0833333333333304</v>
      </c>
      <c r="B121" s="19" cm="1">
        <f t="array" ref="B121">yieldplot(A121)</f>
        <v>3.7204837510850693E-2</v>
      </c>
      <c r="C121" s="5">
        <f t="shared" si="1"/>
        <v>3.8667672824950206E-3</v>
      </c>
    </row>
    <row r="122" spans="1:3" x14ac:dyDescent="0.2">
      <c r="A122" s="18">
        <v>9.1666666666666696</v>
      </c>
      <c r="B122" s="19" cm="1">
        <f t="array" ref="B122">yieldplot(A122)</f>
        <v>3.7285596788194451E-2</v>
      </c>
      <c r="C122" s="5">
        <f t="shared" si="1"/>
        <v>3.8409672537755846E-3</v>
      </c>
    </row>
    <row r="123" spans="1:3" x14ac:dyDescent="0.2">
      <c r="A123" s="5">
        <v>9.25</v>
      </c>
      <c r="B123" s="19" cm="1">
        <f t="array" ref="B123">yieldplot(A123)</f>
        <v>3.7361890136718749E-2</v>
      </c>
      <c r="C123" s="5">
        <f t="shared" si="1"/>
        <v>3.813092604188606E-3</v>
      </c>
    </row>
    <row r="124" spans="1:3" x14ac:dyDescent="0.2">
      <c r="A124" s="18">
        <v>9.3333333333333304</v>
      </c>
      <c r="B124" s="19" cm="1">
        <f t="array" ref="B124">yieldplot(A124)</f>
        <v>3.7433611111111105E-2</v>
      </c>
      <c r="C124" s="5">
        <f t="shared" si="1"/>
        <v>3.7831080098209569E-3</v>
      </c>
    </row>
    <row r="125" spans="1:3" x14ac:dyDescent="0.2">
      <c r="A125" s="18">
        <v>9.4166666666666696</v>
      </c>
      <c r="B125" s="19" cm="1">
        <f t="array" ref="B125">yieldplot(A125)</f>
        <v>3.7500653266059024E-2</v>
      </c>
      <c r="C125" s="5">
        <f t="shared" si="1"/>
        <v>3.7509781596263281E-3</v>
      </c>
    </row>
    <row r="126" spans="1:3" x14ac:dyDescent="0.2">
      <c r="A126" s="5">
        <v>9.5</v>
      </c>
      <c r="B126" s="19" cm="1">
        <f t="array" ref="B126">yieldplot(A126)</f>
        <v>3.7562910156249997E-2</v>
      </c>
      <c r="C126" s="5">
        <f t="shared" si="1"/>
        <v>3.7166677556390582E-3</v>
      </c>
    </row>
    <row r="127" spans="1:3" x14ac:dyDescent="0.2">
      <c r="A127" s="18">
        <v>9.5833333333333304</v>
      </c>
      <c r="B127" s="19" cm="1">
        <f t="array" ref="B127">yieldplot(A127)</f>
        <v>3.7620275336371523E-2</v>
      </c>
      <c r="C127" s="5">
        <f t="shared" si="1"/>
        <v>3.6801415135245819E-3</v>
      </c>
    </row>
    <row r="128" spans="1:3" x14ac:dyDescent="0.2">
      <c r="A128" s="18">
        <v>9.6666666666666696</v>
      </c>
      <c r="B128" s="19" cm="1">
        <f t="array" ref="B128">yieldplot(A128)</f>
        <v>3.7672642361111112E-2</v>
      </c>
      <c r="C128" s="5">
        <f t="shared" si="1"/>
        <v>3.6413641632091487E-3</v>
      </c>
    </row>
    <row r="129" spans="1:3" x14ac:dyDescent="0.2">
      <c r="A129" s="5">
        <v>9.75</v>
      </c>
      <c r="B129" s="19" cm="1">
        <f t="array" ref="B129">yieldplot(A129)</f>
        <v>3.7719904785156244E-2</v>
      </c>
      <c r="C129" s="5">
        <f t="shared" si="1"/>
        <v>3.6003004490552382E-3</v>
      </c>
    </row>
    <row r="130" spans="1:3" x14ac:dyDescent="0.2">
      <c r="A130" s="18">
        <v>9.8333333333333304</v>
      </c>
      <c r="B130" s="19" cm="1">
        <f t="array" ref="B130">yieldplot(A130)</f>
        <v>3.7761956163194436E-2</v>
      </c>
      <c r="C130" s="5">
        <f t="shared" si="1"/>
        <v>3.5569151307000002E-3</v>
      </c>
    </row>
    <row r="131" spans="1:3" x14ac:dyDescent="0.2">
      <c r="A131" s="18">
        <v>9.9166666666666696</v>
      </c>
      <c r="B131" s="19" cm="1">
        <f t="array" ref="B131">yieldplot(A131)</f>
        <v>3.7798690049913194E-2</v>
      </c>
      <c r="C131" s="5">
        <f t="shared" si="1"/>
        <v>3.5111729832206784E-3</v>
      </c>
    </row>
    <row r="132" spans="1:3" x14ac:dyDescent="0.2">
      <c r="A132" s="22">
        <v>10</v>
      </c>
      <c r="B132" s="21" cm="1">
        <f t="array" ref="B132">yieldplot(A132)</f>
        <v>3.7829999999999996E-2</v>
      </c>
      <c r="C132" s="20">
        <f t="shared" si="1"/>
        <v>3.4630387978646926E-3</v>
      </c>
    </row>
  </sheetData>
  <mergeCells count="1">
    <mergeCell ref="E43:K47"/>
  </mergeCells>
  <hyperlinks>
    <hyperlink ref="E11" location="Answers!A1" display="Back to answers" xr:uid="{01264E5D-C46F-BF47-A51D-48A1796E81FA}"/>
  </hyperlink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1597E-658E-AB44-ACBB-444725CD5E15}">
  <sheetPr codeName="Sheet6"/>
  <dimension ref="A1:N68"/>
  <sheetViews>
    <sheetView showGridLines="0" showRowColHeaders="0" workbookViewId="0">
      <selection activeCell="A33" sqref="A33"/>
    </sheetView>
  </sheetViews>
  <sheetFormatPr baseColWidth="10" defaultRowHeight="16" x14ac:dyDescent="0.2"/>
  <cols>
    <col min="1" max="1" width="16" customWidth="1"/>
  </cols>
  <sheetData>
    <row r="1" spans="1:14" x14ac:dyDescent="0.2">
      <c r="A1" s="7" t="s">
        <v>10</v>
      </c>
    </row>
    <row r="2" spans="1:14" x14ac:dyDescent="0.2">
      <c r="A2" t="s">
        <v>81</v>
      </c>
    </row>
    <row r="3" spans="1:14" x14ac:dyDescent="0.2">
      <c r="A3" t="s">
        <v>82</v>
      </c>
    </row>
    <row r="5" spans="1:14" x14ac:dyDescent="0.2">
      <c r="A5" s="17" t="s">
        <v>83</v>
      </c>
    </row>
    <row r="6" spans="1:14" ht="19" x14ac:dyDescent="0.25">
      <c r="A6" s="17" t="s">
        <v>84</v>
      </c>
      <c r="F6" s="71" t="s">
        <v>24</v>
      </c>
      <c r="G6" s="71"/>
      <c r="H6" s="71"/>
      <c r="I6" s="71"/>
      <c r="K6" s="71" t="s">
        <v>29</v>
      </c>
      <c r="L6" s="71"/>
      <c r="M6" s="71"/>
      <c r="N6" s="71"/>
    </row>
    <row r="7" spans="1:14" x14ac:dyDescent="0.2">
      <c r="A7" s="17" t="s">
        <v>85</v>
      </c>
      <c r="F7" s="6" t="s">
        <v>23</v>
      </c>
      <c r="G7" s="6" t="s">
        <v>25</v>
      </c>
      <c r="H7" s="6" t="s">
        <v>26</v>
      </c>
      <c r="I7" s="6" t="s">
        <v>27</v>
      </c>
      <c r="K7" s="6" t="s">
        <v>23</v>
      </c>
      <c r="L7" s="6" t="str">
        <f>G7</f>
        <v>CSL.AX</v>
      </c>
      <c r="M7" s="6" t="str">
        <f>H7</f>
        <v>CBA.AX</v>
      </c>
      <c r="N7" s="6" t="str">
        <f>I7</f>
        <v>BHP.AX</v>
      </c>
    </row>
    <row r="8" spans="1:14" x14ac:dyDescent="0.2">
      <c r="A8" s="17" t="s">
        <v>86</v>
      </c>
      <c r="F8" s="25">
        <v>42005</v>
      </c>
      <c r="G8" s="5">
        <v>79.679787000000005</v>
      </c>
      <c r="H8" s="5">
        <v>61.744247000000001</v>
      </c>
      <c r="I8" s="5">
        <v>17.368514999999999</v>
      </c>
      <c r="K8" s="25">
        <v>42005</v>
      </c>
      <c r="L8" s="5"/>
      <c r="M8" s="5"/>
      <c r="N8" s="5"/>
    </row>
    <row r="9" spans="1:14" x14ac:dyDescent="0.2">
      <c r="A9" s="17" t="s">
        <v>87</v>
      </c>
      <c r="F9" s="25">
        <v>42036</v>
      </c>
      <c r="G9" s="5">
        <v>83.566390999999996</v>
      </c>
      <c r="H9" s="5">
        <v>63.534427999999998</v>
      </c>
      <c r="I9" s="5">
        <v>19.974384000000001</v>
      </c>
      <c r="K9" s="25">
        <v>42036</v>
      </c>
      <c r="L9" s="5">
        <f t="shared" ref="L9:L40" si="0">LN(G9/G8)</f>
        <v>4.7625477647235855E-2</v>
      </c>
      <c r="M9" s="5">
        <f t="shared" ref="M9:M40" si="1">LN(H9/H8)</f>
        <v>2.8581127028227214E-2</v>
      </c>
      <c r="N9" s="5">
        <f t="shared" ref="N9:N40" si="2">LN(I9/I8)</f>
        <v>0.13979156825826988</v>
      </c>
    </row>
    <row r="10" spans="1:14" x14ac:dyDescent="0.2">
      <c r="F10" s="25">
        <v>42064</v>
      </c>
      <c r="G10" s="5">
        <v>83.457679999999996</v>
      </c>
      <c r="H10" s="5">
        <v>65.954528999999994</v>
      </c>
      <c r="I10" s="5">
        <v>18.419177999999999</v>
      </c>
      <c r="K10" s="25">
        <v>42064</v>
      </c>
      <c r="L10" s="5">
        <f t="shared" si="0"/>
        <v>-1.3017406976166318E-3</v>
      </c>
      <c r="M10" s="5">
        <f t="shared" si="1"/>
        <v>3.7383617838535416E-2</v>
      </c>
      <c r="N10" s="5">
        <f t="shared" si="2"/>
        <v>-8.1058248204383829E-2</v>
      </c>
    </row>
    <row r="11" spans="1:14" x14ac:dyDescent="0.2">
      <c r="A11" t="s">
        <v>34</v>
      </c>
      <c r="F11" s="25">
        <v>42095</v>
      </c>
      <c r="G11" s="5">
        <v>83.091858000000002</v>
      </c>
      <c r="H11" s="5">
        <v>62.755668999999997</v>
      </c>
      <c r="I11" s="5">
        <v>19.505866999999999</v>
      </c>
      <c r="K11" s="25">
        <v>42095</v>
      </c>
      <c r="L11" s="5">
        <f t="shared" si="0"/>
        <v>-4.3929583077567617E-3</v>
      </c>
      <c r="M11" s="5">
        <f t="shared" si="1"/>
        <v>-4.9716633482000026E-2</v>
      </c>
      <c r="N11" s="5">
        <f t="shared" si="2"/>
        <v>5.7322887687479611E-2</v>
      </c>
    </row>
    <row r="12" spans="1:14" x14ac:dyDescent="0.2">
      <c r="A12" t="str">
        <f>B16</f>
        <v>CSL.AX</v>
      </c>
      <c r="B12" t="str">
        <f>C16</f>
        <v>CBA.AX</v>
      </c>
      <c r="C12" t="str">
        <f>D16</f>
        <v>BHP.AX</v>
      </c>
      <c r="F12" s="25">
        <v>42125</v>
      </c>
      <c r="G12" s="5">
        <v>85.393355999999997</v>
      </c>
      <c r="H12" s="5">
        <v>60.086413999999998</v>
      </c>
      <c r="I12" s="5">
        <v>19.320374999999999</v>
      </c>
      <c r="K12" s="25">
        <v>42125</v>
      </c>
      <c r="L12" s="5">
        <f t="shared" si="0"/>
        <v>2.7321580451347405E-2</v>
      </c>
      <c r="M12" s="5">
        <f t="shared" si="1"/>
        <v>-4.3465157146581418E-2</v>
      </c>
      <c r="N12" s="5">
        <f t="shared" si="2"/>
        <v>-9.5550535778413728E-3</v>
      </c>
    </row>
    <row r="13" spans="1:14" x14ac:dyDescent="0.2">
      <c r="A13">
        <f>AVERAGE(L9:L68)</f>
        <v>2.2323080498089797E-2</v>
      </c>
      <c r="B13">
        <f>AVERAGE(M9:M68)</f>
        <v>3.8553252910227425E-3</v>
      </c>
      <c r="C13">
        <f>AVERAGE(N9:N68)</f>
        <v>1.0613470850257507E-2</v>
      </c>
      <c r="F13" s="25">
        <v>42156</v>
      </c>
      <c r="G13" s="5">
        <v>78.972877999999994</v>
      </c>
      <c r="H13" s="5">
        <v>60.114662000000003</v>
      </c>
      <c r="I13" s="5">
        <v>17.661919000000001</v>
      </c>
      <c r="K13" s="25">
        <v>42156</v>
      </c>
      <c r="L13" s="5">
        <f t="shared" si="0"/>
        <v>-7.816382210846981E-2</v>
      </c>
      <c r="M13" s="5">
        <f t="shared" si="1"/>
        <v>4.7001244015530946E-4</v>
      </c>
      <c r="N13" s="5">
        <f t="shared" si="2"/>
        <v>-8.9749385614882965E-2</v>
      </c>
    </row>
    <row r="14" spans="1:14" x14ac:dyDescent="0.2">
      <c r="F14" s="25">
        <v>42186</v>
      </c>
      <c r="G14" s="5">
        <v>90.379958999999999</v>
      </c>
      <c r="H14" s="5">
        <v>61.830615999999999</v>
      </c>
      <c r="I14" s="5">
        <v>17.270154999999999</v>
      </c>
      <c r="K14" s="25">
        <v>42186</v>
      </c>
      <c r="L14" s="5">
        <f t="shared" si="0"/>
        <v>0.13491807327810593</v>
      </c>
      <c r="M14" s="5">
        <f t="shared" si="1"/>
        <v>2.8144874467778448E-2</v>
      </c>
      <c r="N14" s="5">
        <f t="shared" si="2"/>
        <v>-2.2430985699363738E-2</v>
      </c>
    </row>
    <row r="15" spans="1:14" ht="17" thickBot="1" x14ac:dyDescent="0.25">
      <c r="A15" s="7" t="s">
        <v>28</v>
      </c>
      <c r="B15" s="7"/>
      <c r="C15" s="7"/>
      <c r="D15" s="7"/>
      <c r="F15" s="25">
        <v>42217</v>
      </c>
      <c r="G15" s="5">
        <v>83.904685999999998</v>
      </c>
      <c r="H15" s="5">
        <v>53.305092000000002</v>
      </c>
      <c r="I15" s="5">
        <v>16.440929000000001</v>
      </c>
      <c r="K15" s="25">
        <v>42217</v>
      </c>
      <c r="L15" s="5">
        <f t="shared" si="0"/>
        <v>-7.4341086224354716E-2</v>
      </c>
      <c r="M15" s="5">
        <f t="shared" si="1"/>
        <v>-0.1483667850042357</v>
      </c>
      <c r="N15" s="5">
        <f t="shared" si="2"/>
        <v>-4.9205970672340039E-2</v>
      </c>
    </row>
    <row r="16" spans="1:14" x14ac:dyDescent="0.2">
      <c r="A16" s="26"/>
      <c r="B16" s="26" t="str">
        <f>L7</f>
        <v>CSL.AX</v>
      </c>
      <c r="C16" s="26" t="str">
        <f>M7</f>
        <v>CBA.AX</v>
      </c>
      <c r="D16" s="26" t="str">
        <f>N7</f>
        <v>BHP.AX</v>
      </c>
      <c r="F16" s="25">
        <v>42248</v>
      </c>
      <c r="G16" s="5">
        <v>81.466164000000006</v>
      </c>
      <c r="H16" s="5">
        <v>53.079475000000002</v>
      </c>
      <c r="I16" s="5">
        <v>14.508238</v>
      </c>
      <c r="K16" s="25">
        <v>42248</v>
      </c>
      <c r="L16" s="5">
        <f t="shared" si="0"/>
        <v>-2.9493695720961201E-2</v>
      </c>
      <c r="M16" s="5">
        <f t="shared" si="1"/>
        <v>-4.241542633721394E-3</v>
      </c>
      <c r="N16" s="5">
        <f t="shared" si="2"/>
        <v>-0.12505727051899213</v>
      </c>
    </row>
    <row r="17" spans="1:14" x14ac:dyDescent="0.2">
      <c r="A17" s="27" t="str">
        <f>G7</f>
        <v>CSL.AX</v>
      </c>
      <c r="B17" s="29">
        <v>3.5218300000000001E-3</v>
      </c>
      <c r="C17" s="29"/>
      <c r="D17" s="29"/>
      <c r="F17" s="25">
        <v>42278</v>
      </c>
      <c r="G17" s="5">
        <v>86.521614</v>
      </c>
      <c r="H17" s="5">
        <v>56.006450999999998</v>
      </c>
      <c r="I17" s="5">
        <v>15.584441</v>
      </c>
      <c r="K17" s="25">
        <v>42278</v>
      </c>
      <c r="L17" s="5">
        <f t="shared" si="0"/>
        <v>6.0206487159658019E-2</v>
      </c>
      <c r="M17" s="5">
        <f t="shared" si="1"/>
        <v>5.3676561845000421E-2</v>
      </c>
      <c r="N17" s="5">
        <f t="shared" si="2"/>
        <v>7.1556418726100426E-2</v>
      </c>
    </row>
    <row r="18" spans="1:14" x14ac:dyDescent="0.2">
      <c r="A18" s="27" t="str">
        <f>H7</f>
        <v>CBA.AX</v>
      </c>
      <c r="B18" s="29">
        <v>5.8770999999999997E-4</v>
      </c>
      <c r="C18" s="29">
        <v>2.4835500000000002E-3</v>
      </c>
      <c r="D18" s="29"/>
      <c r="F18" s="25">
        <v>42309</v>
      </c>
      <c r="G18" s="5">
        <v>92.351837000000003</v>
      </c>
      <c r="H18" s="5">
        <v>57.977226000000002</v>
      </c>
      <c r="I18" s="5">
        <v>12.246850999999999</v>
      </c>
      <c r="K18" s="25">
        <v>42309</v>
      </c>
      <c r="L18" s="5">
        <f t="shared" si="0"/>
        <v>6.5211342606521255E-2</v>
      </c>
      <c r="M18" s="5">
        <f t="shared" si="1"/>
        <v>3.4583397735656142E-2</v>
      </c>
      <c r="N18" s="5">
        <f t="shared" si="2"/>
        <v>-0.24100420203406506</v>
      </c>
    </row>
    <row r="19" spans="1:14" ht="17" thickBot="1" x14ac:dyDescent="0.25">
      <c r="A19" s="28" t="str">
        <f>I7</f>
        <v>BHP.AX</v>
      </c>
      <c r="B19" s="30">
        <v>1.3694E-4</v>
      </c>
      <c r="C19" s="30">
        <v>5.5542999999999999E-4</v>
      </c>
      <c r="D19" s="30">
        <v>5.6044900000000002E-3</v>
      </c>
      <c r="F19" s="25">
        <v>42339</v>
      </c>
      <c r="G19" s="5">
        <v>97.148857000000007</v>
      </c>
      <c r="H19" s="5">
        <v>62.429687999999999</v>
      </c>
      <c r="I19" s="5">
        <v>12.091141</v>
      </c>
      <c r="K19" s="25">
        <v>42339</v>
      </c>
      <c r="L19" s="5">
        <f t="shared" si="0"/>
        <v>5.0638812279155128E-2</v>
      </c>
      <c r="M19" s="5">
        <f t="shared" si="1"/>
        <v>7.3990653199077994E-2</v>
      </c>
      <c r="N19" s="5">
        <f t="shared" si="2"/>
        <v>-1.279580702977773E-2</v>
      </c>
    </row>
    <row r="20" spans="1:14" x14ac:dyDescent="0.2">
      <c r="F20" s="25">
        <v>42370</v>
      </c>
      <c r="G20" s="5">
        <v>95.940376000000001</v>
      </c>
      <c r="H20" s="5">
        <v>57.422469999999997</v>
      </c>
      <c r="I20" s="5">
        <v>10.391883999999999</v>
      </c>
      <c r="K20" s="25">
        <v>42370</v>
      </c>
      <c r="L20" s="5">
        <f t="shared" si="0"/>
        <v>-1.2517495260510776E-2</v>
      </c>
      <c r="M20" s="5">
        <f t="shared" si="1"/>
        <v>-8.360524132551278E-2</v>
      </c>
      <c r="N20" s="5">
        <f t="shared" si="2"/>
        <v>-0.15144791881721109</v>
      </c>
    </row>
    <row r="21" spans="1:14" x14ac:dyDescent="0.2">
      <c r="A21" s="7" t="s">
        <v>31</v>
      </c>
      <c r="B21" s="7"/>
      <c r="F21" s="25">
        <v>42401</v>
      </c>
      <c r="G21" s="5">
        <v>94.759567000000004</v>
      </c>
      <c r="H21" s="5">
        <v>51.196292999999997</v>
      </c>
      <c r="I21" s="5">
        <v>10.540823</v>
      </c>
      <c r="K21" s="25">
        <v>42401</v>
      </c>
      <c r="L21" s="5">
        <f t="shared" si="0"/>
        <v>-1.2384105340789235E-2</v>
      </c>
      <c r="M21" s="5">
        <f t="shared" si="1"/>
        <v>-0.11476856305780701</v>
      </c>
      <c r="N21" s="5">
        <f t="shared" si="2"/>
        <v>1.4230506682962845E-2</v>
      </c>
    </row>
    <row r="22" spans="1:14" x14ac:dyDescent="0.2">
      <c r="A22" s="6" t="s">
        <v>32</v>
      </c>
      <c r="B22" s="5">
        <f>A26^2*B17+B26^2*C18+C26^2*D19+2*A26*B26*B18+A26*2*C26*B19+2*C19*B26*C26</f>
        <v>1.4608332657288759E-3</v>
      </c>
      <c r="F22" s="25">
        <v>42430</v>
      </c>
      <c r="G22" s="5">
        <v>93.578772999999998</v>
      </c>
      <c r="H22" s="5">
        <v>56.182484000000002</v>
      </c>
      <c r="I22" s="5">
        <v>11.414148000000001</v>
      </c>
      <c r="K22" s="25">
        <v>42430</v>
      </c>
      <c r="L22" s="5">
        <f t="shared" si="0"/>
        <v>-1.25392362654736E-2</v>
      </c>
      <c r="M22" s="5">
        <f t="shared" si="1"/>
        <v>9.293790864124632E-2</v>
      </c>
      <c r="N22" s="5">
        <f t="shared" si="2"/>
        <v>7.959801500646016E-2</v>
      </c>
    </row>
    <row r="23" spans="1:14" x14ac:dyDescent="0.2">
      <c r="F23" s="25">
        <v>42461</v>
      </c>
      <c r="G23" s="5">
        <v>97.812720999999996</v>
      </c>
      <c r="H23" s="5">
        <v>55.410088000000002</v>
      </c>
      <c r="I23" s="5">
        <v>14.169797000000001</v>
      </c>
      <c r="K23" s="25">
        <v>42461</v>
      </c>
      <c r="L23" s="5">
        <f t="shared" si="0"/>
        <v>4.4251066580750328E-2</v>
      </c>
      <c r="M23" s="5">
        <f t="shared" si="1"/>
        <v>-1.3843364682803309E-2</v>
      </c>
      <c r="N23" s="5">
        <f t="shared" si="2"/>
        <v>0.21625908899625848</v>
      </c>
    </row>
    <row r="24" spans="1:14" x14ac:dyDescent="0.2">
      <c r="A24" s="7" t="s">
        <v>88</v>
      </c>
      <c r="B24" s="7"/>
      <c r="C24" s="7"/>
      <c r="D24" s="7"/>
      <c r="F24" s="25">
        <v>42491</v>
      </c>
      <c r="G24" s="5">
        <v>107.65166499999999</v>
      </c>
      <c r="H24" s="5">
        <v>58.064731999999999</v>
      </c>
      <c r="I24" s="5">
        <v>13.073487</v>
      </c>
      <c r="K24" s="25">
        <v>42491</v>
      </c>
      <c r="L24" s="5">
        <f t="shared" si="0"/>
        <v>9.5846050324447332E-2</v>
      </c>
      <c r="M24" s="5">
        <f t="shared" si="1"/>
        <v>4.6796786130997615E-2</v>
      </c>
      <c r="N24" s="5">
        <f t="shared" si="2"/>
        <v>-8.0526441320991266E-2</v>
      </c>
    </row>
    <row r="25" spans="1:14" x14ac:dyDescent="0.2">
      <c r="A25" s="6" t="str">
        <f>B16</f>
        <v>CSL.AX</v>
      </c>
      <c r="B25" s="6" t="str">
        <f>C16</f>
        <v>CBA.AX</v>
      </c>
      <c r="C25" s="6" t="str">
        <f>D16</f>
        <v>BHP.AX</v>
      </c>
      <c r="D25" s="6" t="s">
        <v>33</v>
      </c>
      <c r="F25" s="25">
        <v>42522</v>
      </c>
      <c r="G25" s="5">
        <v>104.322418</v>
      </c>
      <c r="H25" s="5">
        <v>55.770035</v>
      </c>
      <c r="I25" s="5">
        <v>12.778852000000001</v>
      </c>
      <c r="K25" s="25">
        <v>42522</v>
      </c>
      <c r="L25" s="5">
        <f t="shared" si="0"/>
        <v>-3.1414413890584345E-2</v>
      </c>
      <c r="M25" s="5">
        <f t="shared" si="1"/>
        <v>-4.0321739191160583E-2</v>
      </c>
      <c r="N25" s="5">
        <f t="shared" si="2"/>
        <v>-2.2794669179447374E-2</v>
      </c>
    </row>
    <row r="26" spans="1:14" x14ac:dyDescent="0.2">
      <c r="A26" s="31">
        <v>0.32931827369248168</v>
      </c>
      <c r="B26" s="5">
        <v>0.46406518675430392</v>
      </c>
      <c r="C26" s="5">
        <v>0.20661653955321446</v>
      </c>
      <c r="D26" s="5">
        <f>SUM(A26:C26)</f>
        <v>1</v>
      </c>
      <c r="F26" s="25">
        <v>42552</v>
      </c>
      <c r="G26" s="5">
        <v>109.73474899999999</v>
      </c>
      <c r="H26" s="5">
        <v>58.004733999999999</v>
      </c>
      <c r="I26" s="5">
        <v>13.374971</v>
      </c>
      <c r="K26" s="25">
        <v>42552</v>
      </c>
      <c r="L26" s="5">
        <f t="shared" si="0"/>
        <v>5.057980443293867E-2</v>
      </c>
      <c r="M26" s="5">
        <f t="shared" si="1"/>
        <v>3.9287909926471208E-2</v>
      </c>
      <c r="N26" s="5">
        <f t="shared" si="2"/>
        <v>4.5593507496820306E-2</v>
      </c>
    </row>
    <row r="27" spans="1:14" x14ac:dyDescent="0.2">
      <c r="F27" s="25">
        <v>42583</v>
      </c>
      <c r="G27" s="5">
        <v>100.528183</v>
      </c>
      <c r="H27" s="5">
        <v>53.850287999999999</v>
      </c>
      <c r="I27" s="5">
        <v>13.9985</v>
      </c>
      <c r="K27" s="25">
        <v>42583</v>
      </c>
      <c r="L27" s="5">
        <f t="shared" si="0"/>
        <v>-8.7627964976357789E-2</v>
      </c>
      <c r="M27" s="5">
        <f t="shared" si="1"/>
        <v>-7.4316876127776155E-2</v>
      </c>
      <c r="N27" s="5">
        <f t="shared" si="2"/>
        <v>4.5565056462489151E-2</v>
      </c>
    </row>
    <row r="28" spans="1:14" x14ac:dyDescent="0.2">
      <c r="A28" s="7" t="s">
        <v>89</v>
      </c>
      <c r="F28" s="25">
        <v>42614</v>
      </c>
      <c r="G28" s="5">
        <v>99.505249000000006</v>
      </c>
      <c r="H28" s="5">
        <v>55.926375999999998</v>
      </c>
      <c r="I28" s="5">
        <v>15.334621</v>
      </c>
      <c r="K28" s="25">
        <v>42614</v>
      </c>
      <c r="L28" s="5">
        <f t="shared" si="0"/>
        <v>-1.0227719505323564E-2</v>
      </c>
      <c r="M28" s="5">
        <f t="shared" si="1"/>
        <v>3.7828359676866596E-2</v>
      </c>
      <c r="N28" s="5">
        <f t="shared" si="2"/>
        <v>9.1162901537968355E-2</v>
      </c>
    </row>
    <row r="29" spans="1:14" x14ac:dyDescent="0.2">
      <c r="A29" s="5">
        <f>A26*A13+B26*B13+C26*C13</f>
        <v>1.1333439204035416E-2</v>
      </c>
      <c r="F29" s="25">
        <v>42644</v>
      </c>
      <c r="G29" s="5">
        <v>94.305496000000005</v>
      </c>
      <c r="H29" s="5">
        <v>56.691113000000001</v>
      </c>
      <c r="I29" s="5">
        <v>15.952019999999999</v>
      </c>
      <c r="K29" s="25">
        <v>42644</v>
      </c>
      <c r="L29" s="5">
        <f t="shared" si="0"/>
        <v>-5.3670926522409818E-2</v>
      </c>
      <c r="M29" s="5">
        <f t="shared" si="1"/>
        <v>1.3581349781364072E-2</v>
      </c>
      <c r="N29" s="5">
        <f t="shared" si="2"/>
        <v>3.9472384424102273E-2</v>
      </c>
    </row>
    <row r="30" spans="1:14" x14ac:dyDescent="0.2">
      <c r="F30" s="25">
        <v>42675</v>
      </c>
      <c r="G30" s="5">
        <v>91.950432000000006</v>
      </c>
      <c r="H30" s="5">
        <v>60.754275999999997</v>
      </c>
      <c r="I30" s="5">
        <v>16.878579999999999</v>
      </c>
      <c r="K30" s="25">
        <v>42675</v>
      </c>
      <c r="L30" s="5">
        <f t="shared" si="0"/>
        <v>-2.5289820774710321E-2</v>
      </c>
      <c r="M30" s="5">
        <f t="shared" si="1"/>
        <v>6.9220005339154816E-2</v>
      </c>
      <c r="N30" s="5">
        <f t="shared" si="2"/>
        <v>5.6459895426525075E-2</v>
      </c>
    </row>
    <row r="31" spans="1:14" x14ac:dyDescent="0.2">
      <c r="A31" t="s">
        <v>41</v>
      </c>
      <c r="F31" s="25">
        <v>42705</v>
      </c>
      <c r="G31" s="5">
        <v>94.211654999999993</v>
      </c>
      <c r="H31" s="5">
        <v>63.658732999999998</v>
      </c>
      <c r="I31" s="5">
        <v>17.328029999999998</v>
      </c>
      <c r="K31" s="25">
        <v>42705</v>
      </c>
      <c r="L31" s="5">
        <f t="shared" si="0"/>
        <v>2.429425079868237E-2</v>
      </c>
      <c r="M31" s="5">
        <f t="shared" si="1"/>
        <v>4.6699052473387646E-2</v>
      </c>
      <c r="N31" s="5">
        <f t="shared" si="2"/>
        <v>2.6280059152569504E-2</v>
      </c>
    </row>
    <row r="32" spans="1:14" x14ac:dyDescent="0.2">
      <c r="F32" s="25">
        <v>42736</v>
      </c>
      <c r="G32" s="5">
        <v>105.36769099999999</v>
      </c>
      <c r="H32" s="5">
        <v>63.079391000000001</v>
      </c>
      <c r="I32" s="5">
        <v>18.420539999999999</v>
      </c>
      <c r="K32" s="25">
        <v>42736</v>
      </c>
      <c r="L32" s="5">
        <f t="shared" si="0"/>
        <v>0.11191215206977163</v>
      </c>
      <c r="M32" s="5">
        <f t="shared" si="1"/>
        <v>-9.1424114071528284E-3</v>
      </c>
      <c r="N32" s="5">
        <f t="shared" si="2"/>
        <v>6.1140924799293422E-2</v>
      </c>
    </row>
    <row r="33" spans="1:14" x14ac:dyDescent="0.2">
      <c r="A33" s="16" t="s">
        <v>67</v>
      </c>
      <c r="F33" s="25">
        <v>42767</v>
      </c>
      <c r="G33" s="5">
        <v>110.584473</v>
      </c>
      <c r="H33" s="5">
        <v>63.589218000000002</v>
      </c>
      <c r="I33" s="5">
        <v>17.286541</v>
      </c>
      <c r="K33" s="25">
        <v>42767</v>
      </c>
      <c r="L33" s="5">
        <f t="shared" si="0"/>
        <v>4.8323638331085099E-2</v>
      </c>
      <c r="M33" s="5">
        <f t="shared" si="1"/>
        <v>8.049820031511376E-3</v>
      </c>
      <c r="N33" s="5">
        <f t="shared" si="2"/>
        <v>-6.3538124514307612E-2</v>
      </c>
    </row>
    <row r="34" spans="1:14" x14ac:dyDescent="0.2">
      <c r="F34" s="25">
        <v>42795</v>
      </c>
      <c r="G34" s="5">
        <v>117.593346</v>
      </c>
      <c r="H34" s="5">
        <v>67.935455000000005</v>
      </c>
      <c r="I34" s="5">
        <v>16.62274</v>
      </c>
      <c r="K34" s="25">
        <v>42795</v>
      </c>
      <c r="L34" s="5">
        <f t="shared" si="0"/>
        <v>6.1452761786693094E-2</v>
      </c>
      <c r="M34" s="5">
        <f t="shared" si="1"/>
        <v>6.6114135559783058E-2</v>
      </c>
      <c r="N34" s="5">
        <f t="shared" si="2"/>
        <v>-3.9156584392425704E-2</v>
      </c>
    </row>
    <row r="35" spans="1:14" x14ac:dyDescent="0.2">
      <c r="F35" s="25">
        <v>42826</v>
      </c>
      <c r="G35" s="5">
        <v>125.208832</v>
      </c>
      <c r="H35" s="5">
        <v>69.113701000000006</v>
      </c>
      <c r="I35" s="5">
        <v>16.75461</v>
      </c>
      <c r="K35" s="25">
        <v>42826</v>
      </c>
      <c r="L35" s="5">
        <f t="shared" si="0"/>
        <v>6.2750547077866467E-2</v>
      </c>
      <c r="M35" s="5">
        <f t="shared" si="1"/>
        <v>1.7194925744918377E-2</v>
      </c>
      <c r="N35" s="5">
        <f t="shared" si="2"/>
        <v>7.901806832893021E-3</v>
      </c>
    </row>
    <row r="36" spans="1:14" x14ac:dyDescent="0.2">
      <c r="F36" s="25">
        <v>42856</v>
      </c>
      <c r="G36" s="5">
        <v>122.129379</v>
      </c>
      <c r="H36" s="5">
        <v>62.985202999999998</v>
      </c>
      <c r="I36" s="5">
        <v>16.88175</v>
      </c>
      <c r="K36" s="25">
        <v>42856</v>
      </c>
      <c r="L36" s="5">
        <f t="shared" si="0"/>
        <v>-2.4902032884631831E-2</v>
      </c>
      <c r="M36" s="5">
        <f t="shared" si="1"/>
        <v>-9.2853163188671164E-2</v>
      </c>
      <c r="N36" s="5">
        <f t="shared" si="2"/>
        <v>7.5597124953924637E-3</v>
      </c>
    </row>
    <row r="37" spans="1:14" x14ac:dyDescent="0.2">
      <c r="F37" s="25">
        <v>42887</v>
      </c>
      <c r="G37" s="5">
        <v>130.38533000000001</v>
      </c>
      <c r="H37" s="5">
        <v>65.484047000000004</v>
      </c>
      <c r="I37" s="5">
        <v>16.443815000000001</v>
      </c>
      <c r="K37" s="25">
        <v>42887</v>
      </c>
      <c r="L37" s="5">
        <f t="shared" si="0"/>
        <v>6.5413176739645945E-2</v>
      </c>
      <c r="M37" s="5">
        <f t="shared" si="1"/>
        <v>3.8906729935740389E-2</v>
      </c>
      <c r="N37" s="5">
        <f t="shared" si="2"/>
        <v>-2.628373811163592E-2</v>
      </c>
    </row>
    <row r="38" spans="1:14" x14ac:dyDescent="0.2">
      <c r="F38" s="25">
        <v>42917</v>
      </c>
      <c r="G38" s="5">
        <v>119.02159899999999</v>
      </c>
      <c r="H38" s="5">
        <v>66.211555000000004</v>
      </c>
      <c r="I38" s="5">
        <v>18.259134</v>
      </c>
      <c r="K38" s="25">
        <v>42917</v>
      </c>
      <c r="L38" s="5">
        <f t="shared" si="0"/>
        <v>-9.118916232063777E-2</v>
      </c>
      <c r="M38" s="5">
        <f t="shared" si="1"/>
        <v>1.1048438814818325E-2</v>
      </c>
      <c r="N38" s="5">
        <f t="shared" si="2"/>
        <v>0.10471602930597823</v>
      </c>
    </row>
    <row r="39" spans="1:14" x14ac:dyDescent="0.2">
      <c r="F39" s="25">
        <v>42948</v>
      </c>
      <c r="G39" s="5">
        <v>121.402039</v>
      </c>
      <c r="H39" s="5">
        <v>59.940722999999998</v>
      </c>
      <c r="I39" s="5">
        <v>19.339849000000001</v>
      </c>
      <c r="K39" s="25">
        <v>42948</v>
      </c>
      <c r="L39" s="5">
        <f t="shared" si="0"/>
        <v>1.9802693357675434E-2</v>
      </c>
      <c r="M39" s="5">
        <f t="shared" si="1"/>
        <v>-9.9498870661398883E-2</v>
      </c>
      <c r="N39" s="5">
        <f t="shared" si="2"/>
        <v>5.7502234367871934E-2</v>
      </c>
    </row>
    <row r="40" spans="1:14" x14ac:dyDescent="0.2">
      <c r="F40" s="25">
        <v>42979</v>
      </c>
      <c r="G40" s="5">
        <v>126.54074900000001</v>
      </c>
      <c r="H40" s="5">
        <v>61.239330000000002</v>
      </c>
      <c r="I40" s="5">
        <v>18.209688</v>
      </c>
      <c r="K40" s="25">
        <v>42979</v>
      </c>
      <c r="L40" s="5">
        <f t="shared" si="0"/>
        <v>4.145670857720167E-2</v>
      </c>
      <c r="M40" s="5">
        <f t="shared" si="1"/>
        <v>2.143350629007712E-2</v>
      </c>
      <c r="N40" s="5">
        <f t="shared" si="2"/>
        <v>-6.0213922192560443E-2</v>
      </c>
    </row>
    <row r="41" spans="1:14" x14ac:dyDescent="0.2">
      <c r="F41" s="25">
        <v>43009</v>
      </c>
      <c r="G41" s="5">
        <v>132.14828499999999</v>
      </c>
      <c r="H41" s="5">
        <v>63.176205000000003</v>
      </c>
      <c r="I41" s="5">
        <v>19.111439000000001</v>
      </c>
      <c r="K41" s="25">
        <v>43009</v>
      </c>
      <c r="L41" s="5">
        <f t="shared" ref="L41:L68" si="3">LN(G41/G40)</f>
        <v>4.3360280511012671E-2</v>
      </c>
      <c r="M41" s="5">
        <f t="shared" ref="M41:M68" si="4">LN(H41/H40)</f>
        <v>3.1138096925232603E-2</v>
      </c>
      <c r="N41" s="5">
        <f t="shared" ref="N41:N68" si="5">LN(I41/I40)</f>
        <v>4.8333296157224238E-2</v>
      </c>
    </row>
    <row r="42" spans="1:14" x14ac:dyDescent="0.2">
      <c r="F42" s="25">
        <v>43040</v>
      </c>
      <c r="G42" s="5">
        <v>136.34298699999999</v>
      </c>
      <c r="H42" s="5">
        <v>64.641075000000001</v>
      </c>
      <c r="I42" s="5">
        <v>19.658712000000001</v>
      </c>
      <c r="K42" s="25">
        <v>43040</v>
      </c>
      <c r="L42" s="5">
        <f t="shared" si="3"/>
        <v>3.1249010869581009E-2</v>
      </c>
      <c r="M42" s="5">
        <f t="shared" si="4"/>
        <v>2.292231755071748E-2</v>
      </c>
      <c r="N42" s="5">
        <f t="shared" si="5"/>
        <v>2.8233542532634496E-2</v>
      </c>
    </row>
    <row r="43" spans="1:14" x14ac:dyDescent="0.2">
      <c r="F43" s="25">
        <v>43070</v>
      </c>
      <c r="G43" s="5">
        <v>134.402603</v>
      </c>
      <c r="H43" s="5">
        <v>65.381630000000001</v>
      </c>
      <c r="I43" s="5">
        <v>21.293337000000001</v>
      </c>
      <c r="K43" s="25">
        <v>43070</v>
      </c>
      <c r="L43" s="5">
        <f t="shared" si="3"/>
        <v>-1.4333878697761857E-2</v>
      </c>
      <c r="M43" s="5">
        <f t="shared" si="4"/>
        <v>1.1391287513039592E-2</v>
      </c>
      <c r="N43" s="5">
        <f t="shared" si="5"/>
        <v>7.9873608037125024E-2</v>
      </c>
    </row>
    <row r="44" spans="1:14" x14ac:dyDescent="0.2">
      <c r="F44" s="25">
        <v>43101</v>
      </c>
      <c r="G44" s="5">
        <v>139.27267499999999</v>
      </c>
      <c r="H44" s="5">
        <v>64.185340999999994</v>
      </c>
      <c r="I44" s="5">
        <v>21.747004</v>
      </c>
      <c r="K44" s="25">
        <v>43101</v>
      </c>
      <c r="L44" s="5">
        <f t="shared" si="3"/>
        <v>3.5593906714700585E-2</v>
      </c>
      <c r="M44" s="5">
        <f t="shared" si="4"/>
        <v>-1.8466480866342509E-2</v>
      </c>
      <c r="N44" s="5">
        <f t="shared" si="5"/>
        <v>2.1081794043691322E-2</v>
      </c>
    </row>
    <row r="45" spans="1:14" x14ac:dyDescent="0.2">
      <c r="F45" s="25">
        <v>43132</v>
      </c>
      <c r="G45" s="5">
        <v>155.20500200000001</v>
      </c>
      <c r="H45" s="5">
        <v>62.167068</v>
      </c>
      <c r="I45" s="5">
        <v>21.963031999999998</v>
      </c>
      <c r="K45" s="25">
        <v>43132</v>
      </c>
      <c r="L45" s="5">
        <f t="shared" si="3"/>
        <v>0.10831313443548164</v>
      </c>
      <c r="M45" s="5">
        <f t="shared" si="4"/>
        <v>-3.1949445131560471E-2</v>
      </c>
      <c r="N45" s="5">
        <f t="shared" si="5"/>
        <v>9.8846754071609567E-3</v>
      </c>
    </row>
    <row r="46" spans="1:14" x14ac:dyDescent="0.2">
      <c r="F46" s="25">
        <v>43160</v>
      </c>
      <c r="G46" s="5">
        <v>147.87141399999999</v>
      </c>
      <c r="H46" s="5">
        <v>60.430756000000002</v>
      </c>
      <c r="I46" s="5">
        <v>20.314003</v>
      </c>
      <c r="K46" s="25">
        <v>43160</v>
      </c>
      <c r="L46" s="5">
        <f t="shared" si="3"/>
        <v>-4.8403764818023866E-2</v>
      </c>
      <c r="M46" s="5">
        <f t="shared" si="4"/>
        <v>-2.8327225521238675E-2</v>
      </c>
      <c r="N46" s="5">
        <f t="shared" si="5"/>
        <v>-7.8050225128710016E-2</v>
      </c>
    </row>
    <row r="47" spans="1:14" x14ac:dyDescent="0.2">
      <c r="F47" s="25">
        <v>43191</v>
      </c>
      <c r="G47" s="5">
        <v>163.03140300000001</v>
      </c>
      <c r="H47" s="5">
        <v>60.021262999999998</v>
      </c>
      <c r="I47" s="5">
        <v>22.834942000000002</v>
      </c>
      <c r="K47" s="25">
        <v>43191</v>
      </c>
      <c r="L47" s="5">
        <f t="shared" si="3"/>
        <v>9.7599766899428606E-2</v>
      </c>
      <c r="M47" s="5">
        <f t="shared" si="4"/>
        <v>-6.7992978612666259E-3</v>
      </c>
      <c r="N47" s="5">
        <f t="shared" si="5"/>
        <v>0.11698145547444939</v>
      </c>
    </row>
    <row r="48" spans="1:14" x14ac:dyDescent="0.2">
      <c r="F48" s="25">
        <v>43221</v>
      </c>
      <c r="G48" s="5">
        <v>177.85507200000001</v>
      </c>
      <c r="H48" s="5">
        <v>57.915256999999997</v>
      </c>
      <c r="I48" s="5">
        <v>24.192492999999999</v>
      </c>
      <c r="K48" s="25">
        <v>43221</v>
      </c>
      <c r="L48" s="5">
        <f t="shared" si="3"/>
        <v>8.7026177709605038E-2</v>
      </c>
      <c r="M48" s="5">
        <f t="shared" si="4"/>
        <v>-3.5718026864257589E-2</v>
      </c>
      <c r="N48" s="5">
        <f t="shared" si="5"/>
        <v>5.7750471753897234E-2</v>
      </c>
    </row>
    <row r="49" spans="6:14" x14ac:dyDescent="0.2">
      <c r="F49" s="25">
        <v>43252</v>
      </c>
      <c r="G49" s="5">
        <v>184.333786</v>
      </c>
      <c r="H49" s="5">
        <v>60.898766000000002</v>
      </c>
      <c r="I49" s="5">
        <v>25.018829</v>
      </c>
      <c r="K49" s="25">
        <v>43252</v>
      </c>
      <c r="L49" s="5">
        <f t="shared" si="3"/>
        <v>3.5779152145196245E-2</v>
      </c>
      <c r="M49" s="5">
        <f t="shared" si="4"/>
        <v>5.0232055872545235E-2</v>
      </c>
      <c r="N49" s="5">
        <f t="shared" si="5"/>
        <v>3.3586322958490601E-2</v>
      </c>
    </row>
    <row r="50" spans="6:14" x14ac:dyDescent="0.2">
      <c r="F50" s="25">
        <v>43282</v>
      </c>
      <c r="G50" s="5">
        <v>188.152176</v>
      </c>
      <c r="H50" s="5">
        <v>62.503342000000004</v>
      </c>
      <c r="I50" s="5">
        <v>25.719742</v>
      </c>
      <c r="K50" s="25">
        <v>43282</v>
      </c>
      <c r="L50" s="5">
        <f t="shared" si="3"/>
        <v>2.0502913665656607E-2</v>
      </c>
      <c r="M50" s="5">
        <f t="shared" si="4"/>
        <v>2.6007115527999888E-2</v>
      </c>
      <c r="N50" s="5">
        <f t="shared" si="5"/>
        <v>2.7630166829370192E-2</v>
      </c>
    </row>
    <row r="51" spans="6:14" x14ac:dyDescent="0.2">
      <c r="F51" s="25">
        <v>43313</v>
      </c>
      <c r="G51" s="5">
        <v>217.531509</v>
      </c>
      <c r="H51" s="5">
        <v>59.536544999999997</v>
      </c>
      <c r="I51" s="5">
        <v>24.502369000000002</v>
      </c>
      <c r="K51" s="25">
        <v>43313</v>
      </c>
      <c r="L51" s="5">
        <f t="shared" si="3"/>
        <v>0.14509262678869192</v>
      </c>
      <c r="M51" s="5">
        <f t="shared" si="4"/>
        <v>-4.8629701625176457E-2</v>
      </c>
      <c r="N51" s="5">
        <f t="shared" si="5"/>
        <v>-4.8489061461227008E-2</v>
      </c>
    </row>
    <row r="52" spans="6:14" x14ac:dyDescent="0.2">
      <c r="F52" s="25">
        <v>43344</v>
      </c>
      <c r="G52" s="5">
        <v>192.45858799999999</v>
      </c>
      <c r="H52" s="5">
        <v>61.552962999999998</v>
      </c>
      <c r="I52" s="5">
        <v>25.550046999999999</v>
      </c>
      <c r="K52" s="25">
        <v>43344</v>
      </c>
      <c r="L52" s="5">
        <f t="shared" si="3"/>
        <v>-0.12246270568984008</v>
      </c>
      <c r="M52" s="5">
        <f t="shared" si="4"/>
        <v>3.3307665507981941E-2</v>
      </c>
      <c r="N52" s="5">
        <f t="shared" si="5"/>
        <v>4.1869349424673373E-2</v>
      </c>
    </row>
    <row r="53" spans="6:14" x14ac:dyDescent="0.2">
      <c r="F53" s="25">
        <v>43374</v>
      </c>
      <c r="G53" s="5">
        <v>181.00276199999999</v>
      </c>
      <c r="H53" s="5">
        <v>59.673873999999998</v>
      </c>
      <c r="I53" s="5">
        <v>24.413554999999999</v>
      </c>
      <c r="K53" s="25">
        <v>43374</v>
      </c>
      <c r="L53" s="5">
        <f t="shared" si="3"/>
        <v>-6.1368712494014183E-2</v>
      </c>
      <c r="M53" s="5">
        <f t="shared" si="4"/>
        <v>-3.1003688021772991E-2</v>
      </c>
      <c r="N53" s="5">
        <f t="shared" si="5"/>
        <v>-4.5500645343526352E-2</v>
      </c>
    </row>
    <row r="54" spans="6:14" x14ac:dyDescent="0.2">
      <c r="F54" s="25">
        <v>43405</v>
      </c>
      <c r="G54" s="5">
        <v>170.79731799999999</v>
      </c>
      <c r="H54" s="5">
        <v>61.397793</v>
      </c>
      <c r="I54" s="5">
        <v>23.261472999999999</v>
      </c>
      <c r="K54" s="25">
        <v>43405</v>
      </c>
      <c r="L54" s="5">
        <f t="shared" si="3"/>
        <v>-5.8034712162836101E-2</v>
      </c>
      <c r="M54" s="5">
        <f t="shared" si="4"/>
        <v>2.8479586707854169E-2</v>
      </c>
      <c r="N54" s="5">
        <f t="shared" si="5"/>
        <v>-4.8340038148385556E-2</v>
      </c>
    </row>
    <row r="55" spans="6:14" x14ac:dyDescent="0.2">
      <c r="F55" s="25">
        <v>43435</v>
      </c>
      <c r="G55" s="5">
        <v>178.268494</v>
      </c>
      <c r="H55" s="5">
        <v>62.397671000000003</v>
      </c>
      <c r="I55" s="5">
        <v>25.944617999999998</v>
      </c>
      <c r="K55" s="25">
        <v>43435</v>
      </c>
      <c r="L55" s="5">
        <f t="shared" si="3"/>
        <v>4.2813228413028988E-2</v>
      </c>
      <c r="M55" s="5">
        <f t="shared" si="4"/>
        <v>1.615406107921994E-2</v>
      </c>
      <c r="N55" s="5">
        <f t="shared" si="5"/>
        <v>0.10916571657141029</v>
      </c>
    </row>
    <row r="56" spans="6:14" x14ac:dyDescent="0.2">
      <c r="F56" s="25">
        <v>43466</v>
      </c>
      <c r="G56" s="5">
        <v>187.47264100000001</v>
      </c>
      <c r="H56" s="5">
        <v>60.260005999999997</v>
      </c>
      <c r="I56" s="5">
        <v>26.399387000000001</v>
      </c>
      <c r="K56" s="25">
        <v>43466</v>
      </c>
      <c r="L56" s="5">
        <f t="shared" si="3"/>
        <v>5.0342113029119027E-2</v>
      </c>
      <c r="M56" s="5">
        <f t="shared" si="4"/>
        <v>-3.4859317690199516E-2</v>
      </c>
      <c r="N56" s="5">
        <f t="shared" si="5"/>
        <v>1.7376600927866876E-2</v>
      </c>
    </row>
    <row r="57" spans="6:14" x14ac:dyDescent="0.2">
      <c r="F57" s="25">
        <v>43497</v>
      </c>
      <c r="G57" s="5">
        <v>186.54838599999999</v>
      </c>
      <c r="H57" s="5">
        <v>63.742336000000002</v>
      </c>
      <c r="I57" s="5">
        <v>29.430653</v>
      </c>
      <c r="K57" s="25">
        <v>43497</v>
      </c>
      <c r="L57" s="5">
        <f t="shared" si="3"/>
        <v>-4.9422723034477393E-3</v>
      </c>
      <c r="M57" s="5">
        <f t="shared" si="4"/>
        <v>5.6180323933049586E-2</v>
      </c>
      <c r="N57" s="5">
        <f t="shared" si="5"/>
        <v>0.10869596005679574</v>
      </c>
    </row>
    <row r="58" spans="6:14" x14ac:dyDescent="0.2">
      <c r="F58" s="25">
        <v>43525</v>
      </c>
      <c r="G58" s="5">
        <v>187.68447900000001</v>
      </c>
      <c r="H58" s="5">
        <v>62.596493000000002</v>
      </c>
      <c r="I58" s="5">
        <v>30.426689</v>
      </c>
      <c r="K58" s="25">
        <v>43525</v>
      </c>
      <c r="L58" s="5">
        <f t="shared" si="3"/>
        <v>6.0716019161421025E-3</v>
      </c>
      <c r="M58" s="5">
        <f t="shared" si="4"/>
        <v>-1.8139703031211749E-2</v>
      </c>
      <c r="N58" s="5">
        <f t="shared" si="5"/>
        <v>3.3283400648184636E-2</v>
      </c>
    </row>
    <row r="59" spans="6:14" x14ac:dyDescent="0.2">
      <c r="F59" s="25">
        <v>43556</v>
      </c>
      <c r="G59" s="5">
        <v>192.344604</v>
      </c>
      <c r="H59" s="5">
        <v>66.034690999999995</v>
      </c>
      <c r="I59" s="5">
        <v>30.191666000000001</v>
      </c>
      <c r="K59" s="25">
        <v>43556</v>
      </c>
      <c r="L59" s="5">
        <f t="shared" si="3"/>
        <v>2.4526326066563992E-2</v>
      </c>
      <c r="M59" s="5">
        <f t="shared" si="4"/>
        <v>5.3470970975579728E-2</v>
      </c>
      <c r="N59" s="5">
        <f t="shared" si="5"/>
        <v>-7.754224858816881E-3</v>
      </c>
    </row>
    <row r="60" spans="6:14" x14ac:dyDescent="0.2">
      <c r="F60" s="25">
        <v>43586</v>
      </c>
      <c r="G60" s="5">
        <v>199.04763800000001</v>
      </c>
      <c r="H60" s="5">
        <v>69.570374000000001</v>
      </c>
      <c r="I60" s="5">
        <v>30.482275000000001</v>
      </c>
      <c r="K60" s="25">
        <v>43586</v>
      </c>
      <c r="L60" s="5">
        <f t="shared" si="3"/>
        <v>3.4255607234208667E-2</v>
      </c>
      <c r="M60" s="5">
        <f t="shared" si="4"/>
        <v>5.2158590653404099E-2</v>
      </c>
      <c r="N60" s="5">
        <f t="shared" si="5"/>
        <v>9.5794411088147499E-3</v>
      </c>
    </row>
    <row r="61" spans="6:14" x14ac:dyDescent="0.2">
      <c r="F61" s="25">
        <v>43617</v>
      </c>
      <c r="G61" s="5">
        <v>208.259491</v>
      </c>
      <c r="H61" s="5">
        <v>73.354149000000007</v>
      </c>
      <c r="I61" s="5">
        <v>33.226978000000003</v>
      </c>
      <c r="K61" s="25">
        <v>43617</v>
      </c>
      <c r="L61" s="5">
        <f t="shared" si="3"/>
        <v>4.524067202776838E-2</v>
      </c>
      <c r="M61" s="5">
        <f t="shared" si="4"/>
        <v>5.2960251604954198E-2</v>
      </c>
      <c r="N61" s="5">
        <f t="shared" si="5"/>
        <v>8.6216769170386551E-2</v>
      </c>
    </row>
    <row r="62" spans="6:14" x14ac:dyDescent="0.2">
      <c r="F62" s="25">
        <v>43647</v>
      </c>
      <c r="G62" s="5">
        <v>222.421143</v>
      </c>
      <c r="H62" s="5">
        <v>72.928809999999999</v>
      </c>
      <c r="I62" s="5">
        <v>32.904071999999999</v>
      </c>
      <c r="K62" s="25">
        <v>43647</v>
      </c>
      <c r="L62" s="5">
        <f t="shared" si="3"/>
        <v>6.5787770265393258E-2</v>
      </c>
      <c r="M62" s="5">
        <f t="shared" si="4"/>
        <v>-5.8153075597616776E-3</v>
      </c>
      <c r="N62" s="5">
        <f t="shared" si="5"/>
        <v>-9.7657172015476537E-3</v>
      </c>
    </row>
    <row r="63" spans="6:14" x14ac:dyDescent="0.2">
      <c r="F63" s="25">
        <v>43678</v>
      </c>
      <c r="G63" s="5">
        <v>233.31842</v>
      </c>
      <c r="H63" s="5">
        <v>70.048882000000006</v>
      </c>
      <c r="I63" s="5">
        <v>29.295603</v>
      </c>
      <c r="K63" s="25">
        <v>43678</v>
      </c>
      <c r="L63" s="5">
        <f t="shared" si="3"/>
        <v>4.7831504743128445E-2</v>
      </c>
      <c r="M63" s="5">
        <f t="shared" si="4"/>
        <v>-4.0290447219598208E-2</v>
      </c>
      <c r="N63" s="5">
        <f t="shared" si="5"/>
        <v>-0.11615898260726822</v>
      </c>
    </row>
    <row r="64" spans="6:14" x14ac:dyDescent="0.2">
      <c r="F64" s="25">
        <v>43709</v>
      </c>
      <c r="G64" s="5">
        <v>226.36352500000001</v>
      </c>
      <c r="H64" s="5">
        <v>73.770804999999996</v>
      </c>
      <c r="I64" s="5">
        <v>29.642727000000001</v>
      </c>
      <c r="K64" s="25">
        <v>43709</v>
      </c>
      <c r="L64" s="5">
        <f t="shared" si="3"/>
        <v>-3.0261905354585367E-2</v>
      </c>
      <c r="M64" s="5">
        <f t="shared" si="4"/>
        <v>5.1769744504540506E-2</v>
      </c>
      <c r="N64" s="5">
        <f t="shared" si="5"/>
        <v>1.1779363742088308E-2</v>
      </c>
    </row>
    <row r="65" spans="6:14" x14ac:dyDescent="0.2">
      <c r="F65" s="25">
        <v>43739</v>
      </c>
      <c r="G65" s="5">
        <v>249.51821899999999</v>
      </c>
      <c r="H65" s="5">
        <v>71.790321000000006</v>
      </c>
      <c r="I65" s="5">
        <v>29.959023999999999</v>
      </c>
      <c r="K65" s="25">
        <v>43739</v>
      </c>
      <c r="L65" s="5">
        <f t="shared" si="3"/>
        <v>9.7389709877291494E-2</v>
      </c>
      <c r="M65" s="5">
        <f t="shared" si="4"/>
        <v>-2.7213395178404605E-2</v>
      </c>
      <c r="N65" s="5">
        <f t="shared" si="5"/>
        <v>1.06137811050027E-2</v>
      </c>
    </row>
    <row r="66" spans="6:14" x14ac:dyDescent="0.2">
      <c r="F66" s="25">
        <v>43770</v>
      </c>
      <c r="G66" s="5">
        <v>276.270081</v>
      </c>
      <c r="H66" s="5">
        <v>73.761680999999996</v>
      </c>
      <c r="I66" s="5">
        <v>31.859069999999999</v>
      </c>
      <c r="K66" s="25">
        <v>43770</v>
      </c>
      <c r="L66" s="5">
        <f t="shared" si="3"/>
        <v>0.10184700702310366</v>
      </c>
      <c r="M66" s="5">
        <f t="shared" si="4"/>
        <v>2.7089707165560657E-2</v>
      </c>
      <c r="N66" s="5">
        <f t="shared" si="5"/>
        <v>6.1491532499344942E-2</v>
      </c>
    </row>
    <row r="67" spans="6:14" x14ac:dyDescent="0.2">
      <c r="F67" s="25">
        <v>43800</v>
      </c>
      <c r="G67" s="5">
        <v>268.74646000000001</v>
      </c>
      <c r="H67" s="5">
        <v>72.922027999999997</v>
      </c>
      <c r="I67" s="5">
        <v>32.434081999999997</v>
      </c>
      <c r="K67" s="25">
        <v>43800</v>
      </c>
      <c r="L67" s="5">
        <f t="shared" si="3"/>
        <v>-2.7610534330688996E-2</v>
      </c>
      <c r="M67" s="5">
        <f t="shared" si="4"/>
        <v>-1.1448608395009075E-2</v>
      </c>
      <c r="N67" s="5">
        <f t="shared" si="5"/>
        <v>1.7887669656419278E-2</v>
      </c>
    </row>
    <row r="68" spans="6:14" x14ac:dyDescent="0.2">
      <c r="F68" s="25">
        <v>43831</v>
      </c>
      <c r="G68" s="5">
        <v>304.11343399999998</v>
      </c>
      <c r="H68" s="5">
        <v>77.813918999999999</v>
      </c>
      <c r="I68" s="5">
        <v>32.834091000000001</v>
      </c>
      <c r="K68" s="25">
        <v>43831</v>
      </c>
      <c r="L68" s="5">
        <f t="shared" si="3"/>
        <v>0.12363236270329009</v>
      </c>
      <c r="M68" s="5">
        <f t="shared" si="4"/>
        <v>6.4929561913538464E-2</v>
      </c>
      <c r="N68" s="5">
        <f t="shared" si="5"/>
        <v>1.2257551880692361E-2</v>
      </c>
    </row>
  </sheetData>
  <mergeCells count="2">
    <mergeCell ref="K6:N6"/>
    <mergeCell ref="F6:I6"/>
  </mergeCells>
  <hyperlinks>
    <hyperlink ref="A5" location="'Task e'!F6" display="Part a" xr:uid="{422D5B12-3C69-8F44-85FA-197DA2CB275C}"/>
    <hyperlink ref="A6" location="'Task e'!A15" display="Part b" xr:uid="{3DACAEE2-D6B1-E54E-A446-3E8979882F9E}"/>
    <hyperlink ref="A7" location="'Task e'!A24" display="Part c" xr:uid="{58E6C804-9D38-F344-BC86-EA778AD029F2}"/>
    <hyperlink ref="A8" location="'Task e'!A28" display="Part d" xr:uid="{6D39DB91-4CD7-044D-A9C2-50EC2EF72124}"/>
    <hyperlink ref="A9" location="'Task e simulation procedure'!A1" display="Part e" xr:uid="{4B84B811-9254-D348-AF32-2B18A66D7184}"/>
    <hyperlink ref="A33" location="Answers!A50" display="Back to answers" xr:uid="{D7EB1CBD-95DA-1D40-8CB0-8CA4B32D1E87}"/>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C0604-3CE6-8045-8D94-D4DDDAAE580B}">
  <sheetPr codeName="Sheet11"/>
  <dimension ref="A1:DQ127"/>
  <sheetViews>
    <sheetView showGridLines="0" showRowColHeaders="0" topLeftCell="A21" workbookViewId="0">
      <selection activeCell="A54" sqref="A54"/>
    </sheetView>
  </sheetViews>
  <sheetFormatPr baseColWidth="10" defaultRowHeight="16" x14ac:dyDescent="0.2"/>
  <cols>
    <col min="1" max="1" width="14" customWidth="1"/>
    <col min="3" max="3" width="15.6640625" customWidth="1"/>
    <col min="7" max="7" width="17" bestFit="1" customWidth="1"/>
    <col min="8" max="8" width="12.5" customWidth="1"/>
    <col min="9" max="9" width="11.1640625" bestFit="1" customWidth="1"/>
    <col min="12" max="14" width="10.83203125" customWidth="1"/>
  </cols>
  <sheetData>
    <row r="1" spans="1:121" ht="19" x14ac:dyDescent="0.25">
      <c r="A1" s="37" t="s">
        <v>99</v>
      </c>
      <c r="B1" s="38"/>
      <c r="C1" s="38"/>
      <c r="D1" s="38"/>
      <c r="E1" s="38"/>
      <c r="F1" s="38"/>
      <c r="G1" s="38"/>
      <c r="H1" s="39"/>
      <c r="I1" s="35" t="s">
        <v>38</v>
      </c>
      <c r="J1" s="7"/>
      <c r="K1" s="7"/>
      <c r="L1" s="7"/>
    </row>
    <row r="2" spans="1:121" ht="19" x14ac:dyDescent="0.25">
      <c r="A2" s="40" t="s">
        <v>105</v>
      </c>
      <c r="B2" s="41"/>
      <c r="C2" s="17" t="s">
        <v>93</v>
      </c>
      <c r="D2" s="41" t="s">
        <v>114</v>
      </c>
      <c r="E2" s="41"/>
      <c r="F2" s="41"/>
      <c r="G2" s="41"/>
      <c r="H2" s="42"/>
      <c r="I2" s="6" t="s">
        <v>92</v>
      </c>
      <c r="J2" s="5">
        <f ca="1">EXP(SUM(J5:J125))</f>
        <v>3.9787448598390904</v>
      </c>
      <c r="K2" s="5"/>
      <c r="L2" s="5"/>
      <c r="R2" s="35" t="s">
        <v>93</v>
      </c>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row>
    <row r="3" spans="1:121" x14ac:dyDescent="0.2">
      <c r="A3" s="40" t="s">
        <v>105</v>
      </c>
      <c r="B3" s="41"/>
      <c r="C3" s="17" t="s">
        <v>95</v>
      </c>
      <c r="D3" s="41" t="s">
        <v>116</v>
      </c>
      <c r="E3" s="41"/>
      <c r="F3" s="41"/>
      <c r="G3" s="41"/>
      <c r="H3" s="42"/>
      <c r="I3" s="6"/>
      <c r="J3" s="6"/>
      <c r="K3" s="6"/>
      <c r="L3" s="6"/>
      <c r="N3" s="7" t="s">
        <v>91</v>
      </c>
      <c r="O3" s="7"/>
      <c r="P3" s="7"/>
      <c r="R3" s="7"/>
      <c r="S3" s="7" t="s">
        <v>94</v>
      </c>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row>
    <row r="4" spans="1:121" x14ac:dyDescent="0.2">
      <c r="A4" s="43" t="s">
        <v>105</v>
      </c>
      <c r="B4" s="44"/>
      <c r="C4" s="17" t="s">
        <v>96</v>
      </c>
      <c r="D4" s="44" t="s">
        <v>115</v>
      </c>
      <c r="E4" s="44"/>
      <c r="F4" s="44"/>
      <c r="G4" s="44"/>
      <c r="H4" s="45"/>
      <c r="I4" s="6" t="s">
        <v>5</v>
      </c>
      <c r="J4" s="6" t="s">
        <v>5</v>
      </c>
      <c r="K4" s="6" t="s">
        <v>56</v>
      </c>
      <c r="L4" s="6"/>
      <c r="N4" s="32" t="s">
        <v>37</v>
      </c>
      <c r="O4" s="32" t="s">
        <v>58</v>
      </c>
      <c r="P4" s="32" t="s">
        <v>57</v>
      </c>
      <c r="R4" s="7" t="s">
        <v>5</v>
      </c>
      <c r="S4" s="7">
        <v>1</v>
      </c>
      <c r="T4" s="7">
        <v>2</v>
      </c>
      <c r="U4" s="7">
        <v>3</v>
      </c>
      <c r="V4" s="7">
        <v>4</v>
      </c>
      <c r="W4" s="7">
        <v>5</v>
      </c>
      <c r="X4" s="7">
        <v>6</v>
      </c>
      <c r="Y4" s="7">
        <v>7</v>
      </c>
      <c r="Z4" s="7">
        <v>8</v>
      </c>
      <c r="AA4" s="7">
        <v>9</v>
      </c>
      <c r="AB4" s="7">
        <v>10</v>
      </c>
      <c r="AC4" s="7">
        <v>11</v>
      </c>
      <c r="AD4" s="7">
        <v>12</v>
      </c>
      <c r="AE4" s="7">
        <v>13</v>
      </c>
      <c r="AF4" s="7">
        <v>14</v>
      </c>
      <c r="AG4" s="7">
        <v>15</v>
      </c>
      <c r="AH4" s="7">
        <v>16</v>
      </c>
      <c r="AI4" s="7">
        <v>17</v>
      </c>
      <c r="AJ4" s="7">
        <v>18</v>
      </c>
      <c r="AK4" s="7">
        <v>19</v>
      </c>
      <c r="AL4" s="7">
        <v>20</v>
      </c>
      <c r="AM4" s="7">
        <v>21</v>
      </c>
      <c r="AN4" s="7">
        <v>22</v>
      </c>
      <c r="AO4" s="7">
        <v>23</v>
      </c>
      <c r="AP4" s="7">
        <v>24</v>
      </c>
      <c r="AQ4" s="7">
        <v>25</v>
      </c>
      <c r="AR4" s="7">
        <v>26</v>
      </c>
      <c r="AS4" s="7">
        <v>27</v>
      </c>
      <c r="AT4" s="7">
        <v>28</v>
      </c>
      <c r="AU4" s="7">
        <v>29</v>
      </c>
      <c r="AV4" s="7">
        <v>30</v>
      </c>
      <c r="AW4" s="7">
        <v>31</v>
      </c>
      <c r="AX4" s="7">
        <v>32</v>
      </c>
      <c r="AY4" s="7">
        <v>33</v>
      </c>
      <c r="AZ4" s="7">
        <v>34</v>
      </c>
      <c r="BA4" s="7">
        <v>35</v>
      </c>
      <c r="BB4" s="7">
        <v>36</v>
      </c>
      <c r="BC4" s="7">
        <v>37</v>
      </c>
      <c r="BD4" s="7">
        <v>38</v>
      </c>
      <c r="BE4" s="7">
        <v>39</v>
      </c>
      <c r="BF4" s="7">
        <v>40</v>
      </c>
      <c r="BG4" s="7">
        <v>41</v>
      </c>
      <c r="BH4" s="7">
        <v>42</v>
      </c>
      <c r="BI4" s="7">
        <v>43</v>
      </c>
      <c r="BJ4" s="7">
        <v>44</v>
      </c>
      <c r="BK4" s="7">
        <v>45</v>
      </c>
      <c r="BL4" s="7">
        <v>46</v>
      </c>
      <c r="BM4" s="7">
        <v>47</v>
      </c>
      <c r="BN4" s="7">
        <v>48</v>
      </c>
      <c r="BO4" s="7">
        <v>49</v>
      </c>
      <c r="BP4" s="7">
        <v>50</v>
      </c>
      <c r="BQ4" s="7">
        <v>51</v>
      </c>
      <c r="BR4" s="7">
        <v>52</v>
      </c>
      <c r="BS4" s="7">
        <v>53</v>
      </c>
      <c r="BT4" s="7">
        <v>54</v>
      </c>
      <c r="BU4" s="7">
        <v>55</v>
      </c>
      <c r="BV4" s="7">
        <v>56</v>
      </c>
      <c r="BW4" s="7">
        <v>57</v>
      </c>
      <c r="BX4" s="7">
        <v>58</v>
      </c>
      <c r="BY4" s="7">
        <v>59</v>
      </c>
      <c r="BZ4" s="7">
        <v>60</v>
      </c>
      <c r="CA4" s="7">
        <v>61</v>
      </c>
      <c r="CB4" s="7">
        <v>62</v>
      </c>
      <c r="CC4" s="7">
        <v>63</v>
      </c>
      <c r="CD4" s="7">
        <v>64</v>
      </c>
      <c r="CE4" s="7">
        <v>65</v>
      </c>
      <c r="CF4" s="7">
        <v>66</v>
      </c>
      <c r="CG4" s="7">
        <v>67</v>
      </c>
      <c r="CH4" s="7">
        <v>68</v>
      </c>
      <c r="CI4" s="7">
        <v>69</v>
      </c>
      <c r="CJ4" s="7">
        <v>70</v>
      </c>
      <c r="CK4" s="7">
        <v>71</v>
      </c>
      <c r="CL4" s="7">
        <v>72</v>
      </c>
      <c r="CM4" s="7">
        <v>73</v>
      </c>
      <c r="CN4" s="7">
        <v>74</v>
      </c>
      <c r="CO4" s="7">
        <v>75</v>
      </c>
      <c r="CP4" s="7">
        <v>76</v>
      </c>
      <c r="CQ4" s="7">
        <v>77</v>
      </c>
      <c r="CR4" s="7">
        <v>78</v>
      </c>
      <c r="CS4" s="7">
        <v>79</v>
      </c>
      <c r="CT4" s="7">
        <v>80</v>
      </c>
      <c r="CU4" s="7">
        <v>81</v>
      </c>
      <c r="CV4" s="7">
        <v>82</v>
      </c>
      <c r="CW4" s="7">
        <v>83</v>
      </c>
      <c r="CX4" s="7">
        <v>84</v>
      </c>
      <c r="CY4" s="7">
        <v>85</v>
      </c>
      <c r="CZ4" s="7">
        <v>86</v>
      </c>
      <c r="DA4" s="7">
        <v>87</v>
      </c>
      <c r="DB4" s="7">
        <v>88</v>
      </c>
      <c r="DC4" s="7">
        <v>89</v>
      </c>
      <c r="DD4" s="7">
        <v>90</v>
      </c>
      <c r="DE4" s="7">
        <v>91</v>
      </c>
      <c r="DF4" s="7">
        <v>92</v>
      </c>
      <c r="DG4" s="7">
        <v>93</v>
      </c>
      <c r="DH4" s="7">
        <v>94</v>
      </c>
      <c r="DI4" s="7">
        <v>95</v>
      </c>
      <c r="DJ4" s="7">
        <v>96</v>
      </c>
      <c r="DK4" s="7">
        <v>97</v>
      </c>
      <c r="DL4" s="7">
        <v>98</v>
      </c>
      <c r="DM4" s="7">
        <v>99</v>
      </c>
      <c r="DN4" s="7">
        <v>100</v>
      </c>
    </row>
    <row r="5" spans="1:121" x14ac:dyDescent="0.2">
      <c r="I5" s="32">
        <v>44562</v>
      </c>
      <c r="J5" s="33">
        <f t="shared" ref="J5:J36" ca="1" si="0">_xlfn.NORM.INV(RAND(),$A$52,$B$45)</f>
        <v>9.6839464985901055E-3</v>
      </c>
      <c r="K5" s="5"/>
      <c r="L5" s="5"/>
      <c r="N5" s="6">
        <v>1</v>
      </c>
      <c r="O5" s="5">
        <f ca="1">$J$2</f>
        <v>3.9787448598390904</v>
      </c>
      <c r="P5" s="9">
        <f ca="1">L126</f>
        <v>687164.14836613764</v>
      </c>
      <c r="R5" s="32">
        <v>44562</v>
      </c>
      <c r="S5" s="33">
        <f t="shared" ref="S5:AB14" ca="1" si="1">_xlfn.NORM.INV(RAND(),$A$52,$B$45)</f>
        <v>1.1037751655967345E-2</v>
      </c>
      <c r="T5" s="33">
        <f t="shared" ca="1" si="1"/>
        <v>1.2539990952301645E-2</v>
      </c>
      <c r="U5" s="33">
        <f t="shared" ca="1" si="1"/>
        <v>1.1453966546816243E-2</v>
      </c>
      <c r="V5" s="33">
        <f t="shared" ca="1" si="1"/>
        <v>1.0722594923427935E-2</v>
      </c>
      <c r="W5" s="33">
        <f t="shared" ca="1" si="1"/>
        <v>9.7367224885706316E-3</v>
      </c>
      <c r="X5" s="33">
        <f t="shared" ca="1" si="1"/>
        <v>1.028415396963391E-2</v>
      </c>
      <c r="Y5" s="33">
        <f t="shared" ca="1" si="1"/>
        <v>1.0920148012482891E-2</v>
      </c>
      <c r="Z5" s="33">
        <f t="shared" ca="1" si="1"/>
        <v>1.2232765888488838E-2</v>
      </c>
      <c r="AA5" s="33">
        <f t="shared" ca="1" si="1"/>
        <v>1.2168059719067649E-2</v>
      </c>
      <c r="AB5" s="33">
        <f t="shared" ca="1" si="1"/>
        <v>1.3134404513173846E-2</v>
      </c>
      <c r="AC5" s="33">
        <f t="shared" ref="AC5:AL14" ca="1" si="2">_xlfn.NORM.INV(RAND(),$A$52,$B$45)</f>
        <v>1.0972960486052572E-2</v>
      </c>
      <c r="AD5" s="33">
        <f t="shared" ca="1" si="2"/>
        <v>1.043850570488692E-2</v>
      </c>
      <c r="AE5" s="33">
        <f t="shared" ca="1" si="2"/>
        <v>1.0826317467374223E-2</v>
      </c>
      <c r="AF5" s="33">
        <f t="shared" ca="1" si="2"/>
        <v>9.5062215853359902E-3</v>
      </c>
      <c r="AG5" s="33">
        <f t="shared" ca="1" si="2"/>
        <v>9.2536969025099527E-3</v>
      </c>
      <c r="AH5" s="33">
        <f t="shared" ca="1" si="2"/>
        <v>1.0091509716574671E-2</v>
      </c>
      <c r="AI5" s="33">
        <f t="shared" ca="1" si="2"/>
        <v>1.2745257382613891E-2</v>
      </c>
      <c r="AJ5" s="33">
        <f t="shared" ca="1" si="2"/>
        <v>1.0216923538804677E-2</v>
      </c>
      <c r="AK5" s="33">
        <f t="shared" ca="1" si="2"/>
        <v>1.1220507053904911E-2</v>
      </c>
      <c r="AL5" s="33">
        <f t="shared" ca="1" si="2"/>
        <v>1.2538113472610727E-2</v>
      </c>
      <c r="AM5" s="33">
        <f t="shared" ref="AM5:AV14" ca="1" si="3">_xlfn.NORM.INV(RAND(),$A$52,$B$45)</f>
        <v>1.1258526944362999E-2</v>
      </c>
      <c r="AN5" s="33">
        <f t="shared" ca="1" si="3"/>
        <v>1.1968507535849257E-2</v>
      </c>
      <c r="AO5" s="33">
        <f t="shared" ca="1" si="3"/>
        <v>1.2186118600135375E-2</v>
      </c>
      <c r="AP5" s="33">
        <f t="shared" ca="1" si="3"/>
        <v>1.1859616589377122E-2</v>
      </c>
      <c r="AQ5" s="33">
        <f t="shared" ca="1" si="3"/>
        <v>1.280204929223404E-2</v>
      </c>
      <c r="AR5" s="33">
        <f t="shared" ca="1" si="3"/>
        <v>1.202275754893461E-2</v>
      </c>
      <c r="AS5" s="33">
        <f t="shared" ca="1" si="3"/>
        <v>1.009687816070398E-2</v>
      </c>
      <c r="AT5" s="33">
        <f t="shared" ca="1" si="3"/>
        <v>1.2616123207164161E-2</v>
      </c>
      <c r="AU5" s="33">
        <f t="shared" ca="1" si="3"/>
        <v>1.2598591390659206E-2</v>
      </c>
      <c r="AV5" s="33">
        <f t="shared" ca="1" si="3"/>
        <v>1.3771676638715272E-2</v>
      </c>
      <c r="AW5" s="33">
        <f t="shared" ref="AW5:BF14" ca="1" si="4">_xlfn.NORM.INV(RAND(),$A$52,$B$45)</f>
        <v>9.450442574961488E-3</v>
      </c>
      <c r="AX5" s="33">
        <f t="shared" ca="1" si="4"/>
        <v>1.1899985903656559E-2</v>
      </c>
      <c r="AY5" s="33">
        <f t="shared" ca="1" si="4"/>
        <v>1.0580497723763717E-2</v>
      </c>
      <c r="AZ5" s="33">
        <f t="shared" ca="1" si="4"/>
        <v>1.1045124243704914E-2</v>
      </c>
      <c r="BA5" s="33">
        <f t="shared" ca="1" si="4"/>
        <v>1.0646922752061092E-2</v>
      </c>
      <c r="BB5" s="33">
        <f t="shared" ca="1" si="4"/>
        <v>1.1231179985650954E-2</v>
      </c>
      <c r="BC5" s="33">
        <f t="shared" ca="1" si="4"/>
        <v>1.1661857963028717E-2</v>
      </c>
      <c r="BD5" s="33">
        <f t="shared" ca="1" si="4"/>
        <v>9.2448742150161578E-3</v>
      </c>
      <c r="BE5" s="33">
        <f t="shared" ca="1" si="4"/>
        <v>1.2990288189471564E-2</v>
      </c>
      <c r="BF5" s="33">
        <f t="shared" ca="1" si="4"/>
        <v>1.2502238612996911E-2</v>
      </c>
      <c r="BG5" s="33">
        <f t="shared" ref="BG5:BP14" ca="1" si="5">_xlfn.NORM.INV(RAND(),$A$52,$B$45)</f>
        <v>1.1838197310055289E-2</v>
      </c>
      <c r="BH5" s="33">
        <f t="shared" ca="1" si="5"/>
        <v>1.0669812913145926E-2</v>
      </c>
      <c r="BI5" s="33">
        <f t="shared" ca="1" si="5"/>
        <v>1.1183734931095498E-2</v>
      </c>
      <c r="BJ5" s="33">
        <f t="shared" ca="1" si="5"/>
        <v>1.0624319112719419E-2</v>
      </c>
      <c r="BK5" s="33">
        <f t="shared" ca="1" si="5"/>
        <v>1.1480256180234225E-2</v>
      </c>
      <c r="BL5" s="33">
        <f t="shared" ca="1" si="5"/>
        <v>1.1388963917188202E-2</v>
      </c>
      <c r="BM5" s="33">
        <f t="shared" ca="1" si="5"/>
        <v>1.015874613673173E-2</v>
      </c>
      <c r="BN5" s="33">
        <f t="shared" ca="1" si="5"/>
        <v>1.0158060744693958E-2</v>
      </c>
      <c r="BO5" s="33">
        <f t="shared" ca="1" si="5"/>
        <v>1.1209471345457951E-2</v>
      </c>
      <c r="BP5" s="33">
        <f t="shared" ca="1" si="5"/>
        <v>9.6814007410800876E-3</v>
      </c>
      <c r="BQ5" s="33">
        <f t="shared" ref="BQ5:BZ14" ca="1" si="6">_xlfn.NORM.INV(RAND(),$A$52,$B$45)</f>
        <v>1.3012224463069946E-2</v>
      </c>
      <c r="BR5" s="33">
        <f t="shared" ca="1" si="6"/>
        <v>8.3597421317825969E-3</v>
      </c>
      <c r="BS5" s="33">
        <f t="shared" ca="1" si="6"/>
        <v>1.1903990293385283E-2</v>
      </c>
      <c r="BT5" s="33">
        <f t="shared" ca="1" si="6"/>
        <v>1.0409372302259872E-2</v>
      </c>
      <c r="BU5" s="33">
        <f t="shared" ca="1" si="6"/>
        <v>1.2305379465024139E-2</v>
      </c>
      <c r="BV5" s="33">
        <f t="shared" ca="1" si="6"/>
        <v>9.6768898569848279E-3</v>
      </c>
      <c r="BW5" s="33">
        <f t="shared" ca="1" si="6"/>
        <v>1.0796541291970533E-2</v>
      </c>
      <c r="BX5" s="33">
        <f t="shared" ca="1" si="6"/>
        <v>1.1257576235140359E-2</v>
      </c>
      <c r="BY5" s="33">
        <f t="shared" ca="1" si="6"/>
        <v>1.2967310322029791E-2</v>
      </c>
      <c r="BZ5" s="33">
        <f t="shared" ca="1" si="6"/>
        <v>1.0668293669498931E-2</v>
      </c>
      <c r="CA5" s="33">
        <f t="shared" ref="CA5:CJ14" ca="1" si="7">_xlfn.NORM.INV(RAND(),$A$52,$B$45)</f>
        <v>1.2111086803284557E-2</v>
      </c>
      <c r="CB5" s="33">
        <f t="shared" ca="1" si="7"/>
        <v>1.1081840470620281E-2</v>
      </c>
      <c r="CC5" s="33">
        <f t="shared" ca="1" si="7"/>
        <v>1.2402361826017252E-2</v>
      </c>
      <c r="CD5" s="33">
        <f t="shared" ca="1" si="7"/>
        <v>1.1459618989451919E-2</v>
      </c>
      <c r="CE5" s="33">
        <f t="shared" ca="1" si="7"/>
        <v>1.3093407116967423E-2</v>
      </c>
      <c r="CF5" s="33">
        <f t="shared" ca="1" si="7"/>
        <v>1.1463352352032434E-2</v>
      </c>
      <c r="CG5" s="33">
        <f t="shared" ca="1" si="7"/>
        <v>1.3308408056378103E-2</v>
      </c>
      <c r="CH5" s="33">
        <f t="shared" ca="1" si="7"/>
        <v>1.0714704935567879E-2</v>
      </c>
      <c r="CI5" s="33">
        <f t="shared" ca="1" si="7"/>
        <v>1.2192333690806072E-2</v>
      </c>
      <c r="CJ5" s="33">
        <f t="shared" ca="1" si="7"/>
        <v>1.1181716343546833E-2</v>
      </c>
      <c r="CK5" s="33">
        <f t="shared" ref="CK5:CT14" ca="1" si="8">_xlfn.NORM.INV(RAND(),$A$52,$B$45)</f>
        <v>1.0217793032138075E-2</v>
      </c>
      <c r="CL5" s="33">
        <f t="shared" ca="1" si="8"/>
        <v>8.00373689796487E-3</v>
      </c>
      <c r="CM5" s="33">
        <f t="shared" ca="1" si="8"/>
        <v>1.4669519500274186E-2</v>
      </c>
      <c r="CN5" s="33">
        <f t="shared" ca="1" si="8"/>
        <v>8.6164925454701672E-3</v>
      </c>
      <c r="CO5" s="33">
        <f t="shared" ca="1" si="8"/>
        <v>9.3201400196905003E-3</v>
      </c>
      <c r="CP5" s="33">
        <f t="shared" ca="1" si="8"/>
        <v>1.1251695836091365E-2</v>
      </c>
      <c r="CQ5" s="33">
        <f t="shared" ca="1" si="8"/>
        <v>1.2021237410001277E-2</v>
      </c>
      <c r="CR5" s="33">
        <f t="shared" ca="1" si="8"/>
        <v>1.165709026720645E-2</v>
      </c>
      <c r="CS5" s="33">
        <f t="shared" ca="1" si="8"/>
        <v>1.1568312876796284E-2</v>
      </c>
      <c r="CT5" s="33">
        <f t="shared" ca="1" si="8"/>
        <v>1.1814947268374298E-2</v>
      </c>
      <c r="CU5" s="33">
        <f t="shared" ref="CU5:DD14" ca="1" si="9">_xlfn.NORM.INV(RAND(),$A$52,$B$45)</f>
        <v>9.3854808977840674E-3</v>
      </c>
      <c r="CV5" s="33">
        <f t="shared" ca="1" si="9"/>
        <v>1.3804356016687332E-2</v>
      </c>
      <c r="CW5" s="33">
        <f t="shared" ca="1" si="9"/>
        <v>9.5176949807814562E-3</v>
      </c>
      <c r="CX5" s="33">
        <f t="shared" ca="1" si="9"/>
        <v>1.060048015207022E-2</v>
      </c>
      <c r="CY5" s="33">
        <f t="shared" ca="1" si="9"/>
        <v>1.3823296149649483E-2</v>
      </c>
      <c r="CZ5" s="33">
        <f t="shared" ca="1" si="9"/>
        <v>1.164886658479467E-2</v>
      </c>
      <c r="DA5" s="33">
        <f t="shared" ca="1" si="9"/>
        <v>9.0793021992947361E-3</v>
      </c>
      <c r="DB5" s="33">
        <f t="shared" ca="1" si="9"/>
        <v>1.1940165535693969E-2</v>
      </c>
      <c r="DC5" s="33">
        <f t="shared" ca="1" si="9"/>
        <v>1.0644502093694193E-2</v>
      </c>
      <c r="DD5" s="33">
        <f t="shared" ca="1" si="9"/>
        <v>9.6249863147525767E-3</v>
      </c>
      <c r="DE5" s="33">
        <f t="shared" ref="DE5:DN14" ca="1" si="10">_xlfn.NORM.INV(RAND(),$A$52,$B$45)</f>
        <v>1.2963338135981271E-2</v>
      </c>
      <c r="DF5" s="33">
        <f t="shared" ca="1" si="10"/>
        <v>9.1333741120762941E-3</v>
      </c>
      <c r="DG5" s="33">
        <f t="shared" ca="1" si="10"/>
        <v>1.0638930777938012E-2</v>
      </c>
      <c r="DH5" s="33">
        <f t="shared" ca="1" si="10"/>
        <v>1.3179661347044954E-2</v>
      </c>
      <c r="DI5" s="33">
        <f t="shared" ca="1" si="10"/>
        <v>9.9803532382909208E-3</v>
      </c>
      <c r="DJ5" s="33">
        <f t="shared" ca="1" si="10"/>
        <v>1.0730138569444384E-2</v>
      </c>
      <c r="DK5" s="33">
        <f t="shared" ca="1" si="10"/>
        <v>7.5473021844577924E-3</v>
      </c>
      <c r="DL5" s="33">
        <f t="shared" ca="1" si="10"/>
        <v>1.1924408589082168E-2</v>
      </c>
      <c r="DM5" s="33">
        <f t="shared" ca="1" si="10"/>
        <v>1.2547718697734774E-2</v>
      </c>
      <c r="DN5" s="33">
        <f t="shared" ca="1" si="10"/>
        <v>1.2084386525763246E-2</v>
      </c>
      <c r="DO5" s="12"/>
      <c r="DP5" s="12"/>
      <c r="DQ5" s="12"/>
    </row>
    <row r="6" spans="1:121" x14ac:dyDescent="0.2">
      <c r="A6" s="7" t="s">
        <v>10</v>
      </c>
      <c r="B6" s="7"/>
      <c r="C6" s="7"/>
      <c r="D6" s="7"/>
      <c r="I6" s="32">
        <v>44593</v>
      </c>
      <c r="J6" s="33">
        <f t="shared" ca="1" si="0"/>
        <v>1.1360009400450215E-2</v>
      </c>
      <c r="K6" s="34" cm="1">
        <f t="array" ref="K6:K125">0.3*Table3[Monthly salary]</f>
        <v>1875</v>
      </c>
      <c r="L6" s="9">
        <f>K6</f>
        <v>1875</v>
      </c>
      <c r="N6" s="6">
        <v>2</v>
      </c>
      <c r="O6" s="5">
        <f t="dataTable" ref="O6:P104" dt2D="0" dtr="0" r1="N2" ca="1"/>
        <v>3.9567691899137349</v>
      </c>
      <c r="P6" s="9">
        <v>688217.4283029692</v>
      </c>
      <c r="R6" s="32">
        <v>44593</v>
      </c>
      <c r="S6" s="33">
        <f t="shared" ca="1" si="1"/>
        <v>1.2041304486167062E-2</v>
      </c>
      <c r="T6" s="33">
        <f t="shared" ca="1" si="1"/>
        <v>1.1761113380257629E-2</v>
      </c>
      <c r="U6" s="33">
        <f t="shared" ca="1" si="1"/>
        <v>8.8587888760191229E-3</v>
      </c>
      <c r="V6" s="33">
        <f t="shared" ca="1" si="1"/>
        <v>9.7707203003491276E-3</v>
      </c>
      <c r="W6" s="33">
        <f t="shared" ca="1" si="1"/>
        <v>1.1695098786983335E-2</v>
      </c>
      <c r="X6" s="33">
        <f t="shared" ca="1" si="1"/>
        <v>1.1442395060951403E-2</v>
      </c>
      <c r="Y6" s="33">
        <f t="shared" ca="1" si="1"/>
        <v>1.2355448827168521E-2</v>
      </c>
      <c r="Z6" s="33">
        <f t="shared" ca="1" si="1"/>
        <v>9.2908147609480976E-3</v>
      </c>
      <c r="AA6" s="33">
        <f t="shared" ca="1" si="1"/>
        <v>1.4898433192403224E-2</v>
      </c>
      <c r="AB6" s="33">
        <f t="shared" ca="1" si="1"/>
        <v>1.3282218864607214E-2</v>
      </c>
      <c r="AC6" s="33">
        <f t="shared" ca="1" si="2"/>
        <v>1.1525518838591981E-2</v>
      </c>
      <c r="AD6" s="33">
        <f t="shared" ca="1" si="2"/>
        <v>1.152812394830123E-2</v>
      </c>
      <c r="AE6" s="33">
        <f t="shared" ca="1" si="2"/>
        <v>1.2502725038847346E-2</v>
      </c>
      <c r="AF6" s="33">
        <f t="shared" ca="1" si="2"/>
        <v>1.0475998827605337E-2</v>
      </c>
      <c r="AG6" s="33">
        <f t="shared" ca="1" si="2"/>
        <v>1.0593096845731786E-2</v>
      </c>
      <c r="AH6" s="33">
        <f t="shared" ca="1" si="2"/>
        <v>1.1427786515060042E-2</v>
      </c>
      <c r="AI6" s="33">
        <f t="shared" ca="1" si="2"/>
        <v>9.2423239229897092E-3</v>
      </c>
      <c r="AJ6" s="33">
        <f t="shared" ca="1" si="2"/>
        <v>1.1740857449031646E-2</v>
      </c>
      <c r="AK6" s="33">
        <f t="shared" ca="1" si="2"/>
        <v>1.0581119845074184E-2</v>
      </c>
      <c r="AL6" s="33">
        <f t="shared" ca="1" si="2"/>
        <v>1.2244481805712543E-2</v>
      </c>
      <c r="AM6" s="33">
        <f t="shared" ca="1" si="3"/>
        <v>1.2961030545222499E-2</v>
      </c>
      <c r="AN6" s="33">
        <f t="shared" ca="1" si="3"/>
        <v>1.1621715214090878E-2</v>
      </c>
      <c r="AO6" s="33">
        <f t="shared" ca="1" si="3"/>
        <v>9.5710886445259779E-3</v>
      </c>
      <c r="AP6" s="33">
        <f t="shared" ca="1" si="3"/>
        <v>1.2602959659388327E-2</v>
      </c>
      <c r="AQ6" s="33">
        <f t="shared" ca="1" si="3"/>
        <v>1.0091427810760233E-2</v>
      </c>
      <c r="AR6" s="33">
        <f t="shared" ca="1" si="3"/>
        <v>1.4144313178317993E-2</v>
      </c>
      <c r="AS6" s="33">
        <f t="shared" ca="1" si="3"/>
        <v>8.6229413308499189E-3</v>
      </c>
      <c r="AT6" s="33">
        <f t="shared" ca="1" si="3"/>
        <v>1.0572282802772909E-2</v>
      </c>
      <c r="AU6" s="33">
        <f t="shared" ca="1" si="3"/>
        <v>1.3915758864564882E-2</v>
      </c>
      <c r="AV6" s="33">
        <f t="shared" ca="1" si="3"/>
        <v>1.2705504929579156E-2</v>
      </c>
      <c r="AW6" s="33">
        <f t="shared" ca="1" si="4"/>
        <v>9.7581933498436125E-3</v>
      </c>
      <c r="AX6" s="33">
        <f t="shared" ca="1" si="4"/>
        <v>1.1134956407234073E-2</v>
      </c>
      <c r="AY6" s="33">
        <f t="shared" ca="1" si="4"/>
        <v>9.083648644514386E-3</v>
      </c>
      <c r="AZ6" s="33">
        <f t="shared" ca="1" si="4"/>
        <v>1.056962773440418E-2</v>
      </c>
      <c r="BA6" s="33">
        <f t="shared" ca="1" si="4"/>
        <v>1.1732597338384528E-2</v>
      </c>
      <c r="BB6" s="33">
        <f t="shared" ca="1" si="4"/>
        <v>1.2750645129547978E-2</v>
      </c>
      <c r="BC6" s="33">
        <f t="shared" ca="1" si="4"/>
        <v>1.0232102375819788E-2</v>
      </c>
      <c r="BD6" s="33">
        <f t="shared" ca="1" si="4"/>
        <v>1.0249519760744319E-2</v>
      </c>
      <c r="BE6" s="33">
        <f t="shared" ca="1" si="4"/>
        <v>1.2626211248793279E-2</v>
      </c>
      <c r="BF6" s="33">
        <f t="shared" ca="1" si="4"/>
        <v>1.0315637125874813E-2</v>
      </c>
      <c r="BG6" s="33">
        <f t="shared" ca="1" si="5"/>
        <v>1.2887736570950036E-2</v>
      </c>
      <c r="BH6" s="33">
        <f t="shared" ca="1" si="5"/>
        <v>1.0949429185944189E-2</v>
      </c>
      <c r="BI6" s="33">
        <f t="shared" ca="1" si="5"/>
        <v>1.0508070077023715E-2</v>
      </c>
      <c r="BJ6" s="33">
        <f t="shared" ca="1" si="5"/>
        <v>9.6890126531883128E-3</v>
      </c>
      <c r="BK6" s="33">
        <f t="shared" ca="1" si="5"/>
        <v>9.1469161458426953E-3</v>
      </c>
      <c r="BL6" s="33">
        <f t="shared" ca="1" si="5"/>
        <v>1.2406418733589004E-2</v>
      </c>
      <c r="BM6" s="33">
        <f t="shared" ca="1" si="5"/>
        <v>1.2478700648154571E-2</v>
      </c>
      <c r="BN6" s="33">
        <f t="shared" ca="1" si="5"/>
        <v>1.0691407774148634E-2</v>
      </c>
      <c r="BO6" s="33">
        <f t="shared" ca="1" si="5"/>
        <v>1.01041517864784E-2</v>
      </c>
      <c r="BP6" s="33">
        <f t="shared" ca="1" si="5"/>
        <v>1.161199924951138E-2</v>
      </c>
      <c r="BQ6" s="33">
        <f t="shared" ca="1" si="6"/>
        <v>1.1959131175379676E-2</v>
      </c>
      <c r="BR6" s="33">
        <f t="shared" ca="1" si="6"/>
        <v>1.1882226369754671E-2</v>
      </c>
      <c r="BS6" s="33">
        <f t="shared" ca="1" si="6"/>
        <v>1.083631324285632E-2</v>
      </c>
      <c r="BT6" s="33">
        <f t="shared" ca="1" si="6"/>
        <v>1.0043293865283845E-2</v>
      </c>
      <c r="BU6" s="33">
        <f t="shared" ca="1" si="6"/>
        <v>1.1387106720598063E-2</v>
      </c>
      <c r="BV6" s="33">
        <f t="shared" ca="1" si="6"/>
        <v>1.0274428504353126E-2</v>
      </c>
      <c r="BW6" s="33">
        <f t="shared" ca="1" si="6"/>
        <v>1.2846814496896588E-2</v>
      </c>
      <c r="BX6" s="33">
        <f t="shared" ca="1" si="6"/>
        <v>1.0335750958457681E-2</v>
      </c>
      <c r="BY6" s="33">
        <f t="shared" ca="1" si="6"/>
        <v>1.1882100570533224E-2</v>
      </c>
      <c r="BZ6" s="33">
        <f t="shared" ca="1" si="6"/>
        <v>1.207706133432165E-2</v>
      </c>
      <c r="CA6" s="33">
        <f t="shared" ca="1" si="7"/>
        <v>1.4481668146660256E-2</v>
      </c>
      <c r="CB6" s="33">
        <f t="shared" ca="1" si="7"/>
        <v>9.1938464442229591E-3</v>
      </c>
      <c r="CC6" s="33">
        <f t="shared" ca="1" si="7"/>
        <v>1.2612842877443041E-2</v>
      </c>
      <c r="CD6" s="33">
        <f t="shared" ca="1" si="7"/>
        <v>1.1496610249932581E-2</v>
      </c>
      <c r="CE6" s="33">
        <f t="shared" ca="1" si="7"/>
        <v>9.9019642189728686E-3</v>
      </c>
      <c r="CF6" s="33">
        <f t="shared" ca="1" si="7"/>
        <v>1.1372581484662074E-2</v>
      </c>
      <c r="CG6" s="33">
        <f t="shared" ca="1" si="7"/>
        <v>1.1048020606874072E-2</v>
      </c>
      <c r="CH6" s="33">
        <f t="shared" ca="1" si="7"/>
        <v>9.9120248221036822E-3</v>
      </c>
      <c r="CI6" s="33">
        <f t="shared" ca="1" si="7"/>
        <v>1.0089860049705544E-2</v>
      </c>
      <c r="CJ6" s="33">
        <f t="shared" ca="1" si="7"/>
        <v>1.0565461221750217E-2</v>
      </c>
      <c r="CK6" s="33">
        <f t="shared" ca="1" si="8"/>
        <v>1.2635021635844667E-2</v>
      </c>
      <c r="CL6" s="33">
        <f t="shared" ca="1" si="8"/>
        <v>1.2978902462016564E-2</v>
      </c>
      <c r="CM6" s="33">
        <f t="shared" ca="1" si="8"/>
        <v>9.8257267265177087E-3</v>
      </c>
      <c r="CN6" s="33">
        <f t="shared" ca="1" si="8"/>
        <v>1.0229358500609104E-2</v>
      </c>
      <c r="CO6" s="33">
        <f t="shared" ca="1" si="8"/>
        <v>1.0826973063672932E-2</v>
      </c>
      <c r="CP6" s="33">
        <f t="shared" ca="1" si="8"/>
        <v>1.2814657554769177E-2</v>
      </c>
      <c r="CQ6" s="33">
        <f t="shared" ca="1" si="8"/>
        <v>1.0690862544605871E-2</v>
      </c>
      <c r="CR6" s="33">
        <f t="shared" ca="1" si="8"/>
        <v>1.1482053864976189E-2</v>
      </c>
      <c r="CS6" s="33">
        <f t="shared" ca="1" si="8"/>
        <v>1.2758548323289952E-2</v>
      </c>
      <c r="CT6" s="33">
        <f t="shared" ca="1" si="8"/>
        <v>1.3012925111061387E-2</v>
      </c>
      <c r="CU6" s="33">
        <f t="shared" ca="1" si="9"/>
        <v>1.0092517904654935E-2</v>
      </c>
      <c r="CV6" s="33">
        <f t="shared" ca="1" si="9"/>
        <v>1.1286249210851085E-2</v>
      </c>
      <c r="CW6" s="33">
        <f t="shared" ca="1" si="9"/>
        <v>9.5334197830614954E-3</v>
      </c>
      <c r="CX6" s="33">
        <f t="shared" ca="1" si="9"/>
        <v>1.0464857225385125E-2</v>
      </c>
      <c r="CY6" s="33">
        <f t="shared" ca="1" si="9"/>
        <v>1.1188870501862338E-2</v>
      </c>
      <c r="CZ6" s="33">
        <f t="shared" ca="1" si="9"/>
        <v>1.3665716221312019E-2</v>
      </c>
      <c r="DA6" s="33">
        <f t="shared" ca="1" si="9"/>
        <v>1.1300512983507864E-2</v>
      </c>
      <c r="DB6" s="33">
        <f t="shared" ca="1" si="9"/>
        <v>1.0965846209267533E-2</v>
      </c>
      <c r="DC6" s="33">
        <f t="shared" ca="1" si="9"/>
        <v>1.2166437083041687E-2</v>
      </c>
      <c r="DD6" s="33">
        <f t="shared" ca="1" si="9"/>
        <v>9.6958138079321857E-3</v>
      </c>
      <c r="DE6" s="33">
        <f t="shared" ca="1" si="10"/>
        <v>9.8426641462165503E-3</v>
      </c>
      <c r="DF6" s="33">
        <f t="shared" ca="1" si="10"/>
        <v>1.3177875365159958E-2</v>
      </c>
      <c r="DG6" s="33">
        <f t="shared" ca="1" si="10"/>
        <v>1.160697439129732E-2</v>
      </c>
      <c r="DH6" s="33">
        <f t="shared" ca="1" si="10"/>
        <v>1.2702010203714932E-2</v>
      </c>
      <c r="DI6" s="33">
        <f t="shared" ca="1" si="10"/>
        <v>1.2122706773709359E-2</v>
      </c>
      <c r="DJ6" s="33">
        <f t="shared" ca="1" si="10"/>
        <v>1.1178021076673718E-2</v>
      </c>
      <c r="DK6" s="33">
        <f t="shared" ca="1" si="10"/>
        <v>1.4432842369629837E-2</v>
      </c>
      <c r="DL6" s="33">
        <f t="shared" ca="1" si="10"/>
        <v>1.0295383564120813E-2</v>
      </c>
      <c r="DM6" s="33">
        <f t="shared" ca="1" si="10"/>
        <v>1.2828153451219682E-2</v>
      </c>
      <c r="DN6" s="33">
        <f t="shared" ca="1" si="10"/>
        <v>8.6888515429872637E-3</v>
      </c>
      <c r="DO6" s="12"/>
      <c r="DP6" s="12"/>
      <c r="DQ6" s="12"/>
    </row>
    <row r="7" spans="1:121" x14ac:dyDescent="0.2">
      <c r="A7" s="61" t="s">
        <v>97</v>
      </c>
      <c r="B7" s="62"/>
      <c r="C7" s="62"/>
      <c r="D7" s="62"/>
      <c r="I7" s="32">
        <v>44621</v>
      </c>
      <c r="J7" s="33">
        <f t="shared" ca="1" si="0"/>
        <v>1.3509136565119617E-2</v>
      </c>
      <c r="K7" s="9">
        <v>1875</v>
      </c>
      <c r="L7" s="9">
        <f ca="1">L6*EXP(J7)+K7</f>
        <v>3775.5014948204798</v>
      </c>
      <c r="N7" s="6">
        <v>3</v>
      </c>
      <c r="O7" s="5">
        <v>3.9458303361376816</v>
      </c>
      <c r="P7" s="9">
        <v>683499.60121390969</v>
      </c>
      <c r="R7" s="32">
        <v>44621</v>
      </c>
      <c r="S7" s="33">
        <f t="shared" ca="1" si="1"/>
        <v>1.2197116281494594E-2</v>
      </c>
      <c r="T7" s="33">
        <f t="shared" ca="1" si="1"/>
        <v>1.2101994800702872E-2</v>
      </c>
      <c r="U7" s="33">
        <f t="shared" ca="1" si="1"/>
        <v>1.1255860089100775E-2</v>
      </c>
      <c r="V7" s="33">
        <f t="shared" ca="1" si="1"/>
        <v>1.0126613604962476E-2</v>
      </c>
      <c r="W7" s="33">
        <f t="shared" ca="1" si="1"/>
        <v>1.1615582998485589E-2</v>
      </c>
      <c r="X7" s="33">
        <f t="shared" ca="1" si="1"/>
        <v>8.8331879301189048E-3</v>
      </c>
      <c r="Y7" s="33">
        <f t="shared" ca="1" si="1"/>
        <v>1.0804992758713274E-2</v>
      </c>
      <c r="Z7" s="33">
        <f t="shared" ca="1" si="1"/>
        <v>1.1884174702328738E-2</v>
      </c>
      <c r="AA7" s="33">
        <f t="shared" ca="1" si="1"/>
        <v>1.3059291933213962E-2</v>
      </c>
      <c r="AB7" s="33">
        <f t="shared" ca="1" si="1"/>
        <v>6.7803478890991848E-3</v>
      </c>
      <c r="AC7" s="33">
        <f t="shared" ca="1" si="2"/>
        <v>1.0779529197016071E-2</v>
      </c>
      <c r="AD7" s="33">
        <f t="shared" ca="1" si="2"/>
        <v>9.9950258012764144E-3</v>
      </c>
      <c r="AE7" s="33">
        <f t="shared" ca="1" si="2"/>
        <v>9.4557213724904901E-3</v>
      </c>
      <c r="AF7" s="33">
        <f t="shared" ca="1" si="2"/>
        <v>9.0102573364448692E-3</v>
      </c>
      <c r="AG7" s="33">
        <f t="shared" ca="1" si="2"/>
        <v>1.2566834354893273E-2</v>
      </c>
      <c r="AH7" s="33">
        <f t="shared" ca="1" si="2"/>
        <v>1.375452569990953E-2</v>
      </c>
      <c r="AI7" s="33">
        <f t="shared" ca="1" si="2"/>
        <v>1.2960812364464711E-2</v>
      </c>
      <c r="AJ7" s="33">
        <f t="shared" ca="1" si="2"/>
        <v>1.3210636276606371E-2</v>
      </c>
      <c r="AK7" s="33">
        <f t="shared" ca="1" si="2"/>
        <v>9.6285205470671899E-3</v>
      </c>
      <c r="AL7" s="33">
        <f t="shared" ca="1" si="2"/>
        <v>9.701128225568182E-3</v>
      </c>
      <c r="AM7" s="33">
        <f t="shared" ca="1" si="3"/>
        <v>1.0373242785372454E-2</v>
      </c>
      <c r="AN7" s="33">
        <f t="shared" ca="1" si="3"/>
        <v>1.1106850334391512E-2</v>
      </c>
      <c r="AO7" s="33">
        <f t="shared" ca="1" si="3"/>
        <v>1.553246217950772E-2</v>
      </c>
      <c r="AP7" s="33">
        <f t="shared" ca="1" si="3"/>
        <v>1.013187863488688E-2</v>
      </c>
      <c r="AQ7" s="33">
        <f t="shared" ca="1" si="3"/>
        <v>1.0570609785890476E-2</v>
      </c>
      <c r="AR7" s="33">
        <f t="shared" ca="1" si="3"/>
        <v>1.3820494171060294E-2</v>
      </c>
      <c r="AS7" s="33">
        <f t="shared" ca="1" si="3"/>
        <v>1.1692264274432939E-2</v>
      </c>
      <c r="AT7" s="33">
        <f t="shared" ca="1" si="3"/>
        <v>1.2712092036004156E-2</v>
      </c>
      <c r="AU7" s="33">
        <f t="shared" ca="1" si="3"/>
        <v>1.1458613014995844E-2</v>
      </c>
      <c r="AV7" s="33">
        <f t="shared" ca="1" si="3"/>
        <v>1.0570295105626414E-2</v>
      </c>
      <c r="AW7" s="33">
        <f t="shared" ca="1" si="4"/>
        <v>1.1891494849859718E-2</v>
      </c>
      <c r="AX7" s="33">
        <f t="shared" ca="1" si="4"/>
        <v>1.2424815230950174E-2</v>
      </c>
      <c r="AY7" s="33">
        <f t="shared" ca="1" si="4"/>
        <v>1.3397935914634571E-2</v>
      </c>
      <c r="AZ7" s="33">
        <f t="shared" ca="1" si="4"/>
        <v>1.0654927784947362E-2</v>
      </c>
      <c r="BA7" s="33">
        <f t="shared" ca="1" si="4"/>
        <v>1.131449776994543E-2</v>
      </c>
      <c r="BB7" s="33">
        <f t="shared" ca="1" si="4"/>
        <v>1.044538050234034E-2</v>
      </c>
      <c r="BC7" s="33">
        <f t="shared" ca="1" si="4"/>
        <v>1.0874397769072579E-2</v>
      </c>
      <c r="BD7" s="33">
        <f t="shared" ca="1" si="4"/>
        <v>9.6583675345194471E-3</v>
      </c>
      <c r="BE7" s="33">
        <f t="shared" ca="1" si="4"/>
        <v>1.0351626270560778E-2</v>
      </c>
      <c r="BF7" s="33">
        <f t="shared" ca="1" si="4"/>
        <v>9.4119964456976252E-3</v>
      </c>
      <c r="BG7" s="33">
        <f t="shared" ca="1" si="5"/>
        <v>9.5659242869123445E-3</v>
      </c>
      <c r="BH7" s="33">
        <f t="shared" ca="1" si="5"/>
        <v>9.978041839635677E-3</v>
      </c>
      <c r="BI7" s="33">
        <f t="shared" ca="1" si="5"/>
        <v>1.3162954147412856E-2</v>
      </c>
      <c r="BJ7" s="33">
        <f t="shared" ca="1" si="5"/>
        <v>1.0949483491460951E-2</v>
      </c>
      <c r="BK7" s="33">
        <f t="shared" ca="1" si="5"/>
        <v>1.2520198541934952E-2</v>
      </c>
      <c r="BL7" s="33">
        <f t="shared" ca="1" si="5"/>
        <v>1.1245069003472861E-2</v>
      </c>
      <c r="BM7" s="33">
        <f t="shared" ca="1" si="5"/>
        <v>1.0023493379013579E-2</v>
      </c>
      <c r="BN7" s="33">
        <f t="shared" ca="1" si="5"/>
        <v>9.7428772902864152E-3</v>
      </c>
      <c r="BO7" s="33">
        <f t="shared" ca="1" si="5"/>
        <v>1.0376648123370585E-2</v>
      </c>
      <c r="BP7" s="33">
        <f t="shared" ca="1" si="5"/>
        <v>1.2546865585116813E-2</v>
      </c>
      <c r="BQ7" s="33">
        <f t="shared" ca="1" si="6"/>
        <v>1.3444855168818739E-2</v>
      </c>
      <c r="BR7" s="33">
        <f t="shared" ca="1" si="6"/>
        <v>1.0401610717479361E-2</v>
      </c>
      <c r="BS7" s="33">
        <f t="shared" ca="1" si="6"/>
        <v>1.3137569396424577E-2</v>
      </c>
      <c r="BT7" s="33">
        <f t="shared" ca="1" si="6"/>
        <v>9.8412689441961018E-3</v>
      </c>
      <c r="BU7" s="33">
        <f t="shared" ca="1" si="6"/>
        <v>1.1041148485425036E-2</v>
      </c>
      <c r="BV7" s="33">
        <f t="shared" ca="1" si="6"/>
        <v>1.1344284068802366E-2</v>
      </c>
      <c r="BW7" s="33">
        <f t="shared" ca="1" si="6"/>
        <v>9.7212916587807417E-3</v>
      </c>
      <c r="BX7" s="33">
        <f t="shared" ca="1" si="6"/>
        <v>8.9029044787837918E-3</v>
      </c>
      <c r="BY7" s="33">
        <f t="shared" ca="1" si="6"/>
        <v>9.7071575144217024E-3</v>
      </c>
      <c r="BZ7" s="33">
        <f t="shared" ca="1" si="6"/>
        <v>1.1742601198902178E-2</v>
      </c>
      <c r="CA7" s="33">
        <f t="shared" ca="1" si="7"/>
        <v>6.6818505965342573E-3</v>
      </c>
      <c r="CB7" s="33">
        <f t="shared" ca="1" si="7"/>
        <v>1.242564034002998E-2</v>
      </c>
      <c r="CC7" s="33">
        <f t="shared" ca="1" si="7"/>
        <v>1.1471575207895058E-2</v>
      </c>
      <c r="CD7" s="33">
        <f t="shared" ca="1" si="7"/>
        <v>1.1190757902566054E-2</v>
      </c>
      <c r="CE7" s="33">
        <f t="shared" ca="1" si="7"/>
        <v>1.0577132262464916E-2</v>
      </c>
      <c r="CF7" s="33">
        <f t="shared" ca="1" si="7"/>
        <v>9.5850711596318864E-3</v>
      </c>
      <c r="CG7" s="33">
        <f t="shared" ca="1" si="7"/>
        <v>1.1433084733272704E-2</v>
      </c>
      <c r="CH7" s="33">
        <f t="shared" ca="1" si="7"/>
        <v>8.9343193148985825E-3</v>
      </c>
      <c r="CI7" s="33">
        <f t="shared" ca="1" si="7"/>
        <v>1.1596542724686557E-2</v>
      </c>
      <c r="CJ7" s="33">
        <f t="shared" ca="1" si="7"/>
        <v>9.3647641050425626E-3</v>
      </c>
      <c r="CK7" s="33">
        <f t="shared" ca="1" si="8"/>
        <v>1.1617371779994265E-2</v>
      </c>
      <c r="CL7" s="33">
        <f t="shared" ca="1" si="8"/>
        <v>1.0208203272963678E-2</v>
      </c>
      <c r="CM7" s="33">
        <f t="shared" ca="1" si="8"/>
        <v>1.1342027046360947E-2</v>
      </c>
      <c r="CN7" s="33">
        <f t="shared" ca="1" si="8"/>
        <v>9.2312049675846893E-3</v>
      </c>
      <c r="CO7" s="33">
        <f t="shared" ca="1" si="8"/>
        <v>8.2987281257491351E-3</v>
      </c>
      <c r="CP7" s="33">
        <f t="shared" ca="1" si="8"/>
        <v>1.256345860034859E-2</v>
      </c>
      <c r="CQ7" s="33">
        <f t="shared" ca="1" si="8"/>
        <v>9.6212905980216992E-3</v>
      </c>
      <c r="CR7" s="33">
        <f t="shared" ca="1" si="8"/>
        <v>1.2890716539761465E-2</v>
      </c>
      <c r="CS7" s="33">
        <f t="shared" ca="1" si="8"/>
        <v>1.3120295797403663E-2</v>
      </c>
      <c r="CT7" s="33">
        <f t="shared" ca="1" si="8"/>
        <v>1.2934957931976661E-2</v>
      </c>
      <c r="CU7" s="33">
        <f t="shared" ca="1" si="9"/>
        <v>1.1848096740182151E-2</v>
      </c>
      <c r="CV7" s="33">
        <f t="shared" ca="1" si="9"/>
        <v>1.1932278105793781E-2</v>
      </c>
      <c r="CW7" s="33">
        <f t="shared" ca="1" si="9"/>
        <v>1.1759857497386169E-2</v>
      </c>
      <c r="CX7" s="33">
        <f t="shared" ca="1" si="9"/>
        <v>1.3090525533770785E-2</v>
      </c>
      <c r="CY7" s="33">
        <f t="shared" ca="1" si="9"/>
        <v>9.9164554014113254E-3</v>
      </c>
      <c r="CZ7" s="33">
        <f t="shared" ca="1" si="9"/>
        <v>1.0722892564791814E-2</v>
      </c>
      <c r="DA7" s="33">
        <f t="shared" ca="1" si="9"/>
        <v>1.1549046896888982E-2</v>
      </c>
      <c r="DB7" s="33">
        <f t="shared" ca="1" si="9"/>
        <v>1.3221828453399609E-2</v>
      </c>
      <c r="DC7" s="33">
        <f t="shared" ca="1" si="9"/>
        <v>9.9707774928302611E-3</v>
      </c>
      <c r="DD7" s="33">
        <f t="shared" ca="1" si="9"/>
        <v>1.0750880049281791E-2</v>
      </c>
      <c r="DE7" s="33">
        <f t="shared" ca="1" si="10"/>
        <v>1.2549113644891054E-2</v>
      </c>
      <c r="DF7" s="33">
        <f t="shared" ca="1" si="10"/>
        <v>1.3634977698201286E-2</v>
      </c>
      <c r="DG7" s="33">
        <f t="shared" ca="1" si="10"/>
        <v>1.2055601934205133E-2</v>
      </c>
      <c r="DH7" s="33">
        <f t="shared" ca="1" si="10"/>
        <v>1.1648716141657148E-2</v>
      </c>
      <c r="DI7" s="33">
        <f t="shared" ca="1" si="10"/>
        <v>1.1745784672478407E-2</v>
      </c>
      <c r="DJ7" s="33">
        <f t="shared" ca="1" si="10"/>
        <v>1.2194266561744792E-2</v>
      </c>
      <c r="DK7" s="33">
        <f t="shared" ca="1" si="10"/>
        <v>1.2126426275144224E-2</v>
      </c>
      <c r="DL7" s="33">
        <f t="shared" ca="1" si="10"/>
        <v>9.7342023827358543E-3</v>
      </c>
      <c r="DM7" s="33">
        <f t="shared" ca="1" si="10"/>
        <v>1.2402003264278257E-2</v>
      </c>
      <c r="DN7" s="33">
        <f t="shared" ca="1" si="10"/>
        <v>1.091147207982927E-2</v>
      </c>
      <c r="DO7" s="12"/>
      <c r="DP7" s="12"/>
      <c r="DQ7" s="12"/>
    </row>
    <row r="8" spans="1:121" x14ac:dyDescent="0.2">
      <c r="A8" s="62"/>
      <c r="B8" s="62"/>
      <c r="C8" s="62"/>
      <c r="D8" s="62"/>
      <c r="I8" s="32">
        <v>44652</v>
      </c>
      <c r="J8" s="33">
        <f t="shared" ca="1" si="0"/>
        <v>1.2731335901085109E-2</v>
      </c>
      <c r="K8" s="9">
        <v>1875</v>
      </c>
      <c r="L8" s="9">
        <f ca="1">L7*EXP(J8)+K8</f>
        <v>5698.875954892379</v>
      </c>
      <c r="N8" s="6">
        <v>4</v>
      </c>
      <c r="O8" s="5">
        <v>4.0061453324470309</v>
      </c>
      <c r="P8" s="9">
        <v>687381.97691943857</v>
      </c>
      <c r="R8" s="32">
        <v>44652</v>
      </c>
      <c r="S8" s="33">
        <f t="shared" ca="1" si="1"/>
        <v>1.1939372133365782E-2</v>
      </c>
      <c r="T8" s="33">
        <f t="shared" ca="1" si="1"/>
        <v>1.0477214640027857E-2</v>
      </c>
      <c r="U8" s="33">
        <f t="shared" ca="1" si="1"/>
        <v>1.3297728613005946E-2</v>
      </c>
      <c r="V8" s="33">
        <f t="shared" ca="1" si="1"/>
        <v>1.1421315425725772E-2</v>
      </c>
      <c r="W8" s="33">
        <f t="shared" ca="1" si="1"/>
        <v>1.2573291710643902E-2</v>
      </c>
      <c r="X8" s="33">
        <f t="shared" ca="1" si="1"/>
        <v>1.1625173583275443E-2</v>
      </c>
      <c r="Y8" s="33">
        <f t="shared" ca="1" si="1"/>
        <v>1.0057421961750549E-2</v>
      </c>
      <c r="Z8" s="33">
        <f t="shared" ca="1" si="1"/>
        <v>1.1016236543125484E-2</v>
      </c>
      <c r="AA8" s="33">
        <f t="shared" ca="1" si="1"/>
        <v>1.0880213501393263E-2</v>
      </c>
      <c r="AB8" s="33">
        <f t="shared" ca="1" si="1"/>
        <v>8.6512601193671525E-3</v>
      </c>
      <c r="AC8" s="33">
        <f t="shared" ca="1" si="2"/>
        <v>1.1641722723967088E-2</v>
      </c>
      <c r="AD8" s="33">
        <f t="shared" ca="1" si="2"/>
        <v>1.3510695058349577E-2</v>
      </c>
      <c r="AE8" s="33">
        <f t="shared" ca="1" si="2"/>
        <v>1.0020638164204908E-2</v>
      </c>
      <c r="AF8" s="33">
        <f t="shared" ca="1" si="2"/>
        <v>9.4772032582082725E-3</v>
      </c>
      <c r="AG8" s="33">
        <f t="shared" ca="1" si="2"/>
        <v>9.6415307224199456E-3</v>
      </c>
      <c r="AH8" s="33">
        <f t="shared" ca="1" si="2"/>
        <v>9.506761041074157E-3</v>
      </c>
      <c r="AI8" s="33">
        <f t="shared" ca="1" si="2"/>
        <v>1.1878665451992645E-2</v>
      </c>
      <c r="AJ8" s="33">
        <f t="shared" ca="1" si="2"/>
        <v>9.9104211487881667E-3</v>
      </c>
      <c r="AK8" s="33">
        <f t="shared" ca="1" si="2"/>
        <v>1.0615376621233713E-2</v>
      </c>
      <c r="AL8" s="33">
        <f t="shared" ca="1" si="2"/>
        <v>1.2380621262050749E-2</v>
      </c>
      <c r="AM8" s="33">
        <f t="shared" ca="1" si="3"/>
        <v>9.5301132772131585E-3</v>
      </c>
      <c r="AN8" s="33">
        <f t="shared" ca="1" si="3"/>
        <v>9.7694514747424192E-3</v>
      </c>
      <c r="AO8" s="33">
        <f t="shared" ca="1" si="3"/>
        <v>1.2330853558225148E-2</v>
      </c>
      <c r="AP8" s="33">
        <f t="shared" ca="1" si="3"/>
        <v>1.0493832046717045E-2</v>
      </c>
      <c r="AQ8" s="33">
        <f t="shared" ca="1" si="3"/>
        <v>1.3950204485827641E-2</v>
      </c>
      <c r="AR8" s="33">
        <f t="shared" ca="1" si="3"/>
        <v>9.1050723792310464E-3</v>
      </c>
      <c r="AS8" s="33">
        <f t="shared" ca="1" si="3"/>
        <v>1.2361449628284749E-2</v>
      </c>
      <c r="AT8" s="33">
        <f t="shared" ca="1" si="3"/>
        <v>1.3800590487712344E-2</v>
      </c>
      <c r="AU8" s="33">
        <f t="shared" ca="1" si="3"/>
        <v>1.012719174091942E-2</v>
      </c>
      <c r="AV8" s="33">
        <f t="shared" ca="1" si="3"/>
        <v>1.0737480378102524E-2</v>
      </c>
      <c r="AW8" s="33">
        <f t="shared" ca="1" si="4"/>
        <v>1.1022329980931587E-2</v>
      </c>
      <c r="AX8" s="33">
        <f t="shared" ca="1" si="4"/>
        <v>1.0713208662175535E-2</v>
      </c>
      <c r="AY8" s="33">
        <f t="shared" ca="1" si="4"/>
        <v>1.0691036554634079E-2</v>
      </c>
      <c r="AZ8" s="33">
        <f t="shared" ca="1" si="4"/>
        <v>9.4862181731564469E-3</v>
      </c>
      <c r="BA8" s="33">
        <f t="shared" ca="1" si="4"/>
        <v>1.0919074052336847E-2</v>
      </c>
      <c r="BB8" s="33">
        <f t="shared" ca="1" si="4"/>
        <v>1.0150017434913835E-2</v>
      </c>
      <c r="BC8" s="33">
        <f t="shared" ca="1" si="4"/>
        <v>1.0503236866289853E-2</v>
      </c>
      <c r="BD8" s="33">
        <f t="shared" ca="1" si="4"/>
        <v>1.1874236198687362E-2</v>
      </c>
      <c r="BE8" s="33">
        <f t="shared" ca="1" si="4"/>
        <v>1.1589278409303677E-2</v>
      </c>
      <c r="BF8" s="33">
        <f t="shared" ca="1" si="4"/>
        <v>9.7025233024504599E-3</v>
      </c>
      <c r="BG8" s="33">
        <f t="shared" ca="1" si="5"/>
        <v>1.0453668057198225E-2</v>
      </c>
      <c r="BH8" s="33">
        <f t="shared" ca="1" si="5"/>
        <v>1.1300491126693745E-2</v>
      </c>
      <c r="BI8" s="33">
        <f t="shared" ca="1" si="5"/>
        <v>1.2375143953584243E-2</v>
      </c>
      <c r="BJ8" s="33">
        <f t="shared" ca="1" si="5"/>
        <v>9.6579599772213288E-3</v>
      </c>
      <c r="BK8" s="33">
        <f t="shared" ca="1" si="5"/>
        <v>1.0272550513541217E-2</v>
      </c>
      <c r="BL8" s="33">
        <f t="shared" ca="1" si="5"/>
        <v>9.5867685702120276E-3</v>
      </c>
      <c r="BM8" s="33">
        <f t="shared" ca="1" si="5"/>
        <v>1.0703928075602227E-2</v>
      </c>
      <c r="BN8" s="33">
        <f t="shared" ca="1" si="5"/>
        <v>1.143553100540526E-2</v>
      </c>
      <c r="BO8" s="33">
        <f t="shared" ca="1" si="5"/>
        <v>9.4794933827480419E-3</v>
      </c>
      <c r="BP8" s="33">
        <f t="shared" ca="1" si="5"/>
        <v>1.187272749309546E-2</v>
      </c>
      <c r="BQ8" s="33">
        <f t="shared" ca="1" si="6"/>
        <v>1.1290575501540631E-2</v>
      </c>
      <c r="BR8" s="33">
        <f t="shared" ca="1" si="6"/>
        <v>1.0503527284888662E-2</v>
      </c>
      <c r="BS8" s="33">
        <f t="shared" ca="1" si="6"/>
        <v>9.5375948204972777E-3</v>
      </c>
      <c r="BT8" s="33">
        <f t="shared" ca="1" si="6"/>
        <v>1.1141655423279141E-2</v>
      </c>
      <c r="BU8" s="33">
        <f t="shared" ca="1" si="6"/>
        <v>1.0412615701329533E-2</v>
      </c>
      <c r="BV8" s="33">
        <f t="shared" ca="1" si="6"/>
        <v>9.216116518932992E-3</v>
      </c>
      <c r="BW8" s="33">
        <f t="shared" ca="1" si="6"/>
        <v>1.1188974165195388E-2</v>
      </c>
      <c r="BX8" s="33">
        <f t="shared" ca="1" si="6"/>
        <v>9.5190838177661285E-3</v>
      </c>
      <c r="BY8" s="33">
        <f t="shared" ca="1" si="6"/>
        <v>1.0944792924150813E-2</v>
      </c>
      <c r="BZ8" s="33">
        <f t="shared" ca="1" si="6"/>
        <v>1.2388690968432901E-2</v>
      </c>
      <c r="CA8" s="33">
        <f t="shared" ca="1" si="7"/>
        <v>1.1823363935873217E-2</v>
      </c>
      <c r="CB8" s="33">
        <f t="shared" ca="1" si="7"/>
        <v>1.5132588670807669E-2</v>
      </c>
      <c r="CC8" s="33">
        <f t="shared" ca="1" si="7"/>
        <v>1.4011382186993552E-2</v>
      </c>
      <c r="CD8" s="33">
        <f t="shared" ca="1" si="7"/>
        <v>1.2380514826612584E-2</v>
      </c>
      <c r="CE8" s="33">
        <f t="shared" ca="1" si="7"/>
        <v>9.4404706069761528E-3</v>
      </c>
      <c r="CF8" s="33">
        <f t="shared" ca="1" si="7"/>
        <v>1.0250151014023226E-2</v>
      </c>
      <c r="CG8" s="33">
        <f t="shared" ca="1" si="7"/>
        <v>1.0714051455705186E-2</v>
      </c>
      <c r="CH8" s="33">
        <f t="shared" ca="1" si="7"/>
        <v>1.1229539975240971E-2</v>
      </c>
      <c r="CI8" s="33">
        <f t="shared" ca="1" si="7"/>
        <v>1.123348729764566E-2</v>
      </c>
      <c r="CJ8" s="33">
        <f t="shared" ca="1" si="7"/>
        <v>9.7994541914897693E-3</v>
      </c>
      <c r="CK8" s="33">
        <f t="shared" ca="1" si="8"/>
        <v>8.5005080949463081E-3</v>
      </c>
      <c r="CL8" s="33">
        <f t="shared" ca="1" si="8"/>
        <v>1.0520986056999918E-2</v>
      </c>
      <c r="CM8" s="33">
        <f t="shared" ca="1" si="8"/>
        <v>1.1043744939476406E-2</v>
      </c>
      <c r="CN8" s="33">
        <f t="shared" ca="1" si="8"/>
        <v>1.3323237266339421E-2</v>
      </c>
      <c r="CO8" s="33">
        <f t="shared" ca="1" si="8"/>
        <v>1.0940917718566598E-2</v>
      </c>
      <c r="CP8" s="33">
        <f t="shared" ca="1" si="8"/>
        <v>9.9604634432177916E-3</v>
      </c>
      <c r="CQ8" s="33">
        <f t="shared" ca="1" si="8"/>
        <v>1.2812290813490536E-2</v>
      </c>
      <c r="CR8" s="33">
        <f t="shared" ca="1" si="8"/>
        <v>1.0538054702725154E-2</v>
      </c>
      <c r="CS8" s="33">
        <f t="shared" ca="1" si="8"/>
        <v>1.3040414885931531E-2</v>
      </c>
      <c r="CT8" s="33">
        <f t="shared" ca="1" si="8"/>
        <v>1.0764213188425503E-2</v>
      </c>
      <c r="CU8" s="33">
        <f t="shared" ca="1" si="9"/>
        <v>9.9614874857356598E-3</v>
      </c>
      <c r="CV8" s="33">
        <f t="shared" ca="1" si="9"/>
        <v>9.1310489430326616E-3</v>
      </c>
      <c r="CW8" s="33">
        <f t="shared" ca="1" si="9"/>
        <v>1.1328463471150858E-2</v>
      </c>
      <c r="CX8" s="33">
        <f t="shared" ca="1" si="9"/>
        <v>1.1553949364004399E-2</v>
      </c>
      <c r="CY8" s="33">
        <f t="shared" ca="1" si="9"/>
        <v>1.308941317113967E-2</v>
      </c>
      <c r="CZ8" s="33">
        <f t="shared" ca="1" si="9"/>
        <v>1.2114027869239902E-2</v>
      </c>
      <c r="DA8" s="33">
        <f t="shared" ca="1" si="9"/>
        <v>1.2554549443692671E-2</v>
      </c>
      <c r="DB8" s="33">
        <f t="shared" ca="1" si="9"/>
        <v>1.3055853438468192E-2</v>
      </c>
      <c r="DC8" s="33">
        <f t="shared" ca="1" si="9"/>
        <v>8.0004612177332589E-3</v>
      </c>
      <c r="DD8" s="33">
        <f t="shared" ca="1" si="9"/>
        <v>1.1837929786502405E-2</v>
      </c>
      <c r="DE8" s="33">
        <f t="shared" ca="1" si="10"/>
        <v>1.1753221959681572E-2</v>
      </c>
      <c r="DF8" s="33">
        <f t="shared" ca="1" si="10"/>
        <v>1.1120727040569935E-2</v>
      </c>
      <c r="DG8" s="33">
        <f t="shared" ca="1" si="10"/>
        <v>9.3516289053752893E-3</v>
      </c>
      <c r="DH8" s="33">
        <f t="shared" ca="1" si="10"/>
        <v>1.1327699806418141E-2</v>
      </c>
      <c r="DI8" s="33">
        <f t="shared" ca="1" si="10"/>
        <v>1.1228246751236974E-2</v>
      </c>
      <c r="DJ8" s="33">
        <f t="shared" ca="1" si="10"/>
        <v>1.0937669011109485E-2</v>
      </c>
      <c r="DK8" s="33">
        <f t="shared" ca="1" si="10"/>
        <v>1.0913848673511193E-2</v>
      </c>
      <c r="DL8" s="33">
        <f t="shared" ca="1" si="10"/>
        <v>1.0016385936086841E-2</v>
      </c>
      <c r="DM8" s="33">
        <f t="shared" ca="1" si="10"/>
        <v>1.1612336726141315E-2</v>
      </c>
      <c r="DN8" s="33">
        <f t="shared" ca="1" si="10"/>
        <v>1.3860079911235473E-2</v>
      </c>
      <c r="DO8" s="12"/>
      <c r="DP8" s="12"/>
      <c r="DQ8" s="12"/>
    </row>
    <row r="9" spans="1:121" x14ac:dyDescent="0.2">
      <c r="A9" s="62"/>
      <c r="B9" s="62"/>
      <c r="C9" s="62"/>
      <c r="D9" s="62"/>
      <c r="I9" s="32">
        <v>44682</v>
      </c>
      <c r="J9" s="33">
        <f t="shared" ca="1" si="0"/>
        <v>9.0334392555856853E-3</v>
      </c>
      <c r="K9" s="9">
        <v>1875</v>
      </c>
      <c r="L9" s="9">
        <f t="shared" ref="L9:L72" ca="1" si="11">L8*EXP(J9)+K9</f>
        <v>7625.5896291580566</v>
      </c>
      <c r="N9" s="6">
        <v>5</v>
      </c>
      <c r="O9" s="5">
        <v>3.9034571500799866</v>
      </c>
      <c r="P9" s="9">
        <v>680467.83986788837</v>
      </c>
      <c r="R9" s="32">
        <v>44682</v>
      </c>
      <c r="S9" s="33">
        <f t="shared" ca="1" si="1"/>
        <v>1.1150029442192882E-2</v>
      </c>
      <c r="T9" s="33">
        <f t="shared" ca="1" si="1"/>
        <v>1.228479475867208E-2</v>
      </c>
      <c r="U9" s="33">
        <f t="shared" ca="1" si="1"/>
        <v>1.0980150741982239E-2</v>
      </c>
      <c r="V9" s="33">
        <f t="shared" ca="1" si="1"/>
        <v>1.5056311785017561E-2</v>
      </c>
      <c r="W9" s="33">
        <f t="shared" ca="1" si="1"/>
        <v>1.0787787383492575E-2</v>
      </c>
      <c r="X9" s="33">
        <f t="shared" ca="1" si="1"/>
        <v>9.4444859808010748E-3</v>
      </c>
      <c r="Y9" s="33">
        <f t="shared" ca="1" si="1"/>
        <v>8.3386000401285947E-3</v>
      </c>
      <c r="Z9" s="33">
        <f t="shared" ca="1" si="1"/>
        <v>9.354201264407962E-3</v>
      </c>
      <c r="AA9" s="33">
        <f t="shared" ca="1" si="1"/>
        <v>1.1777699626436865E-2</v>
      </c>
      <c r="AB9" s="33">
        <f t="shared" ca="1" si="1"/>
        <v>1.3299687622440555E-2</v>
      </c>
      <c r="AC9" s="33">
        <f t="shared" ca="1" si="2"/>
        <v>6.980299257192661E-3</v>
      </c>
      <c r="AD9" s="33">
        <f t="shared" ca="1" si="2"/>
        <v>1.0775686527262004E-2</v>
      </c>
      <c r="AE9" s="33">
        <f t="shared" ca="1" si="2"/>
        <v>8.651639849059577E-3</v>
      </c>
      <c r="AF9" s="33">
        <f t="shared" ca="1" si="2"/>
        <v>8.9460818362216959E-3</v>
      </c>
      <c r="AG9" s="33">
        <f t="shared" ca="1" si="2"/>
        <v>1.1299824775407915E-2</v>
      </c>
      <c r="AH9" s="33">
        <f t="shared" ca="1" si="2"/>
        <v>1.2181187653874036E-2</v>
      </c>
      <c r="AI9" s="33">
        <f t="shared" ca="1" si="2"/>
        <v>1.019863600115271E-2</v>
      </c>
      <c r="AJ9" s="33">
        <f t="shared" ca="1" si="2"/>
        <v>1.4008801285940136E-2</v>
      </c>
      <c r="AK9" s="33">
        <f t="shared" ca="1" si="2"/>
        <v>1.0991893342349115E-2</v>
      </c>
      <c r="AL9" s="33">
        <f t="shared" ca="1" si="2"/>
        <v>1.2204686000268306E-2</v>
      </c>
      <c r="AM9" s="33">
        <f t="shared" ca="1" si="3"/>
        <v>1.1131196796015114E-2</v>
      </c>
      <c r="AN9" s="33">
        <f t="shared" ca="1" si="3"/>
        <v>1.2503084984918427E-2</v>
      </c>
      <c r="AO9" s="33">
        <f t="shared" ca="1" si="3"/>
        <v>1.4645585313059557E-2</v>
      </c>
      <c r="AP9" s="33">
        <f t="shared" ca="1" si="3"/>
        <v>1.2812541964951182E-2</v>
      </c>
      <c r="AQ9" s="33">
        <f t="shared" ca="1" si="3"/>
        <v>1.154638903082999E-2</v>
      </c>
      <c r="AR9" s="33">
        <f t="shared" ca="1" si="3"/>
        <v>9.3508623063473881E-3</v>
      </c>
      <c r="AS9" s="33">
        <f t="shared" ca="1" si="3"/>
        <v>1.1717165346313998E-2</v>
      </c>
      <c r="AT9" s="33">
        <f t="shared" ca="1" si="3"/>
        <v>9.5407389528252961E-3</v>
      </c>
      <c r="AU9" s="33">
        <f t="shared" ca="1" si="3"/>
        <v>1.3598565964493192E-2</v>
      </c>
      <c r="AV9" s="33">
        <f t="shared" ca="1" si="3"/>
        <v>1.145425855723157E-2</v>
      </c>
      <c r="AW9" s="33">
        <f t="shared" ca="1" si="4"/>
        <v>1.0425702372747104E-2</v>
      </c>
      <c r="AX9" s="33">
        <f t="shared" ca="1" si="4"/>
        <v>1.1196051984622264E-2</v>
      </c>
      <c r="AY9" s="33">
        <f t="shared" ca="1" si="4"/>
        <v>8.0542412998495135E-3</v>
      </c>
      <c r="AZ9" s="33">
        <f t="shared" ca="1" si="4"/>
        <v>1.0390482311499119E-2</v>
      </c>
      <c r="BA9" s="33">
        <f t="shared" ca="1" si="4"/>
        <v>1.1974542079508255E-2</v>
      </c>
      <c r="BB9" s="33">
        <f t="shared" ca="1" si="4"/>
        <v>9.2508750155868309E-3</v>
      </c>
      <c r="BC9" s="33">
        <f t="shared" ca="1" si="4"/>
        <v>8.5319436317618236E-3</v>
      </c>
      <c r="BD9" s="33">
        <f t="shared" ca="1" si="4"/>
        <v>1.3701309774148775E-2</v>
      </c>
      <c r="BE9" s="33">
        <f t="shared" ca="1" si="4"/>
        <v>1.0635044524512673E-2</v>
      </c>
      <c r="BF9" s="33">
        <f t="shared" ca="1" si="4"/>
        <v>1.1719762026507218E-2</v>
      </c>
      <c r="BG9" s="33">
        <f t="shared" ca="1" si="5"/>
        <v>1.1792637759395009E-2</v>
      </c>
      <c r="BH9" s="33">
        <f t="shared" ca="1" si="5"/>
        <v>1.1661560602904235E-2</v>
      </c>
      <c r="BI9" s="33">
        <f t="shared" ca="1" si="5"/>
        <v>1.0409181573766092E-2</v>
      </c>
      <c r="BJ9" s="33">
        <f t="shared" ca="1" si="5"/>
        <v>1.2365894454573315E-2</v>
      </c>
      <c r="BK9" s="33">
        <f t="shared" ca="1" si="5"/>
        <v>1.3334028743643509E-2</v>
      </c>
      <c r="BL9" s="33">
        <f t="shared" ca="1" si="5"/>
        <v>9.3125815274230708E-3</v>
      </c>
      <c r="BM9" s="33">
        <f t="shared" ca="1" si="5"/>
        <v>1.1000550465643771E-2</v>
      </c>
      <c r="BN9" s="33">
        <f t="shared" ca="1" si="5"/>
        <v>1.3068115749826043E-2</v>
      </c>
      <c r="BO9" s="33">
        <f t="shared" ca="1" si="5"/>
        <v>1.1175597730291639E-2</v>
      </c>
      <c r="BP9" s="33">
        <f t="shared" ca="1" si="5"/>
        <v>9.8964762599927578E-3</v>
      </c>
      <c r="BQ9" s="33">
        <f t="shared" ca="1" si="6"/>
        <v>9.601704566489502E-3</v>
      </c>
      <c r="BR9" s="33">
        <f t="shared" ca="1" si="6"/>
        <v>1.1253562040443737E-2</v>
      </c>
      <c r="BS9" s="33">
        <f t="shared" ca="1" si="6"/>
        <v>1.1902256182767464E-2</v>
      </c>
      <c r="BT9" s="33">
        <f t="shared" ca="1" si="6"/>
        <v>1.2149182263359438E-2</v>
      </c>
      <c r="BU9" s="33">
        <f t="shared" ca="1" si="6"/>
        <v>8.8686929657076294E-3</v>
      </c>
      <c r="BV9" s="33">
        <f t="shared" ca="1" si="6"/>
        <v>1.223364345357293E-2</v>
      </c>
      <c r="BW9" s="33">
        <f t="shared" ca="1" si="6"/>
        <v>1.2958487166074392E-2</v>
      </c>
      <c r="BX9" s="33">
        <f t="shared" ca="1" si="6"/>
        <v>8.0283076673077578E-3</v>
      </c>
      <c r="BY9" s="33">
        <f t="shared" ca="1" si="6"/>
        <v>1.0156022611316713E-2</v>
      </c>
      <c r="BZ9" s="33">
        <f t="shared" ca="1" si="6"/>
        <v>1.1359692837375871E-2</v>
      </c>
      <c r="CA9" s="33">
        <f t="shared" ca="1" si="7"/>
        <v>1.1040838600647642E-2</v>
      </c>
      <c r="CB9" s="33">
        <f t="shared" ca="1" si="7"/>
        <v>1.2710821766387225E-2</v>
      </c>
      <c r="CC9" s="33">
        <f t="shared" ca="1" si="7"/>
        <v>1.218113098132774E-2</v>
      </c>
      <c r="CD9" s="33">
        <f t="shared" ca="1" si="7"/>
        <v>9.6408634437271917E-3</v>
      </c>
      <c r="CE9" s="33">
        <f t="shared" ca="1" si="7"/>
        <v>1.3718640756981591E-2</v>
      </c>
      <c r="CF9" s="33">
        <f t="shared" ca="1" si="7"/>
        <v>1.2272657459002615E-2</v>
      </c>
      <c r="CG9" s="33">
        <f t="shared" ca="1" si="7"/>
        <v>9.6210611590940749E-3</v>
      </c>
      <c r="CH9" s="33">
        <f t="shared" ca="1" si="7"/>
        <v>1.0413939260262373E-2</v>
      </c>
      <c r="CI9" s="33">
        <f t="shared" ca="1" si="7"/>
        <v>1.2216151621947913E-2</v>
      </c>
      <c r="CJ9" s="33">
        <f t="shared" ca="1" si="7"/>
        <v>1.1232787048696572E-2</v>
      </c>
      <c r="CK9" s="33">
        <f t="shared" ca="1" si="8"/>
        <v>9.8079350445371642E-3</v>
      </c>
      <c r="CL9" s="33">
        <f t="shared" ca="1" si="8"/>
        <v>1.2782931354794897E-2</v>
      </c>
      <c r="CM9" s="33">
        <f t="shared" ca="1" si="8"/>
        <v>1.0690242282988458E-2</v>
      </c>
      <c r="CN9" s="33">
        <f t="shared" ca="1" si="8"/>
        <v>1.1573701726311858E-2</v>
      </c>
      <c r="CO9" s="33">
        <f t="shared" ca="1" si="8"/>
        <v>9.2489801610534609E-3</v>
      </c>
      <c r="CP9" s="33">
        <f t="shared" ca="1" si="8"/>
        <v>1.2192652819559313E-2</v>
      </c>
      <c r="CQ9" s="33">
        <f t="shared" ca="1" si="8"/>
        <v>1.1631442437368026E-2</v>
      </c>
      <c r="CR9" s="33">
        <f t="shared" ca="1" si="8"/>
        <v>1.365237201016652E-2</v>
      </c>
      <c r="CS9" s="33">
        <f t="shared" ca="1" si="8"/>
        <v>1.0447222373469666E-2</v>
      </c>
      <c r="CT9" s="33">
        <f t="shared" ca="1" si="8"/>
        <v>1.1481128979101012E-2</v>
      </c>
      <c r="CU9" s="33">
        <f t="shared" ca="1" si="9"/>
        <v>1.1379931728773152E-2</v>
      </c>
      <c r="CV9" s="33">
        <f t="shared" ca="1" si="9"/>
        <v>9.7361686896565523E-3</v>
      </c>
      <c r="CW9" s="33">
        <f t="shared" ca="1" si="9"/>
        <v>1.0642652323919729E-2</v>
      </c>
      <c r="CX9" s="33">
        <f t="shared" ca="1" si="9"/>
        <v>9.6263261837083273E-3</v>
      </c>
      <c r="CY9" s="33">
        <f t="shared" ca="1" si="9"/>
        <v>1.1866870367040464E-2</v>
      </c>
      <c r="CZ9" s="33">
        <f t="shared" ca="1" si="9"/>
        <v>1.0238431782106271E-2</v>
      </c>
      <c r="DA9" s="33">
        <f t="shared" ca="1" si="9"/>
        <v>1.0782779439952171E-2</v>
      </c>
      <c r="DB9" s="33">
        <f t="shared" ca="1" si="9"/>
        <v>9.619900068351523E-3</v>
      </c>
      <c r="DC9" s="33">
        <f t="shared" ca="1" si="9"/>
        <v>1.4846653109422864E-2</v>
      </c>
      <c r="DD9" s="33">
        <f t="shared" ca="1" si="9"/>
        <v>1.1220031140511654E-2</v>
      </c>
      <c r="DE9" s="33">
        <f t="shared" ca="1" si="10"/>
        <v>1.1280364044090939E-2</v>
      </c>
      <c r="DF9" s="33">
        <f t="shared" ca="1" si="10"/>
        <v>1.213789949326784E-2</v>
      </c>
      <c r="DG9" s="33">
        <f t="shared" ca="1" si="10"/>
        <v>9.4637221655800401E-3</v>
      </c>
      <c r="DH9" s="33">
        <f t="shared" ca="1" si="10"/>
        <v>9.5173704256253135E-3</v>
      </c>
      <c r="DI9" s="33">
        <f t="shared" ca="1" si="10"/>
        <v>1.1190954976236263E-2</v>
      </c>
      <c r="DJ9" s="33">
        <f t="shared" ca="1" si="10"/>
        <v>1.0696503643448046E-2</v>
      </c>
      <c r="DK9" s="33">
        <f t="shared" ca="1" si="10"/>
        <v>1.2352584537966569E-2</v>
      </c>
      <c r="DL9" s="33">
        <f t="shared" ca="1" si="10"/>
        <v>1.2741632139909167E-2</v>
      </c>
      <c r="DM9" s="33">
        <f t="shared" ca="1" si="10"/>
        <v>1.1784246909179678E-2</v>
      </c>
      <c r="DN9" s="33">
        <f t="shared" ca="1" si="10"/>
        <v>1.350127029998646E-2</v>
      </c>
      <c r="DO9" s="12"/>
      <c r="DP9" s="12"/>
      <c r="DQ9" s="12"/>
    </row>
    <row r="10" spans="1:121" x14ac:dyDescent="0.2">
      <c r="A10" s="62"/>
      <c r="B10" s="62"/>
      <c r="C10" s="62"/>
      <c r="D10" s="62"/>
      <c r="I10" s="32">
        <v>44713</v>
      </c>
      <c r="J10" s="33">
        <f t="shared" ca="1" si="0"/>
        <v>9.6242736319207701E-3</v>
      </c>
      <c r="K10" s="9">
        <v>1875</v>
      </c>
      <c r="L10" s="9">
        <f t="shared" ca="1" si="11"/>
        <v>9574.3346924589914</v>
      </c>
      <c r="N10" s="6">
        <v>6</v>
      </c>
      <c r="O10" s="5">
        <v>3.8496434399856438</v>
      </c>
      <c r="P10" s="9">
        <v>679122.82793126919</v>
      </c>
      <c r="R10" s="32">
        <v>44713</v>
      </c>
      <c r="S10" s="33">
        <f t="shared" ca="1" si="1"/>
        <v>1.4985356227104306E-2</v>
      </c>
      <c r="T10" s="33">
        <f t="shared" ca="1" si="1"/>
        <v>8.5490839615678365E-3</v>
      </c>
      <c r="U10" s="33">
        <f t="shared" ca="1" si="1"/>
        <v>1.4143410120063449E-2</v>
      </c>
      <c r="V10" s="33">
        <f t="shared" ca="1" si="1"/>
        <v>1.1283914569182129E-2</v>
      </c>
      <c r="W10" s="33">
        <f t="shared" ca="1" si="1"/>
        <v>1.2948527798832203E-2</v>
      </c>
      <c r="X10" s="33">
        <f t="shared" ca="1" si="1"/>
        <v>8.639535519850635E-3</v>
      </c>
      <c r="Y10" s="33">
        <f t="shared" ca="1" si="1"/>
        <v>1.2470364218189747E-2</v>
      </c>
      <c r="Z10" s="33">
        <f t="shared" ca="1" si="1"/>
        <v>9.2468663545409863E-3</v>
      </c>
      <c r="AA10" s="33">
        <f t="shared" ca="1" si="1"/>
        <v>5.7644134875640294E-3</v>
      </c>
      <c r="AB10" s="33">
        <f t="shared" ca="1" si="1"/>
        <v>1.3108958165401788E-2</v>
      </c>
      <c r="AC10" s="33">
        <f t="shared" ca="1" si="2"/>
        <v>1.0034947991331977E-2</v>
      </c>
      <c r="AD10" s="33">
        <f t="shared" ca="1" si="2"/>
        <v>1.3181072222269082E-2</v>
      </c>
      <c r="AE10" s="33">
        <f t="shared" ca="1" si="2"/>
        <v>1.0797374461255204E-2</v>
      </c>
      <c r="AF10" s="33">
        <f t="shared" ca="1" si="2"/>
        <v>1.1786651883261879E-2</v>
      </c>
      <c r="AG10" s="33">
        <f t="shared" ca="1" si="2"/>
        <v>1.0612003991206537E-2</v>
      </c>
      <c r="AH10" s="33">
        <f t="shared" ca="1" si="2"/>
        <v>1.1306995356820648E-2</v>
      </c>
      <c r="AI10" s="33">
        <f t="shared" ca="1" si="2"/>
        <v>1.0925144051077817E-2</v>
      </c>
      <c r="AJ10" s="33">
        <f t="shared" ca="1" si="2"/>
        <v>1.1691193110088165E-2</v>
      </c>
      <c r="AK10" s="33">
        <f t="shared" ca="1" si="2"/>
        <v>1.0312959461936996E-2</v>
      </c>
      <c r="AL10" s="33">
        <f t="shared" ca="1" si="2"/>
        <v>1.4100285528547061E-2</v>
      </c>
      <c r="AM10" s="33">
        <f t="shared" ca="1" si="3"/>
        <v>1.1225650022273752E-2</v>
      </c>
      <c r="AN10" s="33">
        <f t="shared" ca="1" si="3"/>
        <v>1.1245104356524465E-2</v>
      </c>
      <c r="AO10" s="33">
        <f t="shared" ca="1" si="3"/>
        <v>1.2002754236021406E-2</v>
      </c>
      <c r="AP10" s="33">
        <f t="shared" ca="1" si="3"/>
        <v>1.1628055833998688E-2</v>
      </c>
      <c r="AQ10" s="33">
        <f t="shared" ca="1" si="3"/>
        <v>1.0472849000514053E-2</v>
      </c>
      <c r="AR10" s="33">
        <f t="shared" ca="1" si="3"/>
        <v>7.7377271689235295E-3</v>
      </c>
      <c r="AS10" s="33">
        <f t="shared" ca="1" si="3"/>
        <v>1.1617383690007962E-2</v>
      </c>
      <c r="AT10" s="33">
        <f t="shared" ca="1" si="3"/>
        <v>1.2310773725722439E-2</v>
      </c>
      <c r="AU10" s="33">
        <f t="shared" ca="1" si="3"/>
        <v>1.1619143853513973E-2</v>
      </c>
      <c r="AV10" s="33">
        <f t="shared" ca="1" si="3"/>
        <v>1.4055685701715458E-2</v>
      </c>
      <c r="AW10" s="33">
        <f t="shared" ca="1" si="4"/>
        <v>1.1728477116068E-2</v>
      </c>
      <c r="AX10" s="33">
        <f t="shared" ca="1" si="4"/>
        <v>8.3825728588150968E-3</v>
      </c>
      <c r="AY10" s="33">
        <f t="shared" ca="1" si="4"/>
        <v>1.0109962783170827E-2</v>
      </c>
      <c r="AZ10" s="33">
        <f t="shared" ca="1" si="4"/>
        <v>1.1100213048802852E-2</v>
      </c>
      <c r="BA10" s="33">
        <f t="shared" ca="1" si="4"/>
        <v>9.1946388700423452E-3</v>
      </c>
      <c r="BB10" s="33">
        <f t="shared" ca="1" si="4"/>
        <v>1.5183491296697429E-2</v>
      </c>
      <c r="BC10" s="33">
        <f t="shared" ca="1" si="4"/>
        <v>1.0269380750868449E-2</v>
      </c>
      <c r="BD10" s="33">
        <f t="shared" ca="1" si="4"/>
        <v>1.0347085535919301E-2</v>
      </c>
      <c r="BE10" s="33">
        <f t="shared" ca="1" si="4"/>
        <v>1.2908983157303433E-2</v>
      </c>
      <c r="BF10" s="33">
        <f t="shared" ca="1" si="4"/>
        <v>1.0206877966523694E-2</v>
      </c>
      <c r="BG10" s="33">
        <f t="shared" ca="1" si="5"/>
        <v>1.106524344016277E-2</v>
      </c>
      <c r="BH10" s="33">
        <f t="shared" ca="1" si="5"/>
        <v>1.3505216280469294E-2</v>
      </c>
      <c r="BI10" s="33">
        <f t="shared" ca="1" si="5"/>
        <v>1.2605366882672615E-2</v>
      </c>
      <c r="BJ10" s="33">
        <f t="shared" ca="1" si="5"/>
        <v>1.1407576295589698E-2</v>
      </c>
      <c r="BK10" s="33">
        <f t="shared" ca="1" si="5"/>
        <v>8.3739359419477723E-3</v>
      </c>
      <c r="BL10" s="33">
        <f t="shared" ca="1" si="5"/>
        <v>1.0137358267506308E-2</v>
      </c>
      <c r="BM10" s="33">
        <f t="shared" ca="1" si="5"/>
        <v>1.2282639840800252E-2</v>
      </c>
      <c r="BN10" s="33">
        <f t="shared" ca="1" si="5"/>
        <v>1.3853871306810898E-2</v>
      </c>
      <c r="BO10" s="33">
        <f t="shared" ca="1" si="5"/>
        <v>1.1136921015793142E-2</v>
      </c>
      <c r="BP10" s="33">
        <f t="shared" ca="1" si="5"/>
        <v>1.2932044152605912E-2</v>
      </c>
      <c r="BQ10" s="33">
        <f t="shared" ca="1" si="6"/>
        <v>1.0912608786024333E-2</v>
      </c>
      <c r="BR10" s="33">
        <f t="shared" ca="1" si="6"/>
        <v>9.9963097670143514E-3</v>
      </c>
      <c r="BS10" s="33">
        <f t="shared" ca="1" si="6"/>
        <v>9.7036942792063895E-3</v>
      </c>
      <c r="BT10" s="33">
        <f t="shared" ca="1" si="6"/>
        <v>1.102020129919278E-2</v>
      </c>
      <c r="BU10" s="33">
        <f t="shared" ca="1" si="6"/>
        <v>8.1936252956968103E-3</v>
      </c>
      <c r="BV10" s="33">
        <f t="shared" ca="1" si="6"/>
        <v>1.0337717692587768E-2</v>
      </c>
      <c r="BW10" s="33">
        <f t="shared" ca="1" si="6"/>
        <v>1.1570969821945531E-2</v>
      </c>
      <c r="BX10" s="33">
        <f t="shared" ca="1" si="6"/>
        <v>1.1415896266727494E-2</v>
      </c>
      <c r="BY10" s="33">
        <f t="shared" ca="1" si="6"/>
        <v>9.0386288274157851E-3</v>
      </c>
      <c r="BZ10" s="33">
        <f t="shared" ca="1" si="6"/>
        <v>1.0286030259137029E-2</v>
      </c>
      <c r="CA10" s="33">
        <f t="shared" ca="1" si="7"/>
        <v>1.0424329788067807E-2</v>
      </c>
      <c r="CB10" s="33">
        <f t="shared" ca="1" si="7"/>
        <v>1.1489251097474389E-2</v>
      </c>
      <c r="CC10" s="33">
        <f t="shared" ca="1" si="7"/>
        <v>1.0502209312646935E-2</v>
      </c>
      <c r="CD10" s="33">
        <f t="shared" ca="1" si="7"/>
        <v>1.1849064063091472E-2</v>
      </c>
      <c r="CE10" s="33">
        <f t="shared" ca="1" si="7"/>
        <v>1.094503274006469E-2</v>
      </c>
      <c r="CF10" s="33">
        <f t="shared" ca="1" si="7"/>
        <v>1.1833538438025874E-2</v>
      </c>
      <c r="CG10" s="33">
        <f t="shared" ca="1" si="7"/>
        <v>1.2799966895754942E-2</v>
      </c>
      <c r="CH10" s="33">
        <f t="shared" ca="1" si="7"/>
        <v>1.2400253445955741E-2</v>
      </c>
      <c r="CI10" s="33">
        <f t="shared" ca="1" si="7"/>
        <v>1.0261602753962703E-2</v>
      </c>
      <c r="CJ10" s="33">
        <f t="shared" ca="1" si="7"/>
        <v>1.1323879592421921E-2</v>
      </c>
      <c r="CK10" s="33">
        <f t="shared" ca="1" si="8"/>
        <v>1.1763988870005068E-2</v>
      </c>
      <c r="CL10" s="33">
        <f t="shared" ca="1" si="8"/>
        <v>1.0214036251866202E-2</v>
      </c>
      <c r="CM10" s="33">
        <f t="shared" ca="1" si="8"/>
        <v>9.8415469899289353E-3</v>
      </c>
      <c r="CN10" s="33">
        <f t="shared" ca="1" si="8"/>
        <v>1.0882809855325531E-2</v>
      </c>
      <c r="CO10" s="33">
        <f t="shared" ca="1" si="8"/>
        <v>1.0835128913097763E-2</v>
      </c>
      <c r="CP10" s="33">
        <f t="shared" ca="1" si="8"/>
        <v>1.1351284817353809E-2</v>
      </c>
      <c r="CQ10" s="33">
        <f t="shared" ca="1" si="8"/>
        <v>1.1724653168604431E-2</v>
      </c>
      <c r="CR10" s="33">
        <f t="shared" ca="1" si="8"/>
        <v>1.4230781573185764E-2</v>
      </c>
      <c r="CS10" s="33">
        <f t="shared" ca="1" si="8"/>
        <v>1.1232883257844137E-2</v>
      </c>
      <c r="CT10" s="33">
        <f t="shared" ca="1" si="8"/>
        <v>1.0664997271848858E-2</v>
      </c>
      <c r="CU10" s="33">
        <f t="shared" ca="1" si="9"/>
        <v>1.2822527967523159E-2</v>
      </c>
      <c r="CV10" s="33">
        <f t="shared" ca="1" si="9"/>
        <v>1.0728046124400859E-2</v>
      </c>
      <c r="CW10" s="33">
        <f t="shared" ca="1" si="9"/>
        <v>1.0465403632576984E-2</v>
      </c>
      <c r="CX10" s="33">
        <f t="shared" ca="1" si="9"/>
        <v>9.3729349339751675E-3</v>
      </c>
      <c r="CY10" s="33">
        <f t="shared" ca="1" si="9"/>
        <v>1.0003690394422914E-2</v>
      </c>
      <c r="CZ10" s="33">
        <f t="shared" ca="1" si="9"/>
        <v>1.2360501243908879E-2</v>
      </c>
      <c r="DA10" s="33">
        <f t="shared" ca="1" si="9"/>
        <v>1.1600825580827798E-2</v>
      </c>
      <c r="DB10" s="33">
        <f t="shared" ca="1" si="9"/>
        <v>1.0050685347328727E-2</v>
      </c>
      <c r="DC10" s="33">
        <f t="shared" ca="1" si="9"/>
        <v>1.2087969401249371E-2</v>
      </c>
      <c r="DD10" s="33">
        <f t="shared" ca="1" si="9"/>
        <v>1.0371662794209181E-2</v>
      </c>
      <c r="DE10" s="33">
        <f t="shared" ca="1" si="10"/>
        <v>8.7231880423703605E-3</v>
      </c>
      <c r="DF10" s="33">
        <f t="shared" ca="1" si="10"/>
        <v>1.3958130980361342E-2</v>
      </c>
      <c r="DG10" s="33">
        <f t="shared" ca="1" si="10"/>
        <v>1.3509987710790467E-2</v>
      </c>
      <c r="DH10" s="33">
        <f t="shared" ca="1" si="10"/>
        <v>1.1975278063520414E-2</v>
      </c>
      <c r="DI10" s="33">
        <f t="shared" ca="1" si="10"/>
        <v>1.4262306002034498E-2</v>
      </c>
      <c r="DJ10" s="33">
        <f t="shared" ca="1" si="10"/>
        <v>1.0733583540594801E-2</v>
      </c>
      <c r="DK10" s="33">
        <f t="shared" ca="1" si="10"/>
        <v>1.0755092877608568E-2</v>
      </c>
      <c r="DL10" s="33">
        <f t="shared" ca="1" si="10"/>
        <v>8.8759997871437641E-3</v>
      </c>
      <c r="DM10" s="33">
        <f t="shared" ca="1" si="10"/>
        <v>9.6128958379758291E-3</v>
      </c>
      <c r="DN10" s="33">
        <f t="shared" ca="1" si="10"/>
        <v>8.1900238361138737E-3</v>
      </c>
      <c r="DO10" s="12"/>
      <c r="DP10" s="12"/>
      <c r="DQ10" s="12"/>
    </row>
    <row r="11" spans="1:121" x14ac:dyDescent="0.2">
      <c r="A11" s="62"/>
      <c r="B11" s="62"/>
      <c r="C11" s="62"/>
      <c r="D11" s="62"/>
      <c r="I11" s="32">
        <v>44743</v>
      </c>
      <c r="J11" s="33">
        <f t="shared" ca="1" si="0"/>
        <v>1.3495344391026412E-2</v>
      </c>
      <c r="K11" s="9">
        <v>1875</v>
      </c>
      <c r="L11" s="9">
        <f t="shared" ca="1" si="11"/>
        <v>11579.419431330662</v>
      </c>
      <c r="N11" s="6">
        <v>7</v>
      </c>
      <c r="O11" s="5">
        <v>4.0809735918155443</v>
      </c>
      <c r="P11" s="9">
        <v>699952.80660340935</v>
      </c>
      <c r="R11" s="32">
        <v>44743</v>
      </c>
      <c r="S11" s="33">
        <f t="shared" ca="1" si="1"/>
        <v>9.4991301495958042E-3</v>
      </c>
      <c r="T11" s="33">
        <f t="shared" ca="1" si="1"/>
        <v>1.0561077897760509E-2</v>
      </c>
      <c r="U11" s="33">
        <f t="shared" ca="1" si="1"/>
        <v>1.1106301600446658E-2</v>
      </c>
      <c r="V11" s="33">
        <f t="shared" ca="1" si="1"/>
        <v>1.0495425726285475E-2</v>
      </c>
      <c r="W11" s="33">
        <f t="shared" ca="1" si="1"/>
        <v>1.2210559290516185E-2</v>
      </c>
      <c r="X11" s="33">
        <f t="shared" ca="1" si="1"/>
        <v>1.0932588030840995E-2</v>
      </c>
      <c r="Y11" s="33">
        <f t="shared" ca="1" si="1"/>
        <v>1.1192132524295493E-2</v>
      </c>
      <c r="Z11" s="33">
        <f t="shared" ca="1" si="1"/>
        <v>9.5065428923738378E-3</v>
      </c>
      <c r="AA11" s="33">
        <f t="shared" ca="1" si="1"/>
        <v>1.3147975170922328E-2</v>
      </c>
      <c r="AB11" s="33">
        <f t="shared" ca="1" si="1"/>
        <v>1.1289439330616609E-2</v>
      </c>
      <c r="AC11" s="33">
        <f t="shared" ca="1" si="2"/>
        <v>8.3633898989697864E-3</v>
      </c>
      <c r="AD11" s="33">
        <f t="shared" ca="1" si="2"/>
        <v>1.0737093574752275E-2</v>
      </c>
      <c r="AE11" s="33">
        <f t="shared" ca="1" si="2"/>
        <v>9.2090046665735583E-3</v>
      </c>
      <c r="AF11" s="33">
        <f t="shared" ca="1" si="2"/>
        <v>1.2660303867356072E-2</v>
      </c>
      <c r="AG11" s="33">
        <f t="shared" ca="1" si="2"/>
        <v>9.74962296781633E-3</v>
      </c>
      <c r="AH11" s="33">
        <f t="shared" ca="1" si="2"/>
        <v>1.1954423122833442E-2</v>
      </c>
      <c r="AI11" s="33">
        <f t="shared" ca="1" si="2"/>
        <v>1.212634713660217E-2</v>
      </c>
      <c r="AJ11" s="33">
        <f t="shared" ca="1" si="2"/>
        <v>1.2736333157700879E-2</v>
      </c>
      <c r="AK11" s="33">
        <f t="shared" ca="1" si="2"/>
        <v>8.5121040089268761E-3</v>
      </c>
      <c r="AL11" s="33">
        <f t="shared" ca="1" si="2"/>
        <v>1.2443079184275667E-2</v>
      </c>
      <c r="AM11" s="33">
        <f t="shared" ca="1" si="3"/>
        <v>1.1617365185581369E-2</v>
      </c>
      <c r="AN11" s="33">
        <f t="shared" ca="1" si="3"/>
        <v>1.2382345083171969E-2</v>
      </c>
      <c r="AO11" s="33">
        <f t="shared" ca="1" si="3"/>
        <v>1.1594915349969865E-2</v>
      </c>
      <c r="AP11" s="33">
        <f t="shared" ca="1" si="3"/>
        <v>1.2268827971894651E-2</v>
      </c>
      <c r="AQ11" s="33">
        <f t="shared" ca="1" si="3"/>
        <v>1.3040169307870901E-2</v>
      </c>
      <c r="AR11" s="33">
        <f t="shared" ca="1" si="3"/>
        <v>1.1845111472956854E-2</v>
      </c>
      <c r="AS11" s="33">
        <f t="shared" ca="1" si="3"/>
        <v>1.0752377791649358E-2</v>
      </c>
      <c r="AT11" s="33">
        <f t="shared" ca="1" si="3"/>
        <v>9.5811759738068155E-3</v>
      </c>
      <c r="AU11" s="33">
        <f t="shared" ca="1" si="3"/>
        <v>1.0398038570399696E-2</v>
      </c>
      <c r="AV11" s="33">
        <f t="shared" ca="1" si="3"/>
        <v>7.9619501971511224E-3</v>
      </c>
      <c r="AW11" s="33">
        <f t="shared" ca="1" si="4"/>
        <v>1.2381486922597907E-2</v>
      </c>
      <c r="AX11" s="33">
        <f t="shared" ca="1" si="4"/>
        <v>1.103738057832764E-2</v>
      </c>
      <c r="AY11" s="33">
        <f t="shared" ca="1" si="4"/>
        <v>1.038035372806856E-2</v>
      </c>
      <c r="AZ11" s="33">
        <f t="shared" ca="1" si="4"/>
        <v>1.2086068546011628E-2</v>
      </c>
      <c r="BA11" s="33">
        <f t="shared" ca="1" si="4"/>
        <v>9.6215943682806688E-3</v>
      </c>
      <c r="BB11" s="33">
        <f t="shared" ca="1" si="4"/>
        <v>1.0894994881586998E-2</v>
      </c>
      <c r="BC11" s="33">
        <f t="shared" ca="1" si="4"/>
        <v>1.273395724464282E-2</v>
      </c>
      <c r="BD11" s="33">
        <f t="shared" ca="1" si="4"/>
        <v>1.0696494189719288E-2</v>
      </c>
      <c r="BE11" s="33">
        <f t="shared" ca="1" si="4"/>
        <v>1.0663597735462587E-2</v>
      </c>
      <c r="BF11" s="33">
        <f t="shared" ca="1" si="4"/>
        <v>1.1683205035712699E-2</v>
      </c>
      <c r="BG11" s="33">
        <f t="shared" ca="1" si="5"/>
        <v>7.9317152229004938E-3</v>
      </c>
      <c r="BH11" s="33">
        <f t="shared" ca="1" si="5"/>
        <v>9.5710077870085411E-3</v>
      </c>
      <c r="BI11" s="33">
        <f t="shared" ca="1" si="5"/>
        <v>1.1292123473804833E-2</v>
      </c>
      <c r="BJ11" s="33">
        <f t="shared" ca="1" si="5"/>
        <v>1.1301818019519046E-2</v>
      </c>
      <c r="BK11" s="33">
        <f t="shared" ca="1" si="5"/>
        <v>1.0717300472004363E-2</v>
      </c>
      <c r="BL11" s="33">
        <f t="shared" ca="1" si="5"/>
        <v>1.0910508538947268E-2</v>
      </c>
      <c r="BM11" s="33">
        <f t="shared" ca="1" si="5"/>
        <v>8.542885312045459E-3</v>
      </c>
      <c r="BN11" s="33">
        <f t="shared" ca="1" si="5"/>
        <v>1.2011799397682646E-2</v>
      </c>
      <c r="BO11" s="33">
        <f t="shared" ca="1" si="5"/>
        <v>9.5103276327416757E-3</v>
      </c>
      <c r="BP11" s="33">
        <f t="shared" ca="1" si="5"/>
        <v>1.2410814784753893E-2</v>
      </c>
      <c r="BQ11" s="33">
        <f t="shared" ca="1" si="6"/>
        <v>8.5668023570844368E-3</v>
      </c>
      <c r="BR11" s="33">
        <f t="shared" ca="1" si="6"/>
        <v>1.1211670238100954E-2</v>
      </c>
      <c r="BS11" s="33">
        <f t="shared" ca="1" si="6"/>
        <v>1.0782423267998709E-2</v>
      </c>
      <c r="BT11" s="33">
        <f t="shared" ca="1" si="6"/>
        <v>1.0846714752729534E-2</v>
      </c>
      <c r="BU11" s="33">
        <f t="shared" ca="1" si="6"/>
        <v>1.2542703047875938E-2</v>
      </c>
      <c r="BV11" s="33">
        <f t="shared" ca="1" si="6"/>
        <v>1.2434291769431621E-2</v>
      </c>
      <c r="BW11" s="33">
        <f t="shared" ca="1" si="6"/>
        <v>9.0976109313269833E-3</v>
      </c>
      <c r="BX11" s="33">
        <f t="shared" ca="1" si="6"/>
        <v>1.0831466212477868E-2</v>
      </c>
      <c r="BY11" s="33">
        <f t="shared" ca="1" si="6"/>
        <v>9.827471064768209E-3</v>
      </c>
      <c r="BZ11" s="33">
        <f t="shared" ca="1" si="6"/>
        <v>1.2008272460068145E-2</v>
      </c>
      <c r="CA11" s="33">
        <f t="shared" ca="1" si="7"/>
        <v>1.0842037571933664E-2</v>
      </c>
      <c r="CB11" s="33">
        <f t="shared" ca="1" si="7"/>
        <v>9.5635640479161642E-3</v>
      </c>
      <c r="CC11" s="33">
        <f t="shared" ca="1" si="7"/>
        <v>1.1646722689117739E-2</v>
      </c>
      <c r="CD11" s="33">
        <f t="shared" ca="1" si="7"/>
        <v>1.1477662113872467E-2</v>
      </c>
      <c r="CE11" s="33">
        <f t="shared" ca="1" si="7"/>
        <v>1.2919580800024E-2</v>
      </c>
      <c r="CF11" s="33">
        <f t="shared" ca="1" si="7"/>
        <v>1.2731310221181808E-2</v>
      </c>
      <c r="CG11" s="33">
        <f t="shared" ca="1" si="7"/>
        <v>9.3717962441455145E-3</v>
      </c>
      <c r="CH11" s="33">
        <f t="shared" ca="1" si="7"/>
        <v>1.2577690090064896E-2</v>
      </c>
      <c r="CI11" s="33">
        <f t="shared" ca="1" si="7"/>
        <v>1.4008891829695936E-2</v>
      </c>
      <c r="CJ11" s="33">
        <f t="shared" ca="1" si="7"/>
        <v>1.2843402981347715E-2</v>
      </c>
      <c r="CK11" s="33">
        <f t="shared" ca="1" si="8"/>
        <v>1.3711567313816187E-2</v>
      </c>
      <c r="CL11" s="33">
        <f t="shared" ca="1" si="8"/>
        <v>1.1987495553617989E-2</v>
      </c>
      <c r="CM11" s="33">
        <f t="shared" ca="1" si="8"/>
        <v>1.1297551915126741E-2</v>
      </c>
      <c r="CN11" s="33">
        <f t="shared" ca="1" si="8"/>
        <v>1.278905039706788E-2</v>
      </c>
      <c r="CO11" s="33">
        <f t="shared" ca="1" si="8"/>
        <v>1.1573181435197678E-2</v>
      </c>
      <c r="CP11" s="33">
        <f t="shared" ca="1" si="8"/>
        <v>8.3891511031247753E-3</v>
      </c>
      <c r="CQ11" s="33">
        <f t="shared" ca="1" si="8"/>
        <v>1.1005922131058278E-2</v>
      </c>
      <c r="CR11" s="33">
        <f t="shared" ca="1" si="8"/>
        <v>1.3166086838895426E-2</v>
      </c>
      <c r="CS11" s="33">
        <f t="shared" ca="1" si="8"/>
        <v>9.3792407090418431E-3</v>
      </c>
      <c r="CT11" s="33">
        <f t="shared" ca="1" si="8"/>
        <v>9.7790349577651543E-3</v>
      </c>
      <c r="CU11" s="33">
        <f t="shared" ca="1" si="9"/>
        <v>8.9651673964534183E-3</v>
      </c>
      <c r="CV11" s="33">
        <f t="shared" ca="1" si="9"/>
        <v>1.3703526987184265E-2</v>
      </c>
      <c r="CW11" s="33">
        <f t="shared" ca="1" si="9"/>
        <v>1.0356095407003536E-2</v>
      </c>
      <c r="CX11" s="33">
        <f t="shared" ca="1" si="9"/>
        <v>8.9506394325712876E-3</v>
      </c>
      <c r="CY11" s="33">
        <f t="shared" ca="1" si="9"/>
        <v>1.271972341809407E-2</v>
      </c>
      <c r="CZ11" s="33">
        <f t="shared" ca="1" si="9"/>
        <v>1.2943626478799812E-2</v>
      </c>
      <c r="DA11" s="33">
        <f t="shared" ca="1" si="9"/>
        <v>1.3653143038002087E-2</v>
      </c>
      <c r="DB11" s="33">
        <f t="shared" ca="1" si="9"/>
        <v>9.015655280142261E-3</v>
      </c>
      <c r="DC11" s="33">
        <f t="shared" ca="1" si="9"/>
        <v>1.0965319454150286E-2</v>
      </c>
      <c r="DD11" s="33">
        <f t="shared" ca="1" si="9"/>
        <v>1.1680935631434184E-2</v>
      </c>
      <c r="DE11" s="33">
        <f t="shared" ca="1" si="10"/>
        <v>8.6595936393621883E-3</v>
      </c>
      <c r="DF11" s="33">
        <f t="shared" ca="1" si="10"/>
        <v>1.1315252435492333E-2</v>
      </c>
      <c r="DG11" s="33">
        <f t="shared" ca="1" si="10"/>
        <v>1.2488304793516213E-2</v>
      </c>
      <c r="DH11" s="33">
        <f t="shared" ca="1" si="10"/>
        <v>1.0641490357477171E-2</v>
      </c>
      <c r="DI11" s="33">
        <f t="shared" ca="1" si="10"/>
        <v>1.0406499472405654E-2</v>
      </c>
      <c r="DJ11" s="33">
        <f t="shared" ca="1" si="10"/>
        <v>1.2082434907458724E-2</v>
      </c>
      <c r="DK11" s="33">
        <f t="shared" ca="1" si="10"/>
        <v>1.0595368740396044E-2</v>
      </c>
      <c r="DL11" s="33">
        <f t="shared" ca="1" si="10"/>
        <v>1.0914787531707887E-2</v>
      </c>
      <c r="DM11" s="33">
        <f t="shared" ca="1" si="10"/>
        <v>1.028318398253036E-2</v>
      </c>
      <c r="DN11" s="33">
        <f t="shared" ca="1" si="10"/>
        <v>8.9177839551475725E-3</v>
      </c>
      <c r="DO11" s="12"/>
      <c r="DP11" s="12"/>
      <c r="DQ11" s="12"/>
    </row>
    <row r="12" spans="1:121" x14ac:dyDescent="0.2">
      <c r="A12" s="62"/>
      <c r="B12" s="62"/>
      <c r="C12" s="62"/>
      <c r="D12" s="62"/>
      <c r="I12" s="32">
        <v>44774</v>
      </c>
      <c r="J12" s="33">
        <f t="shared" ca="1" si="0"/>
        <v>1.3383040328934479E-2</v>
      </c>
      <c r="K12" s="9">
        <v>1875</v>
      </c>
      <c r="L12" s="9">
        <f t="shared" ca="1" si="11"/>
        <v>13610.428880431238</v>
      </c>
      <c r="N12" s="6">
        <v>8</v>
      </c>
      <c r="O12" s="5">
        <v>3.9819350909032249</v>
      </c>
      <c r="P12" s="9">
        <v>684400.41758765874</v>
      </c>
      <c r="R12" s="32">
        <v>44774</v>
      </c>
      <c r="S12" s="33">
        <f t="shared" ca="1" si="1"/>
        <v>1.3273853927603397E-2</v>
      </c>
      <c r="T12" s="33">
        <f t="shared" ca="1" si="1"/>
        <v>9.4634828754409962E-3</v>
      </c>
      <c r="U12" s="33">
        <f t="shared" ca="1" si="1"/>
        <v>1.0482778624395075E-2</v>
      </c>
      <c r="V12" s="33">
        <f t="shared" ca="1" si="1"/>
        <v>1.1912440335486937E-2</v>
      </c>
      <c r="W12" s="33">
        <f t="shared" ca="1" si="1"/>
        <v>1.0995614629290178E-2</v>
      </c>
      <c r="X12" s="33">
        <f t="shared" ca="1" si="1"/>
        <v>1.0980264114460094E-2</v>
      </c>
      <c r="Y12" s="33">
        <f t="shared" ca="1" si="1"/>
        <v>1.1209129881029165E-2</v>
      </c>
      <c r="Z12" s="33">
        <f t="shared" ca="1" si="1"/>
        <v>1.0295195956940565E-2</v>
      </c>
      <c r="AA12" s="33">
        <f t="shared" ca="1" si="1"/>
        <v>1.2118732894653039E-2</v>
      </c>
      <c r="AB12" s="33">
        <f t="shared" ca="1" si="1"/>
        <v>1.2507748549081519E-2</v>
      </c>
      <c r="AC12" s="33">
        <f t="shared" ca="1" si="2"/>
        <v>1.171966137152242E-2</v>
      </c>
      <c r="AD12" s="33">
        <f t="shared" ca="1" si="2"/>
        <v>1.0465779699140833E-2</v>
      </c>
      <c r="AE12" s="33">
        <f t="shared" ca="1" si="2"/>
        <v>1.2662662518228136E-2</v>
      </c>
      <c r="AF12" s="33">
        <f t="shared" ca="1" si="2"/>
        <v>1.1815082399193542E-2</v>
      </c>
      <c r="AG12" s="33">
        <f t="shared" ca="1" si="2"/>
        <v>9.9438525069788855E-3</v>
      </c>
      <c r="AH12" s="33">
        <f t="shared" ca="1" si="2"/>
        <v>1.0453054762916145E-2</v>
      </c>
      <c r="AI12" s="33">
        <f t="shared" ca="1" si="2"/>
        <v>1.2048929650077297E-2</v>
      </c>
      <c r="AJ12" s="33">
        <f t="shared" ca="1" si="2"/>
        <v>1.314962105609876E-2</v>
      </c>
      <c r="AK12" s="33">
        <f t="shared" ca="1" si="2"/>
        <v>1.2307210117775793E-2</v>
      </c>
      <c r="AL12" s="33">
        <f t="shared" ca="1" si="2"/>
        <v>1.3606348160922817E-2</v>
      </c>
      <c r="AM12" s="33">
        <f t="shared" ca="1" si="3"/>
        <v>1.290018962144612E-2</v>
      </c>
      <c r="AN12" s="33">
        <f t="shared" ca="1" si="3"/>
        <v>1.1780253347068751E-2</v>
      </c>
      <c r="AO12" s="33">
        <f t="shared" ca="1" si="3"/>
        <v>8.7771795788000179E-3</v>
      </c>
      <c r="AP12" s="33">
        <f t="shared" ca="1" si="3"/>
        <v>1.1765439765312852E-2</v>
      </c>
      <c r="AQ12" s="33">
        <f t="shared" ca="1" si="3"/>
        <v>7.8941531717748314E-3</v>
      </c>
      <c r="AR12" s="33">
        <f t="shared" ca="1" si="3"/>
        <v>1.0703539351340653E-2</v>
      </c>
      <c r="AS12" s="33">
        <f t="shared" ca="1" si="3"/>
        <v>1.0505154117439902E-2</v>
      </c>
      <c r="AT12" s="33">
        <f t="shared" ca="1" si="3"/>
        <v>1.1920942013364943E-2</v>
      </c>
      <c r="AU12" s="33">
        <f t="shared" ca="1" si="3"/>
        <v>1.1397146645321078E-2</v>
      </c>
      <c r="AV12" s="33">
        <f t="shared" ca="1" si="3"/>
        <v>9.466280427033083E-3</v>
      </c>
      <c r="AW12" s="33">
        <f t="shared" ca="1" si="4"/>
        <v>1.0421895011272194E-2</v>
      </c>
      <c r="AX12" s="33">
        <f t="shared" ca="1" si="4"/>
        <v>1.5199148114848177E-2</v>
      </c>
      <c r="AY12" s="33">
        <f t="shared" ca="1" si="4"/>
        <v>1.2645508375980361E-2</v>
      </c>
      <c r="AZ12" s="33">
        <f t="shared" ca="1" si="4"/>
        <v>1.1739867463405804E-2</v>
      </c>
      <c r="BA12" s="33">
        <f t="shared" ca="1" si="4"/>
        <v>1.3436325429308754E-2</v>
      </c>
      <c r="BB12" s="33">
        <f t="shared" ca="1" si="4"/>
        <v>1.0153806341092468E-2</v>
      </c>
      <c r="BC12" s="33">
        <f t="shared" ca="1" si="4"/>
        <v>9.623717330458928E-3</v>
      </c>
      <c r="BD12" s="33">
        <f t="shared" ca="1" si="4"/>
        <v>1.0983747274987774E-2</v>
      </c>
      <c r="BE12" s="33">
        <f t="shared" ca="1" si="4"/>
        <v>1.1215158478526681E-2</v>
      </c>
      <c r="BF12" s="33">
        <f t="shared" ca="1" si="4"/>
        <v>1.172962403822553E-2</v>
      </c>
      <c r="BG12" s="33">
        <f t="shared" ca="1" si="5"/>
        <v>1.0537189179514461E-2</v>
      </c>
      <c r="BH12" s="33">
        <f t="shared" ca="1" si="5"/>
        <v>8.4240573800458615E-3</v>
      </c>
      <c r="BI12" s="33">
        <f t="shared" ca="1" si="5"/>
        <v>1.0739696460214663E-2</v>
      </c>
      <c r="BJ12" s="33">
        <f t="shared" ca="1" si="5"/>
        <v>1.0824192629226645E-2</v>
      </c>
      <c r="BK12" s="33">
        <f t="shared" ca="1" si="5"/>
        <v>1.2175463621085627E-2</v>
      </c>
      <c r="BL12" s="33">
        <f t="shared" ca="1" si="5"/>
        <v>1.0991411733680215E-2</v>
      </c>
      <c r="BM12" s="33">
        <f t="shared" ca="1" si="5"/>
        <v>1.2190090390586741E-2</v>
      </c>
      <c r="BN12" s="33">
        <f t="shared" ca="1" si="5"/>
        <v>9.4459259830709328E-3</v>
      </c>
      <c r="BO12" s="33">
        <f t="shared" ca="1" si="5"/>
        <v>1.3374589788452079E-2</v>
      </c>
      <c r="BP12" s="33">
        <f t="shared" ca="1" si="5"/>
        <v>1.1077166395151328E-2</v>
      </c>
      <c r="BQ12" s="33">
        <f t="shared" ca="1" si="6"/>
        <v>9.3423569610463462E-3</v>
      </c>
      <c r="BR12" s="33">
        <f t="shared" ca="1" si="6"/>
        <v>1.0514815294874505E-2</v>
      </c>
      <c r="BS12" s="33">
        <f t="shared" ca="1" si="6"/>
        <v>9.0148177435637709E-3</v>
      </c>
      <c r="BT12" s="33">
        <f t="shared" ca="1" si="6"/>
        <v>9.8445276397000157E-3</v>
      </c>
      <c r="BU12" s="33">
        <f t="shared" ca="1" si="6"/>
        <v>9.9609027367684906E-3</v>
      </c>
      <c r="BV12" s="33">
        <f t="shared" ca="1" si="6"/>
        <v>1.0484108307117636E-2</v>
      </c>
      <c r="BW12" s="33">
        <f t="shared" ca="1" si="6"/>
        <v>1.1896346866457385E-2</v>
      </c>
      <c r="BX12" s="33">
        <f t="shared" ca="1" si="6"/>
        <v>8.4695598943994258E-3</v>
      </c>
      <c r="BY12" s="33">
        <f t="shared" ca="1" si="6"/>
        <v>9.6762431657284719E-3</v>
      </c>
      <c r="BZ12" s="33">
        <f t="shared" ca="1" si="6"/>
        <v>1.0018647035186685E-2</v>
      </c>
      <c r="CA12" s="33">
        <f t="shared" ca="1" si="7"/>
        <v>1.380009138293024E-2</v>
      </c>
      <c r="CB12" s="33">
        <f t="shared" ca="1" si="7"/>
        <v>8.4525075272576765E-3</v>
      </c>
      <c r="CC12" s="33">
        <f t="shared" ca="1" si="7"/>
        <v>1.1100959786802153E-2</v>
      </c>
      <c r="CD12" s="33">
        <f t="shared" ca="1" si="7"/>
        <v>1.0337688189679745E-2</v>
      </c>
      <c r="CE12" s="33">
        <f t="shared" ca="1" si="7"/>
        <v>1.0591079268661466E-2</v>
      </c>
      <c r="CF12" s="33">
        <f t="shared" ca="1" si="7"/>
        <v>1.065111669263972E-2</v>
      </c>
      <c r="CG12" s="33">
        <f t="shared" ca="1" si="7"/>
        <v>1.1600504493798049E-2</v>
      </c>
      <c r="CH12" s="33">
        <f t="shared" ca="1" si="7"/>
        <v>1.2553659805758021E-2</v>
      </c>
      <c r="CI12" s="33">
        <f t="shared" ca="1" si="7"/>
        <v>9.6591986539205452E-3</v>
      </c>
      <c r="CJ12" s="33">
        <f t="shared" ca="1" si="7"/>
        <v>8.7504485936926741E-3</v>
      </c>
      <c r="CK12" s="33">
        <f t="shared" ca="1" si="8"/>
        <v>1.3258635041189275E-2</v>
      </c>
      <c r="CL12" s="33">
        <f t="shared" ca="1" si="8"/>
        <v>1.1653560605247288E-2</v>
      </c>
      <c r="CM12" s="33">
        <f t="shared" ca="1" si="8"/>
        <v>1.0740373462199776E-2</v>
      </c>
      <c r="CN12" s="33">
        <f t="shared" ca="1" si="8"/>
        <v>9.8601949199915266E-3</v>
      </c>
      <c r="CO12" s="33">
        <f t="shared" ca="1" si="8"/>
        <v>1.2912672007538359E-2</v>
      </c>
      <c r="CP12" s="33">
        <f t="shared" ca="1" si="8"/>
        <v>1.1159318948875957E-2</v>
      </c>
      <c r="CQ12" s="33">
        <f t="shared" ca="1" si="8"/>
        <v>1.0402318120728796E-2</v>
      </c>
      <c r="CR12" s="33">
        <f t="shared" ca="1" si="8"/>
        <v>1.1496211738334705E-2</v>
      </c>
      <c r="CS12" s="33">
        <f t="shared" ca="1" si="8"/>
        <v>1.0411146450092487E-2</v>
      </c>
      <c r="CT12" s="33">
        <f t="shared" ca="1" si="8"/>
        <v>8.6416302219879861E-3</v>
      </c>
      <c r="CU12" s="33">
        <f t="shared" ca="1" si="9"/>
        <v>9.4915445125438435E-3</v>
      </c>
      <c r="CV12" s="33">
        <f t="shared" ca="1" si="9"/>
        <v>9.9095552592466819E-3</v>
      </c>
      <c r="CW12" s="33">
        <f t="shared" ca="1" si="9"/>
        <v>1.2078972862648233E-2</v>
      </c>
      <c r="CX12" s="33">
        <f t="shared" ca="1" si="9"/>
        <v>1.0983190229546566E-2</v>
      </c>
      <c r="CY12" s="33">
        <f t="shared" ca="1" si="9"/>
        <v>1.2013755914840829E-2</v>
      </c>
      <c r="CZ12" s="33">
        <f t="shared" ca="1" si="9"/>
        <v>1.2617610567334967E-2</v>
      </c>
      <c r="DA12" s="33">
        <f t="shared" ca="1" si="9"/>
        <v>1.1726596251036428E-2</v>
      </c>
      <c r="DB12" s="33">
        <f t="shared" ca="1" si="9"/>
        <v>1.0516272593029771E-2</v>
      </c>
      <c r="DC12" s="33">
        <f t="shared" ca="1" si="9"/>
        <v>1.506943793156924E-2</v>
      </c>
      <c r="DD12" s="33">
        <f t="shared" ca="1" si="9"/>
        <v>1.0238884230248914E-2</v>
      </c>
      <c r="DE12" s="33">
        <f t="shared" ca="1" si="10"/>
        <v>1.3154314608668281E-2</v>
      </c>
      <c r="DF12" s="33">
        <f t="shared" ca="1" si="10"/>
        <v>1.5391530200853723E-2</v>
      </c>
      <c r="DG12" s="33">
        <f t="shared" ca="1" si="10"/>
        <v>1.2699065820396611E-2</v>
      </c>
      <c r="DH12" s="33">
        <f t="shared" ca="1" si="10"/>
        <v>1.0379427988003545E-2</v>
      </c>
      <c r="DI12" s="33">
        <f t="shared" ca="1" si="10"/>
        <v>8.6110083945203572E-3</v>
      </c>
      <c r="DJ12" s="33">
        <f t="shared" ca="1" si="10"/>
        <v>1.4041449651699664E-2</v>
      </c>
      <c r="DK12" s="33">
        <f t="shared" ca="1" si="10"/>
        <v>1.1627825303887512E-2</v>
      </c>
      <c r="DL12" s="33">
        <f t="shared" ca="1" si="10"/>
        <v>1.2487982539198798E-2</v>
      </c>
      <c r="DM12" s="33">
        <f t="shared" ca="1" si="10"/>
        <v>1.1777710233712407E-2</v>
      </c>
      <c r="DN12" s="33">
        <f t="shared" ca="1" si="10"/>
        <v>1.1523107552300425E-2</v>
      </c>
      <c r="DO12" s="12"/>
      <c r="DP12" s="12"/>
      <c r="DQ12" s="12"/>
    </row>
    <row r="13" spans="1:121" x14ac:dyDescent="0.2">
      <c r="A13" s="62"/>
      <c r="B13" s="62"/>
      <c r="C13" s="62"/>
      <c r="D13" s="62"/>
      <c r="I13" s="32">
        <v>44805</v>
      </c>
      <c r="J13" s="33">
        <f t="shared" ca="1" si="0"/>
        <v>1.3631701556646912E-2</v>
      </c>
      <c r="K13" s="9">
        <v>1875</v>
      </c>
      <c r="L13" s="9">
        <f t="shared" ca="1" si="11"/>
        <v>15672.232518009281</v>
      </c>
      <c r="N13" s="6">
        <v>9</v>
      </c>
      <c r="O13" s="5">
        <v>3.9867519420186568</v>
      </c>
      <c r="P13" s="9">
        <v>693208.55264410819</v>
      </c>
      <c r="R13" s="32">
        <v>44805</v>
      </c>
      <c r="S13" s="33">
        <f t="shared" ca="1" si="1"/>
        <v>1.1619954130157368E-2</v>
      </c>
      <c r="T13" s="33">
        <f t="shared" ca="1" si="1"/>
        <v>1.0669986630278483E-2</v>
      </c>
      <c r="U13" s="33">
        <f t="shared" ca="1" si="1"/>
        <v>9.6632488230381751E-3</v>
      </c>
      <c r="V13" s="33">
        <f t="shared" ca="1" si="1"/>
        <v>1.0223691633205346E-2</v>
      </c>
      <c r="W13" s="33">
        <f t="shared" ca="1" si="1"/>
        <v>9.799378313540134E-3</v>
      </c>
      <c r="X13" s="33">
        <f t="shared" ca="1" si="1"/>
        <v>1.0740992117253101E-2</v>
      </c>
      <c r="Y13" s="33">
        <f t="shared" ca="1" si="1"/>
        <v>8.9906149233909896E-3</v>
      </c>
      <c r="Z13" s="33">
        <f t="shared" ca="1" si="1"/>
        <v>9.0691910968767921E-3</v>
      </c>
      <c r="AA13" s="33">
        <f t="shared" ca="1" si="1"/>
        <v>1.0572293081684838E-2</v>
      </c>
      <c r="AB13" s="33">
        <f t="shared" ca="1" si="1"/>
        <v>1.0999461950084409E-2</v>
      </c>
      <c r="AC13" s="33">
        <f t="shared" ca="1" si="2"/>
        <v>1.0625658961060899E-2</v>
      </c>
      <c r="AD13" s="33">
        <f t="shared" ca="1" si="2"/>
        <v>1.1913134424124974E-2</v>
      </c>
      <c r="AE13" s="33">
        <f t="shared" ca="1" si="2"/>
        <v>1.3558311627284717E-2</v>
      </c>
      <c r="AF13" s="33">
        <f t="shared" ca="1" si="2"/>
        <v>1.1695461893738933E-2</v>
      </c>
      <c r="AG13" s="33">
        <f t="shared" ca="1" si="2"/>
        <v>1.2823405040715437E-2</v>
      </c>
      <c r="AH13" s="33">
        <f t="shared" ca="1" si="2"/>
        <v>1.1503162962544417E-2</v>
      </c>
      <c r="AI13" s="33">
        <f t="shared" ca="1" si="2"/>
        <v>1.145080186338837E-2</v>
      </c>
      <c r="AJ13" s="33">
        <f t="shared" ca="1" si="2"/>
        <v>1.2199781978990484E-2</v>
      </c>
      <c r="AK13" s="33">
        <f t="shared" ca="1" si="2"/>
        <v>1.1352547510080213E-2</v>
      </c>
      <c r="AL13" s="33">
        <f t="shared" ca="1" si="2"/>
        <v>1.1893869534671742E-2</v>
      </c>
      <c r="AM13" s="33">
        <f t="shared" ca="1" si="3"/>
        <v>1.2678410597034383E-2</v>
      </c>
      <c r="AN13" s="33">
        <f t="shared" ca="1" si="3"/>
        <v>1.1446426103901957E-2</v>
      </c>
      <c r="AO13" s="33">
        <f t="shared" ca="1" si="3"/>
        <v>1.2474345089803423E-2</v>
      </c>
      <c r="AP13" s="33">
        <f t="shared" ca="1" si="3"/>
        <v>1.2331070550229599E-2</v>
      </c>
      <c r="AQ13" s="33">
        <f t="shared" ca="1" si="3"/>
        <v>1.2966800093924188E-2</v>
      </c>
      <c r="AR13" s="33">
        <f t="shared" ca="1" si="3"/>
        <v>1.0316983740755481E-2</v>
      </c>
      <c r="AS13" s="33">
        <f t="shared" ca="1" si="3"/>
        <v>1.2031763151166759E-2</v>
      </c>
      <c r="AT13" s="33">
        <f t="shared" ca="1" si="3"/>
        <v>1.2076396354162591E-2</v>
      </c>
      <c r="AU13" s="33">
        <f t="shared" ca="1" si="3"/>
        <v>1.3025689761208091E-2</v>
      </c>
      <c r="AV13" s="33">
        <f t="shared" ca="1" si="3"/>
        <v>1.2920124784247868E-2</v>
      </c>
      <c r="AW13" s="33">
        <f t="shared" ca="1" si="4"/>
        <v>9.3156848520004384E-3</v>
      </c>
      <c r="AX13" s="33">
        <f t="shared" ca="1" si="4"/>
        <v>1.1072944553155923E-2</v>
      </c>
      <c r="AY13" s="33">
        <f t="shared" ca="1" si="4"/>
        <v>1.2565914009821492E-2</v>
      </c>
      <c r="AZ13" s="33">
        <f t="shared" ca="1" si="4"/>
        <v>1.3929529443767796E-2</v>
      </c>
      <c r="BA13" s="33">
        <f t="shared" ca="1" si="4"/>
        <v>1.3351937131433629E-2</v>
      </c>
      <c r="BB13" s="33">
        <f t="shared" ca="1" si="4"/>
        <v>1.243432813236648E-2</v>
      </c>
      <c r="BC13" s="33">
        <f t="shared" ca="1" si="4"/>
        <v>1.3104017510131185E-2</v>
      </c>
      <c r="BD13" s="33">
        <f t="shared" ca="1" si="4"/>
        <v>9.2819831120777713E-3</v>
      </c>
      <c r="BE13" s="33">
        <f t="shared" ca="1" si="4"/>
        <v>1.1820662148069523E-2</v>
      </c>
      <c r="BF13" s="33">
        <f t="shared" ca="1" si="4"/>
        <v>1.2292096738740861E-2</v>
      </c>
      <c r="BG13" s="33">
        <f t="shared" ca="1" si="5"/>
        <v>1.1420924861964313E-2</v>
      </c>
      <c r="BH13" s="33">
        <f t="shared" ca="1" si="5"/>
        <v>1.009098085760316E-2</v>
      </c>
      <c r="BI13" s="33">
        <f t="shared" ca="1" si="5"/>
        <v>1.1646312956561529E-2</v>
      </c>
      <c r="BJ13" s="33">
        <f t="shared" ca="1" si="5"/>
        <v>1.0620294242616991E-2</v>
      </c>
      <c r="BK13" s="33">
        <f t="shared" ca="1" si="5"/>
        <v>1.2313697420495314E-2</v>
      </c>
      <c r="BL13" s="33">
        <f t="shared" ca="1" si="5"/>
        <v>1.1463750699888836E-2</v>
      </c>
      <c r="BM13" s="33">
        <f t="shared" ca="1" si="5"/>
        <v>8.1208621175317824E-3</v>
      </c>
      <c r="BN13" s="33">
        <f t="shared" ca="1" si="5"/>
        <v>1.0575381934619677E-2</v>
      </c>
      <c r="BO13" s="33">
        <f t="shared" ca="1" si="5"/>
        <v>1.2783774870384148E-2</v>
      </c>
      <c r="BP13" s="33">
        <f t="shared" ca="1" si="5"/>
        <v>1.0259274389769209E-2</v>
      </c>
      <c r="BQ13" s="33">
        <f t="shared" ca="1" si="6"/>
        <v>1.4167312372255048E-2</v>
      </c>
      <c r="BR13" s="33">
        <f t="shared" ca="1" si="6"/>
        <v>9.2422803270733999E-3</v>
      </c>
      <c r="BS13" s="33">
        <f t="shared" ca="1" si="6"/>
        <v>1.0572024272626743E-2</v>
      </c>
      <c r="BT13" s="33">
        <f t="shared" ca="1" si="6"/>
        <v>1.0744724231403786E-2</v>
      </c>
      <c r="BU13" s="33">
        <f t="shared" ca="1" si="6"/>
        <v>9.5522471664602274E-3</v>
      </c>
      <c r="BV13" s="33">
        <f t="shared" ca="1" si="6"/>
        <v>1.1463879536350833E-2</v>
      </c>
      <c r="BW13" s="33">
        <f t="shared" ca="1" si="6"/>
        <v>9.5151727143668683E-3</v>
      </c>
      <c r="BX13" s="33">
        <f t="shared" ca="1" si="6"/>
        <v>1.0302753934665303E-2</v>
      </c>
      <c r="BY13" s="33">
        <f t="shared" ca="1" si="6"/>
        <v>1.4024314555300814E-2</v>
      </c>
      <c r="BZ13" s="33">
        <f t="shared" ca="1" si="6"/>
        <v>1.0567128319955557E-2</v>
      </c>
      <c r="CA13" s="33">
        <f t="shared" ca="1" si="7"/>
        <v>1.1308869120334785E-2</v>
      </c>
      <c r="CB13" s="33">
        <f t="shared" ca="1" si="7"/>
        <v>1.1700012223169387E-2</v>
      </c>
      <c r="CC13" s="33">
        <f t="shared" ca="1" si="7"/>
        <v>9.8549238104281116E-3</v>
      </c>
      <c r="CD13" s="33">
        <f t="shared" ca="1" si="7"/>
        <v>1.0981855053462934E-2</v>
      </c>
      <c r="CE13" s="33">
        <f t="shared" ca="1" si="7"/>
        <v>1.0637956582186884E-2</v>
      </c>
      <c r="CF13" s="33">
        <f t="shared" ca="1" si="7"/>
        <v>1.1249915657648393E-2</v>
      </c>
      <c r="CG13" s="33">
        <f t="shared" ca="1" si="7"/>
        <v>1.2091224263289161E-2</v>
      </c>
      <c r="CH13" s="33">
        <f t="shared" ca="1" si="7"/>
        <v>9.4819554192895356E-3</v>
      </c>
      <c r="CI13" s="33">
        <f t="shared" ca="1" si="7"/>
        <v>9.3374634406439682E-3</v>
      </c>
      <c r="CJ13" s="33">
        <f t="shared" ca="1" si="7"/>
        <v>1.1707636400955698E-2</v>
      </c>
      <c r="CK13" s="33">
        <f t="shared" ca="1" si="8"/>
        <v>1.1576704145693331E-2</v>
      </c>
      <c r="CL13" s="33">
        <f t="shared" ca="1" si="8"/>
        <v>1.0366167196280158E-2</v>
      </c>
      <c r="CM13" s="33">
        <f t="shared" ca="1" si="8"/>
        <v>9.2277980504958963E-3</v>
      </c>
      <c r="CN13" s="33">
        <f t="shared" ca="1" si="8"/>
        <v>9.19761194150563E-3</v>
      </c>
      <c r="CO13" s="33">
        <f t="shared" ca="1" si="8"/>
        <v>1.1361115414951441E-2</v>
      </c>
      <c r="CP13" s="33">
        <f t="shared" ca="1" si="8"/>
        <v>1.210694384223286E-2</v>
      </c>
      <c r="CQ13" s="33">
        <f t="shared" ca="1" si="8"/>
        <v>1.1475709659047784E-2</v>
      </c>
      <c r="CR13" s="33">
        <f t="shared" ca="1" si="8"/>
        <v>1.2046118066060162E-2</v>
      </c>
      <c r="CS13" s="33">
        <f t="shared" ca="1" si="8"/>
        <v>1.0664996139850698E-2</v>
      </c>
      <c r="CT13" s="33">
        <f t="shared" ca="1" si="8"/>
        <v>1.1862250069361705E-2</v>
      </c>
      <c r="CU13" s="33">
        <f t="shared" ca="1" si="9"/>
        <v>1.013059433876658E-2</v>
      </c>
      <c r="CV13" s="33">
        <f t="shared" ca="1" si="9"/>
        <v>1.2365100659711971E-2</v>
      </c>
      <c r="CW13" s="33">
        <f t="shared" ca="1" si="9"/>
        <v>1.0228668614043764E-2</v>
      </c>
      <c r="CX13" s="33">
        <f t="shared" ca="1" si="9"/>
        <v>1.0927871023945801E-2</v>
      </c>
      <c r="CY13" s="33">
        <f t="shared" ca="1" si="9"/>
        <v>1.2645297253510081E-2</v>
      </c>
      <c r="CZ13" s="33">
        <f t="shared" ca="1" si="9"/>
        <v>1.1974007709195357E-2</v>
      </c>
      <c r="DA13" s="33">
        <f t="shared" ca="1" si="9"/>
        <v>9.5220806708117434E-3</v>
      </c>
      <c r="DB13" s="33">
        <f t="shared" ca="1" si="9"/>
        <v>1.2274975341026029E-2</v>
      </c>
      <c r="DC13" s="33">
        <f t="shared" ca="1" si="9"/>
        <v>1.1556933124863864E-2</v>
      </c>
      <c r="DD13" s="33">
        <f t="shared" ca="1" si="9"/>
        <v>1.2502632068348958E-2</v>
      </c>
      <c r="DE13" s="33">
        <f t="shared" ca="1" si="10"/>
        <v>1.1737517063337229E-2</v>
      </c>
      <c r="DF13" s="33">
        <f t="shared" ca="1" si="10"/>
        <v>1.201272349759127E-2</v>
      </c>
      <c r="DG13" s="33">
        <f t="shared" ca="1" si="10"/>
        <v>1.0156478064706596E-2</v>
      </c>
      <c r="DH13" s="33">
        <f t="shared" ca="1" si="10"/>
        <v>1.2308616023319409E-2</v>
      </c>
      <c r="DI13" s="33">
        <f t="shared" ca="1" si="10"/>
        <v>1.1667923746435604E-2</v>
      </c>
      <c r="DJ13" s="33">
        <f t="shared" ca="1" si="10"/>
        <v>1.2326231597287062E-2</v>
      </c>
      <c r="DK13" s="33">
        <f t="shared" ca="1" si="10"/>
        <v>1.2534349458347064E-2</v>
      </c>
      <c r="DL13" s="33">
        <f t="shared" ca="1" si="10"/>
        <v>1.1396157289955767E-2</v>
      </c>
      <c r="DM13" s="33">
        <f t="shared" ca="1" si="10"/>
        <v>7.1984059431062699E-3</v>
      </c>
      <c r="DN13" s="33">
        <f t="shared" ca="1" si="10"/>
        <v>9.9528817454717956E-3</v>
      </c>
      <c r="DO13" s="12"/>
      <c r="DP13" s="12"/>
      <c r="DQ13" s="12"/>
    </row>
    <row r="14" spans="1:121" x14ac:dyDescent="0.2">
      <c r="A14" s="62"/>
      <c r="B14" s="62"/>
      <c r="C14" s="62"/>
      <c r="D14" s="62"/>
      <c r="I14" s="32">
        <v>44835</v>
      </c>
      <c r="J14" s="33">
        <f t="shared" ca="1" si="0"/>
        <v>9.822984286923046E-3</v>
      </c>
      <c r="K14" s="9">
        <v>1875</v>
      </c>
      <c r="L14" s="9">
        <f t="shared" ca="1" si="11"/>
        <v>17701.939208487649</v>
      </c>
      <c r="N14" s="6">
        <v>10</v>
      </c>
      <c r="O14" s="5">
        <v>3.848698546799326</v>
      </c>
      <c r="P14" s="9">
        <v>679975.44689471659</v>
      </c>
      <c r="R14" s="32">
        <v>44835</v>
      </c>
      <c r="S14" s="33">
        <f t="shared" ca="1" si="1"/>
        <v>1.3693657239651762E-2</v>
      </c>
      <c r="T14" s="33">
        <f t="shared" ca="1" si="1"/>
        <v>1.0772163851005271E-2</v>
      </c>
      <c r="U14" s="33">
        <f t="shared" ca="1" si="1"/>
        <v>1.0165664401161805E-2</v>
      </c>
      <c r="V14" s="33">
        <f t="shared" ca="1" si="1"/>
        <v>1.0908395456719828E-2</v>
      </c>
      <c r="W14" s="33">
        <f t="shared" ca="1" si="1"/>
        <v>1.3493967371997715E-2</v>
      </c>
      <c r="X14" s="33">
        <f t="shared" ca="1" si="1"/>
        <v>1.1644843641647079E-2</v>
      </c>
      <c r="Y14" s="33">
        <f t="shared" ca="1" si="1"/>
        <v>1.1779896576240503E-2</v>
      </c>
      <c r="Z14" s="33">
        <f t="shared" ca="1" si="1"/>
        <v>1.3504829562880351E-2</v>
      </c>
      <c r="AA14" s="33">
        <f t="shared" ca="1" si="1"/>
        <v>1.19520261993184E-2</v>
      </c>
      <c r="AB14" s="33">
        <f t="shared" ca="1" si="1"/>
        <v>1.2713519766850576E-2</v>
      </c>
      <c r="AC14" s="33">
        <f t="shared" ca="1" si="2"/>
        <v>1.293489095179878E-2</v>
      </c>
      <c r="AD14" s="33">
        <f t="shared" ca="1" si="2"/>
        <v>1.1443187886293605E-2</v>
      </c>
      <c r="AE14" s="33">
        <f t="shared" ca="1" si="2"/>
        <v>1.1933459499233745E-2</v>
      </c>
      <c r="AF14" s="33">
        <f t="shared" ca="1" si="2"/>
        <v>9.3631399080855333E-3</v>
      </c>
      <c r="AG14" s="33">
        <f t="shared" ca="1" si="2"/>
        <v>8.6475219736265787E-3</v>
      </c>
      <c r="AH14" s="33">
        <f t="shared" ca="1" si="2"/>
        <v>1.0807367153227982E-2</v>
      </c>
      <c r="AI14" s="33">
        <f t="shared" ca="1" si="2"/>
        <v>1.1502316559553713E-2</v>
      </c>
      <c r="AJ14" s="33">
        <f t="shared" ca="1" si="2"/>
        <v>8.6075378075043864E-3</v>
      </c>
      <c r="AK14" s="33">
        <f t="shared" ca="1" si="2"/>
        <v>1.2261112273066777E-2</v>
      </c>
      <c r="AL14" s="33">
        <f t="shared" ca="1" si="2"/>
        <v>1.1539044643720279E-2</v>
      </c>
      <c r="AM14" s="33">
        <f t="shared" ca="1" si="3"/>
        <v>9.6639349874203632E-3</v>
      </c>
      <c r="AN14" s="33">
        <f t="shared" ca="1" si="3"/>
        <v>1.209533690797593E-2</v>
      </c>
      <c r="AO14" s="33">
        <f t="shared" ca="1" si="3"/>
        <v>1.3184362016918742E-2</v>
      </c>
      <c r="AP14" s="33">
        <f t="shared" ca="1" si="3"/>
        <v>1.0327027397896125E-2</v>
      </c>
      <c r="AQ14" s="33">
        <f t="shared" ca="1" si="3"/>
        <v>1.1210139963752282E-2</v>
      </c>
      <c r="AR14" s="33">
        <f t="shared" ca="1" si="3"/>
        <v>1.1854061584690696E-2</v>
      </c>
      <c r="AS14" s="33">
        <f t="shared" ca="1" si="3"/>
        <v>1.0760219216111535E-2</v>
      </c>
      <c r="AT14" s="33">
        <f t="shared" ca="1" si="3"/>
        <v>1.2256017088253744E-2</v>
      </c>
      <c r="AU14" s="33">
        <f t="shared" ca="1" si="3"/>
        <v>1.3183382950529392E-2</v>
      </c>
      <c r="AV14" s="33">
        <f t="shared" ca="1" si="3"/>
        <v>1.0413008073101537E-2</v>
      </c>
      <c r="AW14" s="33">
        <f t="shared" ca="1" si="4"/>
        <v>9.7174175558898384E-3</v>
      </c>
      <c r="AX14" s="33">
        <f t="shared" ca="1" si="4"/>
        <v>1.1648859701882288E-2</v>
      </c>
      <c r="AY14" s="33">
        <f t="shared" ca="1" si="4"/>
        <v>1.1006370453585752E-2</v>
      </c>
      <c r="AZ14" s="33">
        <f t="shared" ca="1" si="4"/>
        <v>1.2598455037457003E-2</v>
      </c>
      <c r="BA14" s="33">
        <f t="shared" ca="1" si="4"/>
        <v>1.3102058170765931E-2</v>
      </c>
      <c r="BB14" s="33">
        <f t="shared" ca="1" si="4"/>
        <v>9.9225812830556551E-3</v>
      </c>
      <c r="BC14" s="33">
        <f t="shared" ca="1" si="4"/>
        <v>1.332452481732541E-2</v>
      </c>
      <c r="BD14" s="33">
        <f t="shared" ca="1" si="4"/>
        <v>9.7871708398314609E-3</v>
      </c>
      <c r="BE14" s="33">
        <f t="shared" ca="1" si="4"/>
        <v>1.229815357885379E-2</v>
      </c>
      <c r="BF14" s="33">
        <f t="shared" ca="1" si="4"/>
        <v>1.1555941830445941E-2</v>
      </c>
      <c r="BG14" s="33">
        <f t="shared" ca="1" si="5"/>
        <v>1.3385353133196892E-2</v>
      </c>
      <c r="BH14" s="33">
        <f t="shared" ca="1" si="5"/>
        <v>1.2511768714722232E-2</v>
      </c>
      <c r="BI14" s="33">
        <f t="shared" ca="1" si="5"/>
        <v>8.9931866514624034E-3</v>
      </c>
      <c r="BJ14" s="33">
        <f t="shared" ca="1" si="5"/>
        <v>9.2617915487585491E-3</v>
      </c>
      <c r="BK14" s="33">
        <f t="shared" ca="1" si="5"/>
        <v>9.7466709945241911E-3</v>
      </c>
      <c r="BL14" s="33">
        <f t="shared" ca="1" si="5"/>
        <v>1.0773059254382392E-2</v>
      </c>
      <c r="BM14" s="33">
        <f t="shared" ca="1" si="5"/>
        <v>1.2771424147536299E-2</v>
      </c>
      <c r="BN14" s="33">
        <f t="shared" ca="1" si="5"/>
        <v>1.2700905456038799E-2</v>
      </c>
      <c r="BO14" s="33">
        <f t="shared" ca="1" si="5"/>
        <v>1.1176983950008242E-2</v>
      </c>
      <c r="BP14" s="33">
        <f t="shared" ca="1" si="5"/>
        <v>1.0217271518554246E-2</v>
      </c>
      <c r="BQ14" s="33">
        <f t="shared" ca="1" si="6"/>
        <v>1.3890930435131109E-2</v>
      </c>
      <c r="BR14" s="33">
        <f t="shared" ca="1" si="6"/>
        <v>1.1167811716529643E-2</v>
      </c>
      <c r="BS14" s="33">
        <f t="shared" ca="1" si="6"/>
        <v>1.1242730745264233E-2</v>
      </c>
      <c r="BT14" s="33">
        <f t="shared" ca="1" si="6"/>
        <v>1.2512268278373333E-2</v>
      </c>
      <c r="BU14" s="33">
        <f t="shared" ca="1" si="6"/>
        <v>9.2864656798333015E-3</v>
      </c>
      <c r="BV14" s="33">
        <f t="shared" ca="1" si="6"/>
        <v>9.5662381264035486E-3</v>
      </c>
      <c r="BW14" s="33">
        <f t="shared" ca="1" si="6"/>
        <v>1.4273693429164387E-2</v>
      </c>
      <c r="BX14" s="33">
        <f t="shared" ca="1" si="6"/>
        <v>1.2734102848102145E-2</v>
      </c>
      <c r="BY14" s="33">
        <f t="shared" ca="1" si="6"/>
        <v>1.0398308051532277E-2</v>
      </c>
      <c r="BZ14" s="33">
        <f t="shared" ca="1" si="6"/>
        <v>1.26112717786343E-2</v>
      </c>
      <c r="CA14" s="33">
        <f t="shared" ca="1" si="7"/>
        <v>1.1221449624960387E-2</v>
      </c>
      <c r="CB14" s="33">
        <f t="shared" ca="1" si="7"/>
        <v>1.3691568592216444E-2</v>
      </c>
      <c r="CC14" s="33">
        <f t="shared" ca="1" si="7"/>
        <v>1.130051882308499E-2</v>
      </c>
      <c r="CD14" s="33">
        <f t="shared" ca="1" si="7"/>
        <v>1.2444706857423457E-2</v>
      </c>
      <c r="CE14" s="33">
        <f t="shared" ca="1" si="7"/>
        <v>1.3449174513237648E-2</v>
      </c>
      <c r="CF14" s="33">
        <f t="shared" ca="1" si="7"/>
        <v>1.0758004982058204E-2</v>
      </c>
      <c r="CG14" s="33">
        <f t="shared" ca="1" si="7"/>
        <v>1.2012111458958481E-2</v>
      </c>
      <c r="CH14" s="33">
        <f t="shared" ca="1" si="7"/>
        <v>9.7700006851787844E-3</v>
      </c>
      <c r="CI14" s="33">
        <f t="shared" ca="1" si="7"/>
        <v>1.4409995253578077E-2</v>
      </c>
      <c r="CJ14" s="33">
        <f t="shared" ca="1" si="7"/>
        <v>1.1835776095979446E-2</v>
      </c>
      <c r="CK14" s="33">
        <f t="shared" ca="1" si="8"/>
        <v>9.7692147763644814E-3</v>
      </c>
      <c r="CL14" s="33">
        <f t="shared" ca="1" si="8"/>
        <v>9.3639812525884263E-3</v>
      </c>
      <c r="CM14" s="33">
        <f t="shared" ca="1" si="8"/>
        <v>9.2052037755676001E-3</v>
      </c>
      <c r="CN14" s="33">
        <f t="shared" ca="1" si="8"/>
        <v>1.2294151617169772E-2</v>
      </c>
      <c r="CO14" s="33">
        <f t="shared" ca="1" si="8"/>
        <v>1.1498939274650087E-2</v>
      </c>
      <c r="CP14" s="33">
        <f t="shared" ca="1" si="8"/>
        <v>1.2662387059075936E-2</v>
      </c>
      <c r="CQ14" s="33">
        <f t="shared" ca="1" si="8"/>
        <v>1.1709895965027878E-2</v>
      </c>
      <c r="CR14" s="33">
        <f t="shared" ca="1" si="8"/>
        <v>1.0693584758386767E-2</v>
      </c>
      <c r="CS14" s="33">
        <f t="shared" ca="1" si="8"/>
        <v>1.2569093491968782E-2</v>
      </c>
      <c r="CT14" s="33">
        <f t="shared" ca="1" si="8"/>
        <v>1.425363510573923E-2</v>
      </c>
      <c r="CU14" s="33">
        <f t="shared" ca="1" si="9"/>
        <v>1.0347045412739312E-2</v>
      </c>
      <c r="CV14" s="33">
        <f t="shared" ca="1" si="9"/>
        <v>9.7913326994865449E-3</v>
      </c>
      <c r="CW14" s="33">
        <f t="shared" ca="1" si="9"/>
        <v>1.0359925215159341E-2</v>
      </c>
      <c r="CX14" s="33">
        <f t="shared" ca="1" si="9"/>
        <v>1.1747242238133882E-2</v>
      </c>
      <c r="CY14" s="33">
        <f t="shared" ca="1" si="9"/>
        <v>1.0574439267681653E-2</v>
      </c>
      <c r="CZ14" s="33">
        <f t="shared" ca="1" si="9"/>
        <v>9.6262073227753389E-3</v>
      </c>
      <c r="DA14" s="33">
        <f t="shared" ca="1" si="9"/>
        <v>1.0617201327833233E-2</v>
      </c>
      <c r="DB14" s="33">
        <f t="shared" ca="1" si="9"/>
        <v>1.2133852061904347E-2</v>
      </c>
      <c r="DC14" s="33">
        <f t="shared" ca="1" si="9"/>
        <v>1.119265923169264E-2</v>
      </c>
      <c r="DD14" s="33">
        <f t="shared" ca="1" si="9"/>
        <v>1.2469443022162267E-2</v>
      </c>
      <c r="DE14" s="33">
        <f t="shared" ca="1" si="10"/>
        <v>1.1352302603474466E-2</v>
      </c>
      <c r="DF14" s="33">
        <f t="shared" ca="1" si="10"/>
        <v>1.1815652805434913E-2</v>
      </c>
      <c r="DG14" s="33">
        <f t="shared" ca="1" si="10"/>
        <v>1.1283188143374208E-2</v>
      </c>
      <c r="DH14" s="33">
        <f t="shared" ca="1" si="10"/>
        <v>9.0818405429987786E-3</v>
      </c>
      <c r="DI14" s="33">
        <f t="shared" ca="1" si="10"/>
        <v>1.163326553839682E-2</v>
      </c>
      <c r="DJ14" s="33">
        <f t="shared" ca="1" si="10"/>
        <v>1.4145983455266414E-2</v>
      </c>
      <c r="DK14" s="33">
        <f t="shared" ca="1" si="10"/>
        <v>1.1382302290441708E-2</v>
      </c>
      <c r="DL14" s="33">
        <f t="shared" ca="1" si="10"/>
        <v>1.3021108609153301E-2</v>
      </c>
      <c r="DM14" s="33">
        <f t="shared" ca="1" si="10"/>
        <v>1.1452433469595817E-2</v>
      </c>
      <c r="DN14" s="33">
        <f t="shared" ca="1" si="10"/>
        <v>8.2868765274135368E-3</v>
      </c>
      <c r="DO14" s="12"/>
      <c r="DP14" s="12"/>
      <c r="DQ14" s="12"/>
    </row>
    <row r="15" spans="1:121" x14ac:dyDescent="0.2">
      <c r="A15" s="62"/>
      <c r="B15" s="62"/>
      <c r="C15" s="62"/>
      <c r="D15" s="62"/>
      <c r="I15" s="32">
        <v>44866</v>
      </c>
      <c r="J15" s="33">
        <f t="shared" ca="1" si="0"/>
        <v>1.2034098383092507E-2</v>
      </c>
      <c r="K15" s="9">
        <v>1875</v>
      </c>
      <c r="L15" s="9">
        <f t="shared" ca="1" si="11"/>
        <v>19791.253036946404</v>
      </c>
      <c r="N15" s="6">
        <v>11</v>
      </c>
      <c r="O15" s="5">
        <v>3.9959771089834013</v>
      </c>
      <c r="P15" s="9">
        <v>693785.90206443705</v>
      </c>
      <c r="R15" s="32">
        <v>44866</v>
      </c>
      <c r="S15" s="33">
        <f t="shared" ref="S15:AB24" ca="1" si="12">_xlfn.NORM.INV(RAND(),$A$52,$B$45)</f>
        <v>9.2177187867361551E-3</v>
      </c>
      <c r="T15" s="33">
        <f t="shared" ca="1" si="12"/>
        <v>1.2894700352130107E-2</v>
      </c>
      <c r="U15" s="33">
        <f t="shared" ca="1" si="12"/>
        <v>1.1197332431560427E-2</v>
      </c>
      <c r="V15" s="33">
        <f t="shared" ca="1" si="12"/>
        <v>1.2992790653378168E-2</v>
      </c>
      <c r="W15" s="33">
        <f t="shared" ca="1" si="12"/>
        <v>1.1219685800215264E-2</v>
      </c>
      <c r="X15" s="33">
        <f t="shared" ca="1" si="12"/>
        <v>1.1780398489491988E-2</v>
      </c>
      <c r="Y15" s="33">
        <f t="shared" ca="1" si="12"/>
        <v>1.0968618069217723E-2</v>
      </c>
      <c r="Z15" s="33">
        <f t="shared" ca="1" si="12"/>
        <v>1.1419711981196708E-2</v>
      </c>
      <c r="AA15" s="33">
        <f t="shared" ca="1" si="12"/>
        <v>1.2064839517868155E-2</v>
      </c>
      <c r="AB15" s="33">
        <f t="shared" ca="1" si="12"/>
        <v>1.4295093793622865E-2</v>
      </c>
      <c r="AC15" s="33">
        <f t="shared" ref="AC15:AL24" ca="1" si="13">_xlfn.NORM.INV(RAND(),$A$52,$B$45)</f>
        <v>1.4634820064335693E-2</v>
      </c>
      <c r="AD15" s="33">
        <f t="shared" ca="1" si="13"/>
        <v>1.2263010740179757E-2</v>
      </c>
      <c r="AE15" s="33">
        <f t="shared" ca="1" si="13"/>
        <v>1.2134362185822976E-2</v>
      </c>
      <c r="AF15" s="33">
        <f t="shared" ca="1" si="13"/>
        <v>1.3631138048267613E-2</v>
      </c>
      <c r="AG15" s="33">
        <f t="shared" ca="1" si="13"/>
        <v>1.0434266165754035E-2</v>
      </c>
      <c r="AH15" s="33">
        <f t="shared" ca="1" si="13"/>
        <v>9.0961236290665569E-3</v>
      </c>
      <c r="AI15" s="33">
        <f t="shared" ca="1" si="13"/>
        <v>1.0149758629977025E-2</v>
      </c>
      <c r="AJ15" s="33">
        <f t="shared" ca="1" si="13"/>
        <v>1.3230483583089689E-2</v>
      </c>
      <c r="AK15" s="33">
        <f t="shared" ca="1" si="13"/>
        <v>1.4209637221816328E-2</v>
      </c>
      <c r="AL15" s="33">
        <f t="shared" ca="1" si="13"/>
        <v>1.1294103455464869E-2</v>
      </c>
      <c r="AM15" s="33">
        <f t="shared" ref="AM15:AV24" ca="1" si="14">_xlfn.NORM.INV(RAND(),$A$52,$B$45)</f>
        <v>8.0950674875316028E-3</v>
      </c>
      <c r="AN15" s="33">
        <f t="shared" ca="1" si="14"/>
        <v>1.0981094151109016E-2</v>
      </c>
      <c r="AO15" s="33">
        <f t="shared" ca="1" si="14"/>
        <v>1.1759011648814205E-2</v>
      </c>
      <c r="AP15" s="33">
        <f t="shared" ca="1" si="14"/>
        <v>1.0008797942809813E-2</v>
      </c>
      <c r="AQ15" s="33">
        <f t="shared" ca="1" si="14"/>
        <v>9.277646270894278E-3</v>
      </c>
      <c r="AR15" s="33">
        <f t="shared" ca="1" si="14"/>
        <v>1.0481712667138206E-2</v>
      </c>
      <c r="AS15" s="33">
        <f t="shared" ca="1" si="14"/>
        <v>1.4084276225371617E-2</v>
      </c>
      <c r="AT15" s="33">
        <f t="shared" ca="1" si="14"/>
        <v>9.621494766398132E-3</v>
      </c>
      <c r="AU15" s="33">
        <f t="shared" ca="1" si="14"/>
        <v>1.5031743671489965E-2</v>
      </c>
      <c r="AV15" s="33">
        <f t="shared" ca="1" si="14"/>
        <v>1.1059086248300726E-2</v>
      </c>
      <c r="AW15" s="33">
        <f t="shared" ref="AW15:BF24" ca="1" si="15">_xlfn.NORM.INV(RAND(),$A$52,$B$45)</f>
        <v>1.0850229827533694E-2</v>
      </c>
      <c r="AX15" s="33">
        <f t="shared" ca="1" si="15"/>
        <v>1.1388431176269085E-2</v>
      </c>
      <c r="AY15" s="33">
        <f t="shared" ca="1" si="15"/>
        <v>1.1515538657842142E-2</v>
      </c>
      <c r="AZ15" s="33">
        <f t="shared" ca="1" si="15"/>
        <v>1.1096282772861892E-2</v>
      </c>
      <c r="BA15" s="33">
        <f t="shared" ca="1" si="15"/>
        <v>1.4682101199766632E-2</v>
      </c>
      <c r="BB15" s="33">
        <f t="shared" ca="1" si="15"/>
        <v>1.2393371900830246E-2</v>
      </c>
      <c r="BC15" s="33">
        <f t="shared" ca="1" si="15"/>
        <v>1.2366648305019799E-2</v>
      </c>
      <c r="BD15" s="33">
        <f t="shared" ca="1" si="15"/>
        <v>1.2067242498735737E-2</v>
      </c>
      <c r="BE15" s="33">
        <f t="shared" ca="1" si="15"/>
        <v>1.3571774879906387E-2</v>
      </c>
      <c r="BF15" s="33">
        <f t="shared" ca="1" si="15"/>
        <v>1.588387357922973E-2</v>
      </c>
      <c r="BG15" s="33">
        <f t="shared" ref="BG15:BP24" ca="1" si="16">_xlfn.NORM.INV(RAND(),$A$52,$B$45)</f>
        <v>9.8480553307376296E-3</v>
      </c>
      <c r="BH15" s="33">
        <f t="shared" ca="1" si="16"/>
        <v>9.8865178105706879E-3</v>
      </c>
      <c r="BI15" s="33">
        <f t="shared" ca="1" si="16"/>
        <v>1.4887709940918053E-2</v>
      </c>
      <c r="BJ15" s="33">
        <f t="shared" ca="1" si="16"/>
        <v>1.3018481702777919E-2</v>
      </c>
      <c r="BK15" s="33">
        <f t="shared" ca="1" si="16"/>
        <v>1.2058324018118245E-2</v>
      </c>
      <c r="BL15" s="33">
        <f t="shared" ca="1" si="16"/>
        <v>9.6050205407489757E-3</v>
      </c>
      <c r="BM15" s="33">
        <f t="shared" ca="1" si="16"/>
        <v>1.1164824522967205E-2</v>
      </c>
      <c r="BN15" s="33">
        <f t="shared" ca="1" si="16"/>
        <v>1.2441919934579772E-2</v>
      </c>
      <c r="BO15" s="33">
        <f t="shared" ca="1" si="16"/>
        <v>1.2480131655805983E-2</v>
      </c>
      <c r="BP15" s="33">
        <f t="shared" ca="1" si="16"/>
        <v>9.6971786486481273E-3</v>
      </c>
      <c r="BQ15" s="33">
        <f t="shared" ref="BQ15:BZ24" ca="1" si="17">_xlfn.NORM.INV(RAND(),$A$52,$B$45)</f>
        <v>1.0921405997543253E-2</v>
      </c>
      <c r="BR15" s="33">
        <f t="shared" ca="1" si="17"/>
        <v>1.1953201863801258E-2</v>
      </c>
      <c r="BS15" s="33">
        <f t="shared" ca="1" si="17"/>
        <v>9.7023697681864838E-3</v>
      </c>
      <c r="BT15" s="33">
        <f t="shared" ca="1" si="17"/>
        <v>1.3768115014637369E-2</v>
      </c>
      <c r="BU15" s="33">
        <f t="shared" ca="1" si="17"/>
        <v>1.0095204881882511E-2</v>
      </c>
      <c r="BV15" s="33">
        <f t="shared" ca="1" si="17"/>
        <v>1.2981991707842063E-2</v>
      </c>
      <c r="BW15" s="33">
        <f t="shared" ca="1" si="17"/>
        <v>1.241581968589963E-2</v>
      </c>
      <c r="BX15" s="33">
        <f t="shared" ca="1" si="17"/>
        <v>1.1571109756757767E-2</v>
      </c>
      <c r="BY15" s="33">
        <f t="shared" ca="1" si="17"/>
        <v>1.1811474829606655E-2</v>
      </c>
      <c r="BZ15" s="33">
        <f t="shared" ca="1" si="17"/>
        <v>1.1815603162925185E-2</v>
      </c>
      <c r="CA15" s="33">
        <f t="shared" ref="CA15:CJ24" ca="1" si="18">_xlfn.NORM.INV(RAND(),$A$52,$B$45)</f>
        <v>1.0738163741073059E-2</v>
      </c>
      <c r="CB15" s="33">
        <f t="shared" ca="1" si="18"/>
        <v>1.2594358840747125E-2</v>
      </c>
      <c r="CC15" s="33">
        <f t="shared" ca="1" si="18"/>
        <v>1.0925615400965575E-2</v>
      </c>
      <c r="CD15" s="33">
        <f t="shared" ca="1" si="18"/>
        <v>1.0333010501582316E-2</v>
      </c>
      <c r="CE15" s="33">
        <f t="shared" ca="1" si="18"/>
        <v>1.1064769575006692E-2</v>
      </c>
      <c r="CF15" s="33">
        <f t="shared" ca="1" si="18"/>
        <v>1.1192417752714035E-2</v>
      </c>
      <c r="CG15" s="33">
        <f t="shared" ca="1" si="18"/>
        <v>9.8067624590492553E-3</v>
      </c>
      <c r="CH15" s="33">
        <f t="shared" ca="1" si="18"/>
        <v>1.2137075139757583E-2</v>
      </c>
      <c r="CI15" s="33">
        <f t="shared" ca="1" si="18"/>
        <v>1.397796460365351E-2</v>
      </c>
      <c r="CJ15" s="33">
        <f t="shared" ca="1" si="18"/>
        <v>1.2671636013510401E-2</v>
      </c>
      <c r="CK15" s="33">
        <f t="shared" ref="CK15:CT24" ca="1" si="19">_xlfn.NORM.INV(RAND(),$A$52,$B$45)</f>
        <v>1.1238641326280465E-2</v>
      </c>
      <c r="CL15" s="33">
        <f t="shared" ca="1" si="19"/>
        <v>1.0965443715597427E-2</v>
      </c>
      <c r="CM15" s="33">
        <f t="shared" ca="1" si="19"/>
        <v>1.1066208193769324E-2</v>
      </c>
      <c r="CN15" s="33">
        <f t="shared" ca="1" si="19"/>
        <v>1.1497485276418098E-2</v>
      </c>
      <c r="CO15" s="33">
        <f t="shared" ca="1" si="19"/>
        <v>1.1927737643547988E-2</v>
      </c>
      <c r="CP15" s="33">
        <f t="shared" ca="1" si="19"/>
        <v>1.1214732523583511E-2</v>
      </c>
      <c r="CQ15" s="33">
        <f t="shared" ca="1" si="19"/>
        <v>1.42598117882731E-2</v>
      </c>
      <c r="CR15" s="33">
        <f t="shared" ca="1" si="19"/>
        <v>1.2325923492442159E-2</v>
      </c>
      <c r="CS15" s="33">
        <f t="shared" ca="1" si="19"/>
        <v>1.2515886057396316E-2</v>
      </c>
      <c r="CT15" s="33">
        <f t="shared" ca="1" si="19"/>
        <v>1.3661998700926272E-2</v>
      </c>
      <c r="CU15" s="33">
        <f t="shared" ref="CU15:DD24" ca="1" si="20">_xlfn.NORM.INV(RAND(),$A$52,$B$45)</f>
        <v>1.1249487843309586E-2</v>
      </c>
      <c r="CV15" s="33">
        <f t="shared" ca="1" si="20"/>
        <v>1.249477307161128E-2</v>
      </c>
      <c r="CW15" s="33">
        <f t="shared" ca="1" si="20"/>
        <v>1.2162054166345455E-2</v>
      </c>
      <c r="CX15" s="33">
        <f t="shared" ca="1" si="20"/>
        <v>1.1538943909574653E-2</v>
      </c>
      <c r="CY15" s="33">
        <f t="shared" ca="1" si="20"/>
        <v>1.3179065268398675E-2</v>
      </c>
      <c r="CZ15" s="33">
        <f t="shared" ca="1" si="20"/>
        <v>1.0504290186332218E-2</v>
      </c>
      <c r="DA15" s="33">
        <f t="shared" ca="1" si="20"/>
        <v>1.0508565344355503E-2</v>
      </c>
      <c r="DB15" s="33">
        <f t="shared" ca="1" si="20"/>
        <v>1.2025252702225996E-2</v>
      </c>
      <c r="DC15" s="33">
        <f t="shared" ca="1" si="20"/>
        <v>1.0857144103251115E-2</v>
      </c>
      <c r="DD15" s="33">
        <f t="shared" ca="1" si="20"/>
        <v>1.1966367499254112E-2</v>
      </c>
      <c r="DE15" s="33">
        <f t="shared" ref="DE15:DN24" ca="1" si="21">_xlfn.NORM.INV(RAND(),$A$52,$B$45)</f>
        <v>1.5126864021168304E-2</v>
      </c>
      <c r="DF15" s="33">
        <f t="shared" ca="1" si="21"/>
        <v>1.1195395489788902E-2</v>
      </c>
      <c r="DG15" s="33">
        <f t="shared" ca="1" si="21"/>
        <v>1.2955175374381778E-2</v>
      </c>
      <c r="DH15" s="33">
        <f t="shared" ca="1" si="21"/>
        <v>1.2707466668463275E-2</v>
      </c>
      <c r="DI15" s="33">
        <f t="shared" ca="1" si="21"/>
        <v>1.049956419648861E-2</v>
      </c>
      <c r="DJ15" s="33">
        <f t="shared" ca="1" si="21"/>
        <v>1.0488251849890658E-2</v>
      </c>
      <c r="DK15" s="33">
        <f t="shared" ca="1" si="21"/>
        <v>1.1185290410003323E-2</v>
      </c>
      <c r="DL15" s="33">
        <f t="shared" ca="1" si="21"/>
        <v>9.8869474537677735E-3</v>
      </c>
      <c r="DM15" s="33">
        <f t="shared" ca="1" si="21"/>
        <v>1.0344003919622494E-2</v>
      </c>
      <c r="DN15" s="33">
        <f t="shared" ca="1" si="21"/>
        <v>1.1582086072050529E-2</v>
      </c>
      <c r="DO15" s="12"/>
      <c r="DP15" s="12"/>
      <c r="DQ15" s="12"/>
    </row>
    <row r="16" spans="1:121" x14ac:dyDescent="0.2">
      <c r="A16" s="62"/>
      <c r="B16" s="62"/>
      <c r="C16" s="62"/>
      <c r="D16" s="62"/>
      <c r="I16" s="32">
        <v>44896</v>
      </c>
      <c r="J16" s="33">
        <f t="shared" ca="1" si="0"/>
        <v>9.9832232469122522E-3</v>
      </c>
      <c r="K16" s="9">
        <v>1875</v>
      </c>
      <c r="L16" s="9">
        <f t="shared" ca="1" si="11"/>
        <v>21864.82306963368</v>
      </c>
      <c r="N16" s="6">
        <v>12</v>
      </c>
      <c r="O16" s="5">
        <v>3.8691142240342047</v>
      </c>
      <c r="P16" s="9">
        <v>675237.26739362732</v>
      </c>
      <c r="R16" s="32">
        <v>44896</v>
      </c>
      <c r="S16" s="33">
        <f t="shared" ca="1" si="12"/>
        <v>7.8567213308234126E-3</v>
      </c>
      <c r="T16" s="33">
        <f t="shared" ca="1" si="12"/>
        <v>1.1767820988252029E-2</v>
      </c>
      <c r="U16" s="33">
        <f t="shared" ca="1" si="12"/>
        <v>1.1905018160746036E-2</v>
      </c>
      <c r="V16" s="33">
        <f t="shared" ca="1" si="12"/>
        <v>1.3828186094848462E-2</v>
      </c>
      <c r="W16" s="33">
        <f t="shared" ca="1" si="12"/>
        <v>1.2244284921511727E-2</v>
      </c>
      <c r="X16" s="33">
        <f t="shared" ca="1" si="12"/>
        <v>1.36987399353901E-2</v>
      </c>
      <c r="Y16" s="33">
        <f t="shared" ca="1" si="12"/>
        <v>1.1595184002731594E-2</v>
      </c>
      <c r="Z16" s="33">
        <f t="shared" ca="1" si="12"/>
        <v>1.1771544440969615E-2</v>
      </c>
      <c r="AA16" s="33">
        <f t="shared" ca="1" si="12"/>
        <v>1.3319341097300015E-2</v>
      </c>
      <c r="AB16" s="33">
        <f t="shared" ca="1" si="12"/>
        <v>1.1413632309339297E-2</v>
      </c>
      <c r="AC16" s="33">
        <f t="shared" ca="1" si="13"/>
        <v>1.1041166390035009E-2</v>
      </c>
      <c r="AD16" s="33">
        <f t="shared" ca="1" si="13"/>
        <v>1.2000529437961574E-2</v>
      </c>
      <c r="AE16" s="33">
        <f t="shared" ca="1" si="13"/>
        <v>1.1367676722195871E-2</v>
      </c>
      <c r="AF16" s="33">
        <f t="shared" ca="1" si="13"/>
        <v>1.2779157288469609E-2</v>
      </c>
      <c r="AG16" s="33">
        <f t="shared" ca="1" si="13"/>
        <v>1.1918754947748106E-2</v>
      </c>
      <c r="AH16" s="33">
        <f t="shared" ca="1" si="13"/>
        <v>1.2389834712406126E-2</v>
      </c>
      <c r="AI16" s="33">
        <f t="shared" ca="1" si="13"/>
        <v>1.164159647351568E-2</v>
      </c>
      <c r="AJ16" s="33">
        <f t="shared" ca="1" si="13"/>
        <v>1.0897949049107517E-2</v>
      </c>
      <c r="AK16" s="33">
        <f t="shared" ca="1" si="13"/>
        <v>9.3807815068782871E-3</v>
      </c>
      <c r="AL16" s="33">
        <f t="shared" ca="1" si="13"/>
        <v>1.0190927576021627E-2</v>
      </c>
      <c r="AM16" s="33">
        <f t="shared" ca="1" si="14"/>
        <v>1.18876355651479E-2</v>
      </c>
      <c r="AN16" s="33">
        <f t="shared" ca="1" si="14"/>
        <v>1.130941668384902E-2</v>
      </c>
      <c r="AO16" s="33">
        <f t="shared" ca="1" si="14"/>
        <v>1.227872210099621E-2</v>
      </c>
      <c r="AP16" s="33">
        <f t="shared" ca="1" si="14"/>
        <v>1.2591794634611918E-2</v>
      </c>
      <c r="AQ16" s="33">
        <f t="shared" ca="1" si="14"/>
        <v>9.8354840528256209E-3</v>
      </c>
      <c r="AR16" s="33">
        <f t="shared" ca="1" si="14"/>
        <v>1.136611573224207E-2</v>
      </c>
      <c r="AS16" s="33">
        <f t="shared" ca="1" si="14"/>
        <v>1.1907196420339333E-2</v>
      </c>
      <c r="AT16" s="33">
        <f t="shared" ca="1" si="14"/>
        <v>1.2032061817541078E-2</v>
      </c>
      <c r="AU16" s="33">
        <f t="shared" ca="1" si="14"/>
        <v>1.1564965501483443E-2</v>
      </c>
      <c r="AV16" s="33">
        <f t="shared" ca="1" si="14"/>
        <v>8.8250948012931554E-3</v>
      </c>
      <c r="AW16" s="33">
        <f t="shared" ca="1" si="15"/>
        <v>1.0390667236811561E-2</v>
      </c>
      <c r="AX16" s="33">
        <f t="shared" ca="1" si="15"/>
        <v>1.1431750584468124E-2</v>
      </c>
      <c r="AY16" s="33">
        <f t="shared" ca="1" si="15"/>
        <v>8.9526807783364831E-3</v>
      </c>
      <c r="AZ16" s="33">
        <f t="shared" ca="1" si="15"/>
        <v>1.3493186439137803E-2</v>
      </c>
      <c r="BA16" s="33">
        <f t="shared" ca="1" si="15"/>
        <v>1.0485234898353684E-2</v>
      </c>
      <c r="BB16" s="33">
        <f t="shared" ca="1" si="15"/>
        <v>9.9430617061043516E-3</v>
      </c>
      <c r="BC16" s="33">
        <f t="shared" ca="1" si="15"/>
        <v>1.118365218262338E-2</v>
      </c>
      <c r="BD16" s="33">
        <f t="shared" ca="1" si="15"/>
        <v>1.0924006514001643E-2</v>
      </c>
      <c r="BE16" s="33">
        <f t="shared" ca="1" si="15"/>
        <v>1.1393344347786102E-2</v>
      </c>
      <c r="BF16" s="33">
        <f t="shared" ca="1" si="15"/>
        <v>1.1940814631814574E-2</v>
      </c>
      <c r="BG16" s="33">
        <f t="shared" ca="1" si="16"/>
        <v>1.4038981124566485E-2</v>
      </c>
      <c r="BH16" s="33">
        <f t="shared" ca="1" si="16"/>
        <v>1.3211630077769985E-2</v>
      </c>
      <c r="BI16" s="33">
        <f t="shared" ca="1" si="16"/>
        <v>1.2332519618968111E-2</v>
      </c>
      <c r="BJ16" s="33">
        <f t="shared" ca="1" si="16"/>
        <v>1.1068466824416435E-2</v>
      </c>
      <c r="BK16" s="33">
        <f t="shared" ca="1" si="16"/>
        <v>1.2439039784254403E-2</v>
      </c>
      <c r="BL16" s="33">
        <f t="shared" ca="1" si="16"/>
        <v>1.0775192792773947E-2</v>
      </c>
      <c r="BM16" s="33">
        <f t="shared" ca="1" si="16"/>
        <v>8.8263850564029231E-3</v>
      </c>
      <c r="BN16" s="33">
        <f t="shared" ca="1" si="16"/>
        <v>8.6724988771865567E-3</v>
      </c>
      <c r="BO16" s="33">
        <f t="shared" ca="1" si="16"/>
        <v>1.1179410019434758E-2</v>
      </c>
      <c r="BP16" s="33">
        <f t="shared" ca="1" si="16"/>
        <v>1.4035693829079566E-2</v>
      </c>
      <c r="BQ16" s="33">
        <f t="shared" ca="1" si="17"/>
        <v>1.1808292179189972E-2</v>
      </c>
      <c r="BR16" s="33">
        <f t="shared" ca="1" si="17"/>
        <v>1.0747012931576058E-2</v>
      </c>
      <c r="BS16" s="33">
        <f t="shared" ca="1" si="17"/>
        <v>1.1301838960465988E-2</v>
      </c>
      <c r="BT16" s="33">
        <f t="shared" ca="1" si="17"/>
        <v>1.0810618180935117E-2</v>
      </c>
      <c r="BU16" s="33">
        <f t="shared" ca="1" si="17"/>
        <v>1.2290733398245208E-2</v>
      </c>
      <c r="BV16" s="33">
        <f t="shared" ca="1" si="17"/>
        <v>1.541687625183898E-2</v>
      </c>
      <c r="BW16" s="33">
        <f t="shared" ca="1" si="17"/>
        <v>9.2413953384715662E-3</v>
      </c>
      <c r="BX16" s="33">
        <f t="shared" ca="1" si="17"/>
        <v>1.1860474449428922E-2</v>
      </c>
      <c r="BY16" s="33">
        <f t="shared" ca="1" si="17"/>
        <v>1.0776777637421912E-2</v>
      </c>
      <c r="BZ16" s="33">
        <f t="shared" ca="1" si="17"/>
        <v>1.0765452164492229E-2</v>
      </c>
      <c r="CA16" s="33">
        <f t="shared" ca="1" si="18"/>
        <v>1.0951991573654441E-2</v>
      </c>
      <c r="CB16" s="33">
        <f t="shared" ca="1" si="18"/>
        <v>1.2710826108124804E-2</v>
      </c>
      <c r="CC16" s="33">
        <f t="shared" ca="1" si="18"/>
        <v>1.0731724669403246E-2</v>
      </c>
      <c r="CD16" s="33">
        <f t="shared" ca="1" si="18"/>
        <v>1.2284235238402091E-2</v>
      </c>
      <c r="CE16" s="33">
        <f t="shared" ca="1" si="18"/>
        <v>1.0346504139051114E-2</v>
      </c>
      <c r="CF16" s="33">
        <f t="shared" ca="1" si="18"/>
        <v>9.3656763626894166E-3</v>
      </c>
      <c r="CG16" s="33">
        <f t="shared" ca="1" si="18"/>
        <v>8.972670380916193E-3</v>
      </c>
      <c r="CH16" s="33">
        <f t="shared" ca="1" si="18"/>
        <v>1.0260618706358353E-2</v>
      </c>
      <c r="CI16" s="33">
        <f t="shared" ca="1" si="18"/>
        <v>1.1839403440252517E-2</v>
      </c>
      <c r="CJ16" s="33">
        <f t="shared" ca="1" si="18"/>
        <v>1.4130959772985124E-2</v>
      </c>
      <c r="CK16" s="33">
        <f t="shared" ca="1" si="19"/>
        <v>1.2769942991395814E-2</v>
      </c>
      <c r="CL16" s="33">
        <f t="shared" ca="1" si="19"/>
        <v>1.0950317082267047E-2</v>
      </c>
      <c r="CM16" s="33">
        <f t="shared" ca="1" si="19"/>
        <v>1.1034420221251401E-2</v>
      </c>
      <c r="CN16" s="33">
        <f t="shared" ca="1" si="19"/>
        <v>1.4491604111216808E-2</v>
      </c>
      <c r="CO16" s="33">
        <f t="shared" ca="1" si="19"/>
        <v>1.3239123317265643E-2</v>
      </c>
      <c r="CP16" s="33">
        <f t="shared" ca="1" si="19"/>
        <v>1.0151215737899968E-2</v>
      </c>
      <c r="CQ16" s="33">
        <f t="shared" ca="1" si="19"/>
        <v>9.6624834030161998E-3</v>
      </c>
      <c r="CR16" s="33">
        <f t="shared" ca="1" si="19"/>
        <v>1.2388242836195409E-2</v>
      </c>
      <c r="CS16" s="33">
        <f t="shared" ca="1" si="19"/>
        <v>1.0296880520766119E-2</v>
      </c>
      <c r="CT16" s="33">
        <f t="shared" ca="1" si="19"/>
        <v>1.0664001813150218E-2</v>
      </c>
      <c r="CU16" s="33">
        <f t="shared" ca="1" si="20"/>
        <v>1.1484619297828066E-2</v>
      </c>
      <c r="CV16" s="33">
        <f t="shared" ca="1" si="20"/>
        <v>1.3805019602090272E-2</v>
      </c>
      <c r="CW16" s="33">
        <f t="shared" ca="1" si="20"/>
        <v>1.1084985449602272E-2</v>
      </c>
      <c r="CX16" s="33">
        <f t="shared" ca="1" si="20"/>
        <v>1.1470536682571851E-2</v>
      </c>
      <c r="CY16" s="33">
        <f t="shared" ca="1" si="20"/>
        <v>1.3255445956284726E-2</v>
      </c>
      <c r="CZ16" s="33">
        <f t="shared" ca="1" si="20"/>
        <v>1.2217564499610813E-2</v>
      </c>
      <c r="DA16" s="33">
        <f t="shared" ca="1" si="20"/>
        <v>9.2170660241827473E-3</v>
      </c>
      <c r="DB16" s="33">
        <f t="shared" ca="1" si="20"/>
        <v>1.2775115247412131E-2</v>
      </c>
      <c r="DC16" s="33">
        <f t="shared" ca="1" si="20"/>
        <v>9.9342696371548765E-3</v>
      </c>
      <c r="DD16" s="33">
        <f t="shared" ca="1" si="20"/>
        <v>1.1464597721185927E-2</v>
      </c>
      <c r="DE16" s="33">
        <f t="shared" ca="1" si="21"/>
        <v>1.0978200835700863E-2</v>
      </c>
      <c r="DF16" s="33">
        <f t="shared" ca="1" si="21"/>
        <v>1.0046419530193491E-2</v>
      </c>
      <c r="DG16" s="33">
        <f t="shared" ca="1" si="21"/>
        <v>1.509226358368923E-2</v>
      </c>
      <c r="DH16" s="33">
        <f t="shared" ca="1" si="21"/>
        <v>1.1250957649570431E-2</v>
      </c>
      <c r="DI16" s="33">
        <f t="shared" ca="1" si="21"/>
        <v>1.2001633107138785E-2</v>
      </c>
      <c r="DJ16" s="33">
        <f t="shared" ca="1" si="21"/>
        <v>1.1605246149516543E-2</v>
      </c>
      <c r="DK16" s="33">
        <f t="shared" ca="1" si="21"/>
        <v>1.1125251490277424E-2</v>
      </c>
      <c r="DL16" s="33">
        <f t="shared" ca="1" si="21"/>
        <v>1.1992460247983791E-2</v>
      </c>
      <c r="DM16" s="33">
        <f t="shared" ca="1" si="21"/>
        <v>1.0125226964533548E-2</v>
      </c>
      <c r="DN16" s="33">
        <f t="shared" ca="1" si="21"/>
        <v>1.0094793235987847E-2</v>
      </c>
      <c r="DO16" s="12"/>
      <c r="DP16" s="12"/>
      <c r="DQ16" s="12"/>
    </row>
    <row r="17" spans="1:121" x14ac:dyDescent="0.2">
      <c r="A17" s="62"/>
      <c r="B17" s="62"/>
      <c r="C17" s="62"/>
      <c r="D17" s="62"/>
      <c r="I17" s="32">
        <v>44927</v>
      </c>
      <c r="J17" s="33">
        <f t="shared" ca="1" si="0"/>
        <v>1.2261440232224665E-2</v>
      </c>
      <c r="K17" s="9">
        <v>1875</v>
      </c>
      <c r="L17" s="9">
        <f t="shared" ca="1" si="11"/>
        <v>24009.567639845987</v>
      </c>
      <c r="N17" s="6">
        <v>13</v>
      </c>
      <c r="O17" s="5">
        <v>3.9761634181000387</v>
      </c>
      <c r="P17" s="9">
        <v>681193.83361647418</v>
      </c>
      <c r="R17" s="32">
        <v>44927</v>
      </c>
      <c r="S17" s="33">
        <f t="shared" ca="1" si="12"/>
        <v>1.2290623137399514E-2</v>
      </c>
      <c r="T17" s="33">
        <f t="shared" ca="1" si="12"/>
        <v>1.2541887765946948E-2</v>
      </c>
      <c r="U17" s="33">
        <f t="shared" ca="1" si="12"/>
        <v>1.3873830009320708E-2</v>
      </c>
      <c r="V17" s="33">
        <f t="shared" ca="1" si="12"/>
        <v>9.6636318251149336E-3</v>
      </c>
      <c r="W17" s="33">
        <f t="shared" ca="1" si="12"/>
        <v>9.3683845719304965E-3</v>
      </c>
      <c r="X17" s="33">
        <f t="shared" ca="1" si="12"/>
        <v>9.6787840208281944E-3</v>
      </c>
      <c r="Y17" s="33">
        <f t="shared" ca="1" si="12"/>
        <v>1.1718873196150137E-2</v>
      </c>
      <c r="Z17" s="33">
        <f t="shared" ca="1" si="12"/>
        <v>1.2148560338753936E-2</v>
      </c>
      <c r="AA17" s="33">
        <f t="shared" ca="1" si="12"/>
        <v>1.2876012546958514E-2</v>
      </c>
      <c r="AB17" s="33">
        <f t="shared" ca="1" si="12"/>
        <v>1.2423179807841717E-2</v>
      </c>
      <c r="AC17" s="33">
        <f t="shared" ca="1" si="13"/>
        <v>1.1527122783820062E-2</v>
      </c>
      <c r="AD17" s="33">
        <f t="shared" ca="1" si="13"/>
        <v>1.1880209788427708E-2</v>
      </c>
      <c r="AE17" s="33">
        <f t="shared" ca="1" si="13"/>
        <v>1.5062012104722428E-2</v>
      </c>
      <c r="AF17" s="33">
        <f t="shared" ca="1" si="13"/>
        <v>1.1542177900943746E-2</v>
      </c>
      <c r="AG17" s="33">
        <f t="shared" ca="1" si="13"/>
        <v>1.2755682602248953E-2</v>
      </c>
      <c r="AH17" s="33">
        <f t="shared" ca="1" si="13"/>
        <v>1.0246605660273191E-2</v>
      </c>
      <c r="AI17" s="33">
        <f t="shared" ca="1" si="13"/>
        <v>1.2284421616030737E-2</v>
      </c>
      <c r="AJ17" s="33">
        <f t="shared" ca="1" si="13"/>
        <v>9.5422159931231806E-3</v>
      </c>
      <c r="AK17" s="33">
        <f t="shared" ca="1" si="13"/>
        <v>1.1943576919254959E-2</v>
      </c>
      <c r="AL17" s="33">
        <f t="shared" ca="1" si="13"/>
        <v>1.2224316930529708E-2</v>
      </c>
      <c r="AM17" s="33">
        <f t="shared" ca="1" si="14"/>
        <v>1.0089333380703657E-2</v>
      </c>
      <c r="AN17" s="33">
        <f t="shared" ca="1" si="14"/>
        <v>1.1978049153357651E-2</v>
      </c>
      <c r="AO17" s="33">
        <f t="shared" ca="1" si="14"/>
        <v>1.159452834172906E-2</v>
      </c>
      <c r="AP17" s="33">
        <f t="shared" ca="1" si="14"/>
        <v>1.260140179251675E-2</v>
      </c>
      <c r="AQ17" s="33">
        <f t="shared" ca="1" si="14"/>
        <v>1.1720265817455357E-2</v>
      </c>
      <c r="AR17" s="33">
        <f t="shared" ca="1" si="14"/>
        <v>9.7059344774809535E-3</v>
      </c>
      <c r="AS17" s="33">
        <f t="shared" ca="1" si="14"/>
        <v>1.0285246303943542E-2</v>
      </c>
      <c r="AT17" s="33">
        <f t="shared" ca="1" si="14"/>
        <v>1.2116372298791157E-2</v>
      </c>
      <c r="AU17" s="33">
        <f t="shared" ca="1" si="14"/>
        <v>9.5053750806756605E-3</v>
      </c>
      <c r="AV17" s="33">
        <f t="shared" ca="1" si="14"/>
        <v>9.9738662479197972E-3</v>
      </c>
      <c r="AW17" s="33">
        <f t="shared" ca="1" si="15"/>
        <v>1.1906493082208806E-2</v>
      </c>
      <c r="AX17" s="33">
        <f t="shared" ca="1" si="15"/>
        <v>1.2021964740605471E-2</v>
      </c>
      <c r="AY17" s="33">
        <f t="shared" ca="1" si="15"/>
        <v>1.0407245465932543E-2</v>
      </c>
      <c r="AZ17" s="33">
        <f t="shared" ca="1" si="15"/>
        <v>1.4874476690868131E-2</v>
      </c>
      <c r="BA17" s="33">
        <f t="shared" ca="1" si="15"/>
        <v>1.1004667119455622E-2</v>
      </c>
      <c r="BB17" s="33">
        <f t="shared" ca="1" si="15"/>
        <v>1.1297546874143263E-2</v>
      </c>
      <c r="BC17" s="33">
        <f t="shared" ca="1" si="15"/>
        <v>1.0602777839297393E-2</v>
      </c>
      <c r="BD17" s="33">
        <f t="shared" ca="1" si="15"/>
        <v>1.0786903203131444E-2</v>
      </c>
      <c r="BE17" s="33">
        <f t="shared" ca="1" si="15"/>
        <v>9.9428768559295527E-3</v>
      </c>
      <c r="BF17" s="33">
        <f t="shared" ca="1" si="15"/>
        <v>1.2466497297066399E-2</v>
      </c>
      <c r="BG17" s="33">
        <f t="shared" ca="1" si="16"/>
        <v>1.1437963712732179E-2</v>
      </c>
      <c r="BH17" s="33">
        <f t="shared" ca="1" si="16"/>
        <v>1.0497251154577466E-2</v>
      </c>
      <c r="BI17" s="33">
        <f t="shared" ca="1" si="16"/>
        <v>1.291304037573408E-2</v>
      </c>
      <c r="BJ17" s="33">
        <f t="shared" ca="1" si="16"/>
        <v>1.0376218505780318E-2</v>
      </c>
      <c r="BK17" s="33">
        <f t="shared" ca="1" si="16"/>
        <v>1.2166004810339418E-2</v>
      </c>
      <c r="BL17" s="33">
        <f t="shared" ca="1" si="16"/>
        <v>1.382305972725356E-2</v>
      </c>
      <c r="BM17" s="33">
        <f t="shared" ca="1" si="16"/>
        <v>9.38292638911516E-3</v>
      </c>
      <c r="BN17" s="33">
        <f t="shared" ca="1" si="16"/>
        <v>8.5236841321082498E-3</v>
      </c>
      <c r="BO17" s="33">
        <f t="shared" ca="1" si="16"/>
        <v>1.2206062225189879E-2</v>
      </c>
      <c r="BP17" s="33">
        <f t="shared" ca="1" si="16"/>
        <v>1.1575114967522837E-2</v>
      </c>
      <c r="BQ17" s="33">
        <f t="shared" ca="1" si="17"/>
        <v>1.0665074081914095E-2</v>
      </c>
      <c r="BR17" s="33">
        <f t="shared" ca="1" si="17"/>
        <v>1.3566912832708101E-2</v>
      </c>
      <c r="BS17" s="33">
        <f t="shared" ca="1" si="17"/>
        <v>7.4510156704324561E-3</v>
      </c>
      <c r="BT17" s="33">
        <f t="shared" ca="1" si="17"/>
        <v>6.9946816505761676E-3</v>
      </c>
      <c r="BU17" s="33">
        <f t="shared" ca="1" si="17"/>
        <v>1.1925799832247432E-2</v>
      </c>
      <c r="BV17" s="33">
        <f t="shared" ca="1" si="17"/>
        <v>1.0969093632532369E-2</v>
      </c>
      <c r="BW17" s="33">
        <f t="shared" ca="1" si="17"/>
        <v>1.2582699988835121E-2</v>
      </c>
      <c r="BX17" s="33">
        <f t="shared" ca="1" si="17"/>
        <v>1.4374052095077163E-2</v>
      </c>
      <c r="BY17" s="33">
        <f t="shared" ca="1" si="17"/>
        <v>1.0355418746452585E-2</v>
      </c>
      <c r="BZ17" s="33">
        <f t="shared" ca="1" si="17"/>
        <v>1.6441663194184802E-2</v>
      </c>
      <c r="CA17" s="33">
        <f t="shared" ca="1" si="18"/>
        <v>1.0054971257102399E-2</v>
      </c>
      <c r="CB17" s="33">
        <f t="shared" ca="1" si="18"/>
        <v>1.2198789377434193E-2</v>
      </c>
      <c r="CC17" s="33">
        <f t="shared" ca="1" si="18"/>
        <v>1.20768037918236E-2</v>
      </c>
      <c r="CD17" s="33">
        <f t="shared" ca="1" si="18"/>
        <v>1.2338517028539496E-2</v>
      </c>
      <c r="CE17" s="33">
        <f t="shared" ca="1" si="18"/>
        <v>9.6680761422849228E-3</v>
      </c>
      <c r="CF17" s="33">
        <f t="shared" ca="1" si="18"/>
        <v>9.703630898936744E-3</v>
      </c>
      <c r="CG17" s="33">
        <f t="shared" ca="1" si="18"/>
        <v>9.553181622203805E-3</v>
      </c>
      <c r="CH17" s="33">
        <f t="shared" ca="1" si="18"/>
        <v>1.0610506073958239E-2</v>
      </c>
      <c r="CI17" s="33">
        <f t="shared" ca="1" si="18"/>
        <v>1.0463859030224704E-2</v>
      </c>
      <c r="CJ17" s="33">
        <f t="shared" ca="1" si="18"/>
        <v>1.2016246045521983E-2</v>
      </c>
      <c r="CK17" s="33">
        <f t="shared" ca="1" si="19"/>
        <v>1.317722585099055E-2</v>
      </c>
      <c r="CL17" s="33">
        <f t="shared" ca="1" si="19"/>
        <v>1.257192617509504E-2</v>
      </c>
      <c r="CM17" s="33">
        <f t="shared" ca="1" si="19"/>
        <v>1.0226752050822362E-2</v>
      </c>
      <c r="CN17" s="33">
        <f t="shared" ca="1" si="19"/>
        <v>1.1159355758409975E-2</v>
      </c>
      <c r="CO17" s="33">
        <f t="shared" ca="1" si="19"/>
        <v>1.374477383245931E-2</v>
      </c>
      <c r="CP17" s="33">
        <f t="shared" ca="1" si="19"/>
        <v>1.190770358345959E-2</v>
      </c>
      <c r="CQ17" s="33">
        <f t="shared" ca="1" si="19"/>
        <v>1.3009575070377598E-2</v>
      </c>
      <c r="CR17" s="33">
        <f t="shared" ca="1" si="19"/>
        <v>1.0832969795747596E-2</v>
      </c>
      <c r="CS17" s="33">
        <f t="shared" ca="1" si="19"/>
        <v>1.1107432966796725E-2</v>
      </c>
      <c r="CT17" s="33">
        <f t="shared" ca="1" si="19"/>
        <v>1.1226209682850763E-2</v>
      </c>
      <c r="CU17" s="33">
        <f t="shared" ca="1" si="20"/>
        <v>1.232612139569903E-2</v>
      </c>
      <c r="CV17" s="33">
        <f t="shared" ca="1" si="20"/>
        <v>1.0884076527042074E-2</v>
      </c>
      <c r="CW17" s="33">
        <f t="shared" ca="1" si="20"/>
        <v>1.1235882389370854E-2</v>
      </c>
      <c r="CX17" s="33">
        <f t="shared" ca="1" si="20"/>
        <v>1.0795014992572119E-2</v>
      </c>
      <c r="CY17" s="33">
        <f t="shared" ca="1" si="20"/>
        <v>1.4647511248235143E-2</v>
      </c>
      <c r="CZ17" s="33">
        <f t="shared" ca="1" si="20"/>
        <v>1.2090484976082267E-2</v>
      </c>
      <c r="DA17" s="33">
        <f t="shared" ca="1" si="20"/>
        <v>1.2669990180228401E-2</v>
      </c>
      <c r="DB17" s="33">
        <f t="shared" ca="1" si="20"/>
        <v>1.1743564310389013E-2</v>
      </c>
      <c r="DC17" s="33">
        <f t="shared" ca="1" si="20"/>
        <v>1.1222170908384751E-2</v>
      </c>
      <c r="DD17" s="33">
        <f t="shared" ca="1" si="20"/>
        <v>1.2140663686971899E-2</v>
      </c>
      <c r="DE17" s="33">
        <f t="shared" ca="1" si="21"/>
        <v>1.0817817636042755E-2</v>
      </c>
      <c r="DF17" s="33">
        <f t="shared" ca="1" si="21"/>
        <v>1.220546646235279E-2</v>
      </c>
      <c r="DG17" s="33">
        <f t="shared" ca="1" si="21"/>
        <v>1.0608982331368571E-2</v>
      </c>
      <c r="DH17" s="33">
        <f t="shared" ca="1" si="21"/>
        <v>1.1991405864382215E-2</v>
      </c>
      <c r="DI17" s="33">
        <f t="shared" ca="1" si="21"/>
        <v>1.1921276226792121E-2</v>
      </c>
      <c r="DJ17" s="33">
        <f t="shared" ca="1" si="21"/>
        <v>1.052137361190986E-2</v>
      </c>
      <c r="DK17" s="33">
        <f t="shared" ca="1" si="21"/>
        <v>1.2148982847074656E-2</v>
      </c>
      <c r="DL17" s="33">
        <f t="shared" ca="1" si="21"/>
        <v>1.1728930127915579E-2</v>
      </c>
      <c r="DM17" s="33">
        <f t="shared" ca="1" si="21"/>
        <v>1.1014669117894754E-2</v>
      </c>
      <c r="DN17" s="33">
        <f t="shared" ca="1" si="21"/>
        <v>1.1217216920620577E-2</v>
      </c>
      <c r="DO17" s="12"/>
      <c r="DP17" s="12"/>
      <c r="DQ17" s="12"/>
    </row>
    <row r="18" spans="1:121" x14ac:dyDescent="0.2">
      <c r="A18" s="62"/>
      <c r="B18" s="62"/>
      <c r="C18" s="62"/>
      <c r="D18" s="62"/>
      <c r="I18" s="32">
        <v>44958</v>
      </c>
      <c r="J18" s="33">
        <f t="shared" ca="1" si="0"/>
        <v>1.0142017895123714E-2</v>
      </c>
      <c r="K18" s="9">
        <v>1950</v>
      </c>
      <c r="L18" s="9">
        <f t="shared" ca="1" si="11"/>
        <v>26204.312108016296</v>
      </c>
      <c r="N18" s="6">
        <v>14</v>
      </c>
      <c r="O18" s="5">
        <v>3.9424034524148288</v>
      </c>
      <c r="P18" s="9">
        <v>685827.7138634671</v>
      </c>
      <c r="R18" s="32">
        <v>44958</v>
      </c>
      <c r="S18" s="33">
        <f t="shared" ca="1" si="12"/>
        <v>1.1036802754230088E-2</v>
      </c>
      <c r="T18" s="33">
        <f t="shared" ca="1" si="12"/>
        <v>1.3113693167721572E-2</v>
      </c>
      <c r="U18" s="33">
        <f t="shared" ca="1" si="12"/>
        <v>1.3137318812124094E-2</v>
      </c>
      <c r="V18" s="33">
        <f t="shared" ca="1" si="12"/>
        <v>1.0912736648178014E-2</v>
      </c>
      <c r="W18" s="33">
        <f t="shared" ca="1" si="12"/>
        <v>1.0102477347043878E-2</v>
      </c>
      <c r="X18" s="33">
        <f t="shared" ca="1" si="12"/>
        <v>1.2258629651496688E-2</v>
      </c>
      <c r="Y18" s="33">
        <f t="shared" ca="1" si="12"/>
        <v>1.1032018166471461E-2</v>
      </c>
      <c r="Z18" s="33">
        <f t="shared" ca="1" si="12"/>
        <v>8.4469721256589282E-3</v>
      </c>
      <c r="AA18" s="33">
        <f t="shared" ca="1" si="12"/>
        <v>8.9940665869843745E-3</v>
      </c>
      <c r="AB18" s="33">
        <f t="shared" ca="1" si="12"/>
        <v>1.0183024194598315E-2</v>
      </c>
      <c r="AC18" s="33">
        <f t="shared" ca="1" si="13"/>
        <v>1.2224372532839287E-2</v>
      </c>
      <c r="AD18" s="33">
        <f t="shared" ca="1" si="13"/>
        <v>1.2164955168751632E-2</v>
      </c>
      <c r="AE18" s="33">
        <f t="shared" ca="1" si="13"/>
        <v>1.3421367487819892E-2</v>
      </c>
      <c r="AF18" s="33">
        <f t="shared" ca="1" si="13"/>
        <v>1.128285768500001E-2</v>
      </c>
      <c r="AG18" s="33">
        <f t="shared" ca="1" si="13"/>
        <v>1.0462721833784949E-2</v>
      </c>
      <c r="AH18" s="33">
        <f t="shared" ca="1" si="13"/>
        <v>1.0695840939801891E-2</v>
      </c>
      <c r="AI18" s="33">
        <f t="shared" ca="1" si="13"/>
        <v>1.0363424161580663E-2</v>
      </c>
      <c r="AJ18" s="33">
        <f t="shared" ca="1" si="13"/>
        <v>1.0969987262803804E-2</v>
      </c>
      <c r="AK18" s="33">
        <f t="shared" ca="1" si="13"/>
        <v>1.2721362807615058E-2</v>
      </c>
      <c r="AL18" s="33">
        <f t="shared" ca="1" si="13"/>
        <v>1.2079900389681229E-2</v>
      </c>
      <c r="AM18" s="33">
        <f t="shared" ca="1" si="14"/>
        <v>1.1433691691064073E-2</v>
      </c>
      <c r="AN18" s="33">
        <f t="shared" ca="1" si="14"/>
        <v>1.0811280397571272E-2</v>
      </c>
      <c r="AO18" s="33">
        <f t="shared" ca="1" si="14"/>
        <v>1.1265529482779509E-2</v>
      </c>
      <c r="AP18" s="33">
        <f t="shared" ca="1" si="14"/>
        <v>1.0783295908913106E-2</v>
      </c>
      <c r="AQ18" s="33">
        <f t="shared" ca="1" si="14"/>
        <v>1.2732872119233608E-2</v>
      </c>
      <c r="AR18" s="33">
        <f t="shared" ca="1" si="14"/>
        <v>1.2476936880730861E-2</v>
      </c>
      <c r="AS18" s="33">
        <f t="shared" ca="1" si="14"/>
        <v>1.1544550924630029E-2</v>
      </c>
      <c r="AT18" s="33">
        <f t="shared" ca="1" si="14"/>
        <v>8.6477762764512502E-3</v>
      </c>
      <c r="AU18" s="33">
        <f t="shared" ca="1" si="14"/>
        <v>1.4287512925257066E-2</v>
      </c>
      <c r="AV18" s="33">
        <f t="shared" ca="1" si="14"/>
        <v>1.2973246756454197E-2</v>
      </c>
      <c r="AW18" s="33">
        <f t="shared" ca="1" si="15"/>
        <v>1.1851840753698427E-2</v>
      </c>
      <c r="AX18" s="33">
        <f t="shared" ca="1" si="15"/>
        <v>1.1933982834568474E-2</v>
      </c>
      <c r="AY18" s="33">
        <f t="shared" ca="1" si="15"/>
        <v>9.6473524204437836E-3</v>
      </c>
      <c r="AZ18" s="33">
        <f t="shared" ca="1" si="15"/>
        <v>1.1167910546050402E-2</v>
      </c>
      <c r="BA18" s="33">
        <f t="shared" ca="1" si="15"/>
        <v>8.8397911490453104E-3</v>
      </c>
      <c r="BB18" s="33">
        <f t="shared" ca="1" si="15"/>
        <v>1.0609428011748395E-2</v>
      </c>
      <c r="BC18" s="33">
        <f t="shared" ca="1" si="15"/>
        <v>1.075126129548633E-2</v>
      </c>
      <c r="BD18" s="33">
        <f t="shared" ca="1" si="15"/>
        <v>8.7059905528212231E-3</v>
      </c>
      <c r="BE18" s="33">
        <f t="shared" ca="1" si="15"/>
        <v>1.1863006319867496E-2</v>
      </c>
      <c r="BF18" s="33">
        <f t="shared" ca="1" si="15"/>
        <v>1.3459747091144161E-2</v>
      </c>
      <c r="BG18" s="33">
        <f t="shared" ca="1" si="16"/>
        <v>1.2451058418597172E-2</v>
      </c>
      <c r="BH18" s="33">
        <f t="shared" ca="1" si="16"/>
        <v>1.104831667063258E-2</v>
      </c>
      <c r="BI18" s="33">
        <f t="shared" ca="1" si="16"/>
        <v>9.7734907696675512E-3</v>
      </c>
      <c r="BJ18" s="33">
        <f t="shared" ca="1" si="16"/>
        <v>1.1905527540119035E-2</v>
      </c>
      <c r="BK18" s="33">
        <f t="shared" ca="1" si="16"/>
        <v>1.096493903516774E-2</v>
      </c>
      <c r="BL18" s="33">
        <f t="shared" ca="1" si="16"/>
        <v>1.134012363689668E-2</v>
      </c>
      <c r="BM18" s="33">
        <f t="shared" ca="1" si="16"/>
        <v>1.1430595684979335E-2</v>
      </c>
      <c r="BN18" s="33">
        <f t="shared" ca="1" si="16"/>
        <v>9.4632390114357898E-3</v>
      </c>
      <c r="BO18" s="33">
        <f t="shared" ca="1" si="16"/>
        <v>1.1357740290358726E-2</v>
      </c>
      <c r="BP18" s="33">
        <f t="shared" ca="1" si="16"/>
        <v>1.1578964536315383E-2</v>
      </c>
      <c r="BQ18" s="33">
        <f t="shared" ca="1" si="17"/>
        <v>1.1099292282103299E-2</v>
      </c>
      <c r="BR18" s="33">
        <f t="shared" ca="1" si="17"/>
        <v>8.3904614666051314E-3</v>
      </c>
      <c r="BS18" s="33">
        <f t="shared" ca="1" si="17"/>
        <v>1.2466878548303402E-2</v>
      </c>
      <c r="BT18" s="33">
        <f t="shared" ca="1" si="17"/>
        <v>1.1199579661393982E-2</v>
      </c>
      <c r="BU18" s="33">
        <f t="shared" ca="1" si="17"/>
        <v>1.2072859879136439E-2</v>
      </c>
      <c r="BV18" s="33">
        <f t="shared" ca="1" si="17"/>
        <v>1.1119186045518977E-2</v>
      </c>
      <c r="BW18" s="33">
        <f t="shared" ca="1" si="17"/>
        <v>1.0090161786839491E-2</v>
      </c>
      <c r="BX18" s="33">
        <f t="shared" ca="1" si="17"/>
        <v>1.2308186594220493E-2</v>
      </c>
      <c r="BY18" s="33">
        <f t="shared" ca="1" si="17"/>
        <v>1.2235898720680236E-2</v>
      </c>
      <c r="BZ18" s="33">
        <f t="shared" ca="1" si="17"/>
        <v>1.1770896464658773E-2</v>
      </c>
      <c r="CA18" s="33">
        <f t="shared" ca="1" si="18"/>
        <v>1.0691089781226279E-2</v>
      </c>
      <c r="CB18" s="33">
        <f t="shared" ca="1" si="18"/>
        <v>9.2780964057364301E-3</v>
      </c>
      <c r="CC18" s="33">
        <f t="shared" ca="1" si="18"/>
        <v>9.9387096740746819E-3</v>
      </c>
      <c r="CD18" s="33">
        <f t="shared" ca="1" si="18"/>
        <v>1.090439763545702E-2</v>
      </c>
      <c r="CE18" s="33">
        <f t="shared" ca="1" si="18"/>
        <v>1.157572878993331E-2</v>
      </c>
      <c r="CF18" s="33">
        <f t="shared" ca="1" si="18"/>
        <v>1.0906754477874162E-2</v>
      </c>
      <c r="CG18" s="33">
        <f t="shared" ca="1" si="18"/>
        <v>1.0336829626174181E-2</v>
      </c>
      <c r="CH18" s="33">
        <f t="shared" ca="1" si="18"/>
        <v>9.0728378477045405E-3</v>
      </c>
      <c r="CI18" s="33">
        <f t="shared" ca="1" si="18"/>
        <v>1.0890012651642734E-2</v>
      </c>
      <c r="CJ18" s="33">
        <f t="shared" ca="1" si="18"/>
        <v>1.1682361449412051E-2</v>
      </c>
      <c r="CK18" s="33">
        <f t="shared" ca="1" si="19"/>
        <v>1.0583748912932461E-2</v>
      </c>
      <c r="CL18" s="33">
        <f t="shared" ca="1" si="19"/>
        <v>8.9202302962674025E-3</v>
      </c>
      <c r="CM18" s="33">
        <f t="shared" ca="1" si="19"/>
        <v>1.0276300976556544E-2</v>
      </c>
      <c r="CN18" s="33">
        <f t="shared" ca="1" si="19"/>
        <v>1.2453040551162893E-2</v>
      </c>
      <c r="CO18" s="33">
        <f t="shared" ca="1" si="19"/>
        <v>1.2973085124414314E-2</v>
      </c>
      <c r="CP18" s="33">
        <f t="shared" ca="1" si="19"/>
        <v>1.1037142211590242E-2</v>
      </c>
      <c r="CQ18" s="33">
        <f t="shared" ca="1" si="19"/>
        <v>1.2235108790669452E-2</v>
      </c>
      <c r="CR18" s="33">
        <f t="shared" ca="1" si="19"/>
        <v>1.189447279114249E-2</v>
      </c>
      <c r="CS18" s="33">
        <f t="shared" ca="1" si="19"/>
        <v>9.8766085158435227E-3</v>
      </c>
      <c r="CT18" s="33">
        <f t="shared" ca="1" si="19"/>
        <v>1.1695107240966356E-2</v>
      </c>
      <c r="CU18" s="33">
        <f t="shared" ca="1" si="20"/>
        <v>1.0616070641603338E-2</v>
      </c>
      <c r="CV18" s="33">
        <f t="shared" ca="1" si="20"/>
        <v>1.3935372664585312E-2</v>
      </c>
      <c r="CW18" s="33">
        <f t="shared" ca="1" si="20"/>
        <v>1.0598011384342847E-2</v>
      </c>
      <c r="CX18" s="33">
        <f t="shared" ca="1" si="20"/>
        <v>1.2353740264438032E-2</v>
      </c>
      <c r="CY18" s="33">
        <f t="shared" ca="1" si="20"/>
        <v>1.1093111724624391E-2</v>
      </c>
      <c r="CZ18" s="33">
        <f t="shared" ca="1" si="20"/>
        <v>1.310342416369906E-2</v>
      </c>
      <c r="DA18" s="33">
        <f t="shared" ca="1" si="20"/>
        <v>9.7552715348930129E-3</v>
      </c>
      <c r="DB18" s="33">
        <f t="shared" ca="1" si="20"/>
        <v>1.0521900207020948E-2</v>
      </c>
      <c r="DC18" s="33">
        <f t="shared" ca="1" si="20"/>
        <v>9.9310944735947863E-3</v>
      </c>
      <c r="DD18" s="33">
        <f t="shared" ca="1" si="20"/>
        <v>1.1469568320373071E-2</v>
      </c>
      <c r="DE18" s="33">
        <f t="shared" ca="1" si="21"/>
        <v>1.0984212812972297E-2</v>
      </c>
      <c r="DF18" s="33">
        <f t="shared" ca="1" si="21"/>
        <v>1.0937121682159212E-2</v>
      </c>
      <c r="DG18" s="33">
        <f t="shared" ca="1" si="21"/>
        <v>1.4474041158991958E-2</v>
      </c>
      <c r="DH18" s="33">
        <f t="shared" ca="1" si="21"/>
        <v>8.3826531100980733E-3</v>
      </c>
      <c r="DI18" s="33">
        <f t="shared" ca="1" si="21"/>
        <v>1.0116834829383789E-2</v>
      </c>
      <c r="DJ18" s="33">
        <f t="shared" ca="1" si="21"/>
        <v>1.1386343864352746E-2</v>
      </c>
      <c r="DK18" s="33">
        <f t="shared" ca="1" si="21"/>
        <v>8.9884698467724497E-3</v>
      </c>
      <c r="DL18" s="33">
        <f t="shared" ca="1" si="21"/>
        <v>1.2224846284807736E-2</v>
      </c>
      <c r="DM18" s="33">
        <f t="shared" ca="1" si="21"/>
        <v>1.1983032135022678E-2</v>
      </c>
      <c r="DN18" s="33">
        <f t="shared" ca="1" si="21"/>
        <v>1.0863487496525269E-2</v>
      </c>
      <c r="DO18" s="12"/>
      <c r="DP18" s="12"/>
      <c r="DQ18" s="12"/>
    </row>
    <row r="19" spans="1:121" x14ac:dyDescent="0.2">
      <c r="I19" s="32">
        <v>44986</v>
      </c>
      <c r="J19" s="33">
        <f t="shared" ca="1" si="0"/>
        <v>1.0031375745254974E-2</v>
      </c>
      <c r="K19" s="9">
        <v>1950</v>
      </c>
      <c r="L19" s="9">
        <f t="shared" ca="1" si="11"/>
        <v>28418.500278921427</v>
      </c>
      <c r="N19" s="6">
        <v>15</v>
      </c>
      <c r="O19" s="5">
        <v>3.7964833883805573</v>
      </c>
      <c r="P19" s="9">
        <v>670184.28549450298</v>
      </c>
      <c r="R19" s="32">
        <v>44986</v>
      </c>
      <c r="S19" s="33">
        <f t="shared" ca="1" si="12"/>
        <v>1.1306232652868545E-2</v>
      </c>
      <c r="T19" s="33">
        <f t="shared" ca="1" si="12"/>
        <v>1.1446450158357425E-2</v>
      </c>
      <c r="U19" s="33">
        <f t="shared" ca="1" si="12"/>
        <v>1.3329965822238972E-2</v>
      </c>
      <c r="V19" s="33">
        <f t="shared" ca="1" si="12"/>
        <v>1.2900074351642383E-2</v>
      </c>
      <c r="W19" s="33">
        <f t="shared" ca="1" si="12"/>
        <v>9.6470802046191712E-3</v>
      </c>
      <c r="X19" s="33">
        <f t="shared" ca="1" si="12"/>
        <v>1.3615797416534656E-2</v>
      </c>
      <c r="Y19" s="33">
        <f t="shared" ca="1" si="12"/>
        <v>1.2755314447317877E-2</v>
      </c>
      <c r="Z19" s="33">
        <f t="shared" ca="1" si="12"/>
        <v>1.1943966210976976E-2</v>
      </c>
      <c r="AA19" s="33">
        <f t="shared" ca="1" si="12"/>
        <v>1.2070128601388784E-2</v>
      </c>
      <c r="AB19" s="33">
        <f t="shared" ca="1" si="12"/>
        <v>9.0786512139519465E-3</v>
      </c>
      <c r="AC19" s="33">
        <f t="shared" ca="1" si="13"/>
        <v>1.2873037717878606E-2</v>
      </c>
      <c r="AD19" s="33">
        <f t="shared" ca="1" si="13"/>
        <v>1.3767983588593474E-2</v>
      </c>
      <c r="AE19" s="33">
        <f t="shared" ca="1" si="13"/>
        <v>1.3287351077007523E-2</v>
      </c>
      <c r="AF19" s="33">
        <f t="shared" ca="1" si="13"/>
        <v>1.014124773360269E-2</v>
      </c>
      <c r="AG19" s="33">
        <f t="shared" ca="1" si="13"/>
        <v>1.3415461923280962E-2</v>
      </c>
      <c r="AH19" s="33">
        <f t="shared" ca="1" si="13"/>
        <v>1.069098968299844E-2</v>
      </c>
      <c r="AI19" s="33">
        <f t="shared" ca="1" si="13"/>
        <v>1.1213238606836722E-2</v>
      </c>
      <c r="AJ19" s="33">
        <f t="shared" ca="1" si="13"/>
        <v>1.2671512501044091E-2</v>
      </c>
      <c r="AK19" s="33">
        <f t="shared" ca="1" si="13"/>
        <v>1.0655228804020101E-2</v>
      </c>
      <c r="AL19" s="33">
        <f t="shared" ca="1" si="13"/>
        <v>9.4467887624690178E-3</v>
      </c>
      <c r="AM19" s="33">
        <f t="shared" ca="1" si="14"/>
        <v>1.1558172160384822E-2</v>
      </c>
      <c r="AN19" s="33">
        <f t="shared" ca="1" si="14"/>
        <v>1.0054762982785691E-2</v>
      </c>
      <c r="AO19" s="33">
        <f t="shared" ca="1" si="14"/>
        <v>1.2989877315386353E-2</v>
      </c>
      <c r="AP19" s="33">
        <f t="shared" ca="1" si="14"/>
        <v>9.9824813425021738E-3</v>
      </c>
      <c r="AQ19" s="33">
        <f t="shared" ca="1" si="14"/>
        <v>1.0694044477614279E-2</v>
      </c>
      <c r="AR19" s="33">
        <f t="shared" ca="1" si="14"/>
        <v>8.8143854479192669E-3</v>
      </c>
      <c r="AS19" s="33">
        <f t="shared" ca="1" si="14"/>
        <v>1.1417356142317796E-2</v>
      </c>
      <c r="AT19" s="33">
        <f t="shared" ca="1" si="14"/>
        <v>1.2661573680341544E-2</v>
      </c>
      <c r="AU19" s="33">
        <f t="shared" ca="1" si="14"/>
        <v>1.224596907018753E-2</v>
      </c>
      <c r="AV19" s="33">
        <f t="shared" ca="1" si="14"/>
        <v>1.1581898833844259E-2</v>
      </c>
      <c r="AW19" s="33">
        <f t="shared" ca="1" si="15"/>
        <v>1.0631686242111164E-2</v>
      </c>
      <c r="AX19" s="33">
        <f t="shared" ca="1" si="15"/>
        <v>1.0641939862773009E-2</v>
      </c>
      <c r="AY19" s="33">
        <f t="shared" ca="1" si="15"/>
        <v>1.1133350325416222E-2</v>
      </c>
      <c r="AZ19" s="33">
        <f t="shared" ca="1" si="15"/>
        <v>1.0575200042831205E-2</v>
      </c>
      <c r="BA19" s="33">
        <f t="shared" ca="1" si="15"/>
        <v>1.1207549226600137E-2</v>
      </c>
      <c r="BB19" s="33">
        <f t="shared" ca="1" si="15"/>
        <v>1.0626319620616222E-2</v>
      </c>
      <c r="BC19" s="33">
        <f t="shared" ca="1" si="15"/>
        <v>1.064332166746183E-2</v>
      </c>
      <c r="BD19" s="33">
        <f t="shared" ca="1" si="15"/>
        <v>1.2122904263069084E-2</v>
      </c>
      <c r="BE19" s="33">
        <f t="shared" ca="1" si="15"/>
        <v>9.8316186482305754E-3</v>
      </c>
      <c r="BF19" s="33">
        <f t="shared" ca="1" si="15"/>
        <v>1.2389347032462077E-2</v>
      </c>
      <c r="BG19" s="33">
        <f t="shared" ca="1" si="16"/>
        <v>1.1774747011004453E-2</v>
      </c>
      <c r="BH19" s="33">
        <f t="shared" ca="1" si="16"/>
        <v>1.3375419655253289E-2</v>
      </c>
      <c r="BI19" s="33">
        <f t="shared" ca="1" si="16"/>
        <v>1.0519291130136806E-2</v>
      </c>
      <c r="BJ19" s="33">
        <f t="shared" ca="1" si="16"/>
        <v>1.3976658964158506E-2</v>
      </c>
      <c r="BK19" s="33">
        <f t="shared" ca="1" si="16"/>
        <v>1.0500096665995756E-2</v>
      </c>
      <c r="BL19" s="33">
        <f t="shared" ca="1" si="16"/>
        <v>1.1673543510287198E-2</v>
      </c>
      <c r="BM19" s="33">
        <f t="shared" ca="1" si="16"/>
        <v>9.6169770925030214E-3</v>
      </c>
      <c r="BN19" s="33">
        <f t="shared" ca="1" si="16"/>
        <v>9.8843475406339282E-3</v>
      </c>
      <c r="BO19" s="33">
        <f t="shared" ca="1" si="16"/>
        <v>1.3270030075582487E-2</v>
      </c>
      <c r="BP19" s="33">
        <f t="shared" ca="1" si="16"/>
        <v>1.1618335895530751E-2</v>
      </c>
      <c r="BQ19" s="33">
        <f t="shared" ca="1" si="17"/>
        <v>1.2786676194663255E-2</v>
      </c>
      <c r="BR19" s="33">
        <f t="shared" ca="1" si="17"/>
        <v>9.929034694544165E-3</v>
      </c>
      <c r="BS19" s="33">
        <f t="shared" ca="1" si="17"/>
        <v>1.1584315598373824E-2</v>
      </c>
      <c r="BT19" s="33">
        <f t="shared" ca="1" si="17"/>
        <v>1.3659254729069554E-2</v>
      </c>
      <c r="BU19" s="33">
        <f t="shared" ca="1" si="17"/>
        <v>9.6218092708857464E-3</v>
      </c>
      <c r="BV19" s="33">
        <f t="shared" ca="1" si="17"/>
        <v>1.4784626755406281E-2</v>
      </c>
      <c r="BW19" s="33">
        <f t="shared" ca="1" si="17"/>
        <v>9.2859976624956823E-3</v>
      </c>
      <c r="BX19" s="33">
        <f t="shared" ca="1" si="17"/>
        <v>1.1140244377767767E-2</v>
      </c>
      <c r="BY19" s="33">
        <f t="shared" ca="1" si="17"/>
        <v>9.9757922614851675E-3</v>
      </c>
      <c r="BZ19" s="33">
        <f t="shared" ca="1" si="17"/>
        <v>1.18998051709361E-2</v>
      </c>
      <c r="CA19" s="33">
        <f t="shared" ca="1" si="18"/>
        <v>1.1697728085457666E-2</v>
      </c>
      <c r="CB19" s="33">
        <f t="shared" ca="1" si="18"/>
        <v>1.1788388976014938E-2</v>
      </c>
      <c r="CC19" s="33">
        <f t="shared" ca="1" si="18"/>
        <v>9.0580393258471135E-3</v>
      </c>
      <c r="CD19" s="33">
        <f t="shared" ca="1" si="18"/>
        <v>1.417545264913353E-2</v>
      </c>
      <c r="CE19" s="33">
        <f t="shared" ca="1" si="18"/>
        <v>1.0964453984774587E-2</v>
      </c>
      <c r="CF19" s="33">
        <f t="shared" ca="1" si="18"/>
        <v>1.0489632739616542E-2</v>
      </c>
      <c r="CG19" s="33">
        <f t="shared" ca="1" si="18"/>
        <v>1.0179467713095332E-2</v>
      </c>
      <c r="CH19" s="33">
        <f t="shared" ca="1" si="18"/>
        <v>1.0779309568341073E-2</v>
      </c>
      <c r="CI19" s="33">
        <f t="shared" ca="1" si="18"/>
        <v>1.0286869839608451E-2</v>
      </c>
      <c r="CJ19" s="33">
        <f t="shared" ca="1" si="18"/>
        <v>1.2210836090817483E-2</v>
      </c>
      <c r="CK19" s="33">
        <f t="shared" ca="1" si="19"/>
        <v>1.1738115056649611E-2</v>
      </c>
      <c r="CL19" s="33">
        <f t="shared" ca="1" si="19"/>
        <v>1.1927839686462183E-2</v>
      </c>
      <c r="CM19" s="33">
        <f t="shared" ca="1" si="19"/>
        <v>8.4809972056917315E-3</v>
      </c>
      <c r="CN19" s="33">
        <f t="shared" ca="1" si="19"/>
        <v>1.2721361689853487E-2</v>
      </c>
      <c r="CO19" s="33">
        <f t="shared" ca="1" si="19"/>
        <v>1.1267887653366138E-2</v>
      </c>
      <c r="CP19" s="33">
        <f t="shared" ca="1" si="19"/>
        <v>9.6452386526228607E-3</v>
      </c>
      <c r="CQ19" s="33">
        <f t="shared" ca="1" si="19"/>
        <v>1.1565414060749443E-2</v>
      </c>
      <c r="CR19" s="33">
        <f t="shared" ca="1" si="19"/>
        <v>1.0990626057835512E-2</v>
      </c>
      <c r="CS19" s="33">
        <f t="shared" ca="1" si="19"/>
        <v>1.0876780848547821E-2</v>
      </c>
      <c r="CT19" s="33">
        <f t="shared" ca="1" si="19"/>
        <v>1.0245264458204091E-2</v>
      </c>
      <c r="CU19" s="33">
        <f t="shared" ca="1" si="20"/>
        <v>1.2419154272583995E-2</v>
      </c>
      <c r="CV19" s="33">
        <f t="shared" ca="1" si="20"/>
        <v>1.072280551477902E-2</v>
      </c>
      <c r="CW19" s="33">
        <f t="shared" ca="1" si="20"/>
        <v>9.1827202927234342E-3</v>
      </c>
      <c r="CX19" s="33">
        <f t="shared" ca="1" si="20"/>
        <v>1.1459988361731285E-2</v>
      </c>
      <c r="CY19" s="33">
        <f t="shared" ca="1" si="20"/>
        <v>1.2489868579121868E-2</v>
      </c>
      <c r="CZ19" s="33">
        <f t="shared" ca="1" si="20"/>
        <v>1.1955423148995996E-2</v>
      </c>
      <c r="DA19" s="33">
        <f t="shared" ca="1" si="20"/>
        <v>1.2145820695509251E-2</v>
      </c>
      <c r="DB19" s="33">
        <f t="shared" ca="1" si="20"/>
        <v>1.1223063630275254E-2</v>
      </c>
      <c r="DC19" s="33">
        <f t="shared" ca="1" si="20"/>
        <v>1.3169111066610562E-2</v>
      </c>
      <c r="DD19" s="33">
        <f t="shared" ca="1" si="20"/>
        <v>1.0515154996193035E-2</v>
      </c>
      <c r="DE19" s="33">
        <f t="shared" ca="1" si="21"/>
        <v>9.6798540693970002E-3</v>
      </c>
      <c r="DF19" s="33">
        <f t="shared" ca="1" si="21"/>
        <v>1.1136086818542038E-2</v>
      </c>
      <c r="DG19" s="33">
        <f t="shared" ca="1" si="21"/>
        <v>1.1482424327492011E-2</v>
      </c>
      <c r="DH19" s="33">
        <f t="shared" ca="1" si="21"/>
        <v>1.0377380607309257E-2</v>
      </c>
      <c r="DI19" s="33">
        <f t="shared" ca="1" si="21"/>
        <v>1.1930334032141816E-2</v>
      </c>
      <c r="DJ19" s="33">
        <f t="shared" ca="1" si="21"/>
        <v>1.0594618386777579E-2</v>
      </c>
      <c r="DK19" s="33">
        <f t="shared" ca="1" si="21"/>
        <v>1.3753973277925966E-2</v>
      </c>
      <c r="DL19" s="33">
        <f t="shared" ca="1" si="21"/>
        <v>1.2516859604977133E-2</v>
      </c>
      <c r="DM19" s="33">
        <f t="shared" ca="1" si="21"/>
        <v>1.1907304945681978E-2</v>
      </c>
      <c r="DN19" s="33">
        <f t="shared" ca="1" si="21"/>
        <v>1.3366288240660116E-2</v>
      </c>
      <c r="DO19" s="12"/>
      <c r="DP19" s="12"/>
      <c r="DQ19" s="12"/>
    </row>
    <row r="20" spans="1:121" x14ac:dyDescent="0.2">
      <c r="I20" s="32">
        <v>45017</v>
      </c>
      <c r="J20" s="33">
        <f t="shared" ca="1" si="0"/>
        <v>1.2157417101056263E-2</v>
      </c>
      <c r="K20" s="9">
        <v>1950</v>
      </c>
      <c r="L20" s="9">
        <f t="shared" ca="1" si="11"/>
        <v>30716.104543819845</v>
      </c>
      <c r="N20" s="6">
        <v>16</v>
      </c>
      <c r="O20" s="5">
        <v>3.8781344280618346</v>
      </c>
      <c r="P20" s="9">
        <v>679109.23142510466</v>
      </c>
      <c r="R20" s="32">
        <v>45017</v>
      </c>
      <c r="S20" s="33">
        <f t="shared" ca="1" si="12"/>
        <v>1.3288039439742787E-2</v>
      </c>
      <c r="T20" s="33">
        <f t="shared" ca="1" si="12"/>
        <v>1.0123874553945091E-2</v>
      </c>
      <c r="U20" s="33">
        <f t="shared" ca="1" si="12"/>
        <v>1.157860397763168E-2</v>
      </c>
      <c r="V20" s="33">
        <f t="shared" ca="1" si="12"/>
        <v>1.1851643870313957E-2</v>
      </c>
      <c r="W20" s="33">
        <f t="shared" ca="1" si="12"/>
        <v>1.1054657454844333E-2</v>
      </c>
      <c r="X20" s="33">
        <f t="shared" ca="1" si="12"/>
        <v>1.1547474094225407E-2</v>
      </c>
      <c r="Y20" s="33">
        <f t="shared" ca="1" si="12"/>
        <v>1.4041376748846394E-2</v>
      </c>
      <c r="Z20" s="33">
        <f t="shared" ca="1" si="12"/>
        <v>1.376744743514432E-2</v>
      </c>
      <c r="AA20" s="33">
        <f t="shared" ca="1" si="12"/>
        <v>9.6992520466212487E-3</v>
      </c>
      <c r="AB20" s="33">
        <f t="shared" ca="1" si="12"/>
        <v>1.292726088847785E-2</v>
      </c>
      <c r="AC20" s="33">
        <f t="shared" ca="1" si="13"/>
        <v>1.026542294050805E-2</v>
      </c>
      <c r="AD20" s="33">
        <f t="shared" ca="1" si="13"/>
        <v>1.1966033884641389E-2</v>
      </c>
      <c r="AE20" s="33">
        <f t="shared" ca="1" si="13"/>
        <v>1.2165362605978646E-2</v>
      </c>
      <c r="AF20" s="33">
        <f t="shared" ca="1" si="13"/>
        <v>1.1580992043128057E-2</v>
      </c>
      <c r="AG20" s="33">
        <f t="shared" ca="1" si="13"/>
        <v>1.3182527747288354E-2</v>
      </c>
      <c r="AH20" s="33">
        <f t="shared" ca="1" si="13"/>
        <v>1.3102011279104969E-2</v>
      </c>
      <c r="AI20" s="33">
        <f t="shared" ca="1" si="13"/>
        <v>9.301797096164327E-3</v>
      </c>
      <c r="AJ20" s="33">
        <f t="shared" ca="1" si="13"/>
        <v>1.0654767984641669E-2</v>
      </c>
      <c r="AK20" s="33">
        <f t="shared" ca="1" si="13"/>
        <v>1.0814364561911606E-2</v>
      </c>
      <c r="AL20" s="33">
        <f t="shared" ca="1" si="13"/>
        <v>1.2299280742892901E-2</v>
      </c>
      <c r="AM20" s="33">
        <f t="shared" ca="1" si="14"/>
        <v>1.1353031969479534E-2</v>
      </c>
      <c r="AN20" s="33">
        <f t="shared" ca="1" si="14"/>
        <v>9.2201628726872441E-3</v>
      </c>
      <c r="AO20" s="33">
        <f t="shared" ca="1" si="14"/>
        <v>9.7515365963049792E-3</v>
      </c>
      <c r="AP20" s="33">
        <f t="shared" ca="1" si="14"/>
        <v>1.2136172114916233E-2</v>
      </c>
      <c r="AQ20" s="33">
        <f t="shared" ca="1" si="14"/>
        <v>1.0940905764031558E-2</v>
      </c>
      <c r="AR20" s="33">
        <f t="shared" ca="1" si="14"/>
        <v>1.192568837060092E-2</v>
      </c>
      <c r="AS20" s="33">
        <f t="shared" ca="1" si="14"/>
        <v>1.2659769462030488E-2</v>
      </c>
      <c r="AT20" s="33">
        <f t="shared" ca="1" si="14"/>
        <v>1.1592017269790002E-2</v>
      </c>
      <c r="AU20" s="33">
        <f t="shared" ca="1" si="14"/>
        <v>1.1732600775017621E-2</v>
      </c>
      <c r="AV20" s="33">
        <f t="shared" ca="1" si="14"/>
        <v>1.2219258538859338E-2</v>
      </c>
      <c r="AW20" s="33">
        <f t="shared" ca="1" si="15"/>
        <v>1.1660395100871083E-2</v>
      </c>
      <c r="AX20" s="33">
        <f t="shared" ca="1" si="15"/>
        <v>1.3167831881014884E-2</v>
      </c>
      <c r="AY20" s="33">
        <f t="shared" ca="1" si="15"/>
        <v>1.1636288502877339E-2</v>
      </c>
      <c r="AZ20" s="33">
        <f t="shared" ca="1" si="15"/>
        <v>1.3370392993768673E-2</v>
      </c>
      <c r="BA20" s="33">
        <f t="shared" ca="1" si="15"/>
        <v>1.1661823642012478E-2</v>
      </c>
      <c r="BB20" s="33">
        <f t="shared" ca="1" si="15"/>
        <v>1.0472473483481518E-2</v>
      </c>
      <c r="BC20" s="33">
        <f t="shared" ca="1" si="15"/>
        <v>1.124155525485533E-2</v>
      </c>
      <c r="BD20" s="33">
        <f t="shared" ca="1" si="15"/>
        <v>1.3294450924200459E-2</v>
      </c>
      <c r="BE20" s="33">
        <f t="shared" ca="1" si="15"/>
        <v>9.9899328603644793E-3</v>
      </c>
      <c r="BF20" s="33">
        <f t="shared" ca="1" si="15"/>
        <v>1.0553654216385489E-2</v>
      </c>
      <c r="BG20" s="33">
        <f t="shared" ca="1" si="16"/>
        <v>1.1474574499374536E-2</v>
      </c>
      <c r="BH20" s="33">
        <f t="shared" ca="1" si="16"/>
        <v>9.7446701069722457E-3</v>
      </c>
      <c r="BI20" s="33">
        <f t="shared" ca="1" si="16"/>
        <v>1.021744305083108E-2</v>
      </c>
      <c r="BJ20" s="33">
        <f t="shared" ca="1" si="16"/>
        <v>9.0538729414275463E-3</v>
      </c>
      <c r="BK20" s="33">
        <f t="shared" ca="1" si="16"/>
        <v>1.2882978376014523E-2</v>
      </c>
      <c r="BL20" s="33">
        <f t="shared" ca="1" si="16"/>
        <v>1.1089416244349818E-2</v>
      </c>
      <c r="BM20" s="33">
        <f t="shared" ca="1" si="16"/>
        <v>1.417467799641384E-2</v>
      </c>
      <c r="BN20" s="33">
        <f t="shared" ca="1" si="16"/>
        <v>8.3660977124672374E-3</v>
      </c>
      <c r="BO20" s="33">
        <f t="shared" ca="1" si="16"/>
        <v>1.1650106385075871E-2</v>
      </c>
      <c r="BP20" s="33">
        <f t="shared" ca="1" si="16"/>
        <v>1.1515581102670626E-2</v>
      </c>
      <c r="BQ20" s="33">
        <f t="shared" ca="1" si="17"/>
        <v>9.5315868295786938E-3</v>
      </c>
      <c r="BR20" s="33">
        <f t="shared" ca="1" si="17"/>
        <v>1.0320640101144432E-2</v>
      </c>
      <c r="BS20" s="33">
        <f t="shared" ca="1" si="17"/>
        <v>1.0044228518428587E-2</v>
      </c>
      <c r="BT20" s="33">
        <f t="shared" ca="1" si="17"/>
        <v>1.0170833356857017E-2</v>
      </c>
      <c r="BU20" s="33">
        <f t="shared" ca="1" si="17"/>
        <v>1.1557440389902016E-2</v>
      </c>
      <c r="BV20" s="33">
        <f t="shared" ca="1" si="17"/>
        <v>1.1344360940261268E-2</v>
      </c>
      <c r="BW20" s="33">
        <f t="shared" ca="1" si="17"/>
        <v>1.2348277619587286E-2</v>
      </c>
      <c r="BX20" s="33">
        <f t="shared" ca="1" si="17"/>
        <v>1.1871160467439759E-2</v>
      </c>
      <c r="BY20" s="33">
        <f t="shared" ca="1" si="17"/>
        <v>9.543978508296776E-3</v>
      </c>
      <c r="BZ20" s="33">
        <f t="shared" ca="1" si="17"/>
        <v>1.1882647075163165E-2</v>
      </c>
      <c r="CA20" s="33">
        <f t="shared" ca="1" si="18"/>
        <v>1.0180652501895213E-2</v>
      </c>
      <c r="CB20" s="33">
        <f t="shared" ca="1" si="18"/>
        <v>9.7223553745541588E-3</v>
      </c>
      <c r="CC20" s="33">
        <f t="shared" ca="1" si="18"/>
        <v>1.1794343308094302E-2</v>
      </c>
      <c r="CD20" s="33">
        <f t="shared" ca="1" si="18"/>
        <v>1.0387796449409879E-2</v>
      </c>
      <c r="CE20" s="33">
        <f t="shared" ca="1" si="18"/>
        <v>1.2649056501285356E-2</v>
      </c>
      <c r="CF20" s="33">
        <f t="shared" ca="1" si="18"/>
        <v>8.1895211005821675E-3</v>
      </c>
      <c r="CG20" s="33">
        <f t="shared" ca="1" si="18"/>
        <v>1.3650829196319443E-2</v>
      </c>
      <c r="CH20" s="33">
        <f t="shared" ca="1" si="18"/>
        <v>1.1093300383404564E-2</v>
      </c>
      <c r="CI20" s="33">
        <f t="shared" ca="1" si="18"/>
        <v>1.1231786120232635E-2</v>
      </c>
      <c r="CJ20" s="33">
        <f t="shared" ca="1" si="18"/>
        <v>1.1116464054129296E-2</v>
      </c>
      <c r="CK20" s="33">
        <f t="shared" ca="1" si="19"/>
        <v>1.1980151571195644E-2</v>
      </c>
      <c r="CL20" s="33">
        <f t="shared" ca="1" si="19"/>
        <v>1.2215138633695888E-2</v>
      </c>
      <c r="CM20" s="33">
        <f t="shared" ca="1" si="19"/>
        <v>1.1553084736441616E-2</v>
      </c>
      <c r="CN20" s="33">
        <f t="shared" ca="1" si="19"/>
        <v>1.135185747492139E-2</v>
      </c>
      <c r="CO20" s="33">
        <f t="shared" ca="1" si="19"/>
        <v>1.2783403063198393E-2</v>
      </c>
      <c r="CP20" s="33">
        <f t="shared" ca="1" si="19"/>
        <v>1.0849811827417115E-2</v>
      </c>
      <c r="CQ20" s="33">
        <f t="shared" ca="1" si="19"/>
        <v>9.5679747211575919E-3</v>
      </c>
      <c r="CR20" s="33">
        <f t="shared" ca="1" si="19"/>
        <v>1.0475585291574854E-2</v>
      </c>
      <c r="CS20" s="33">
        <f t="shared" ca="1" si="19"/>
        <v>9.3038092482592497E-3</v>
      </c>
      <c r="CT20" s="33">
        <f t="shared" ca="1" si="19"/>
        <v>9.6714928663341922E-3</v>
      </c>
      <c r="CU20" s="33">
        <f t="shared" ca="1" si="20"/>
        <v>1.3588599262815464E-2</v>
      </c>
      <c r="CV20" s="33">
        <f t="shared" ca="1" si="20"/>
        <v>1.2110172203795205E-2</v>
      </c>
      <c r="CW20" s="33">
        <f t="shared" ca="1" si="20"/>
        <v>1.3105384742605006E-2</v>
      </c>
      <c r="CX20" s="33">
        <f t="shared" ca="1" si="20"/>
        <v>1.0561349254760297E-2</v>
      </c>
      <c r="CY20" s="33">
        <f t="shared" ca="1" si="20"/>
        <v>1.2448032604130115E-2</v>
      </c>
      <c r="CZ20" s="33">
        <f t="shared" ca="1" si="20"/>
        <v>1.2099445451595768E-2</v>
      </c>
      <c r="DA20" s="33">
        <f t="shared" ca="1" si="20"/>
        <v>1.4730786851743257E-2</v>
      </c>
      <c r="DB20" s="33">
        <f t="shared" ca="1" si="20"/>
        <v>1.1307855884181463E-2</v>
      </c>
      <c r="DC20" s="33">
        <f t="shared" ca="1" si="20"/>
        <v>1.0366850370209695E-2</v>
      </c>
      <c r="DD20" s="33">
        <f t="shared" ca="1" si="20"/>
        <v>1.1682592220837113E-2</v>
      </c>
      <c r="DE20" s="33">
        <f t="shared" ca="1" si="21"/>
        <v>9.3926324031535901E-3</v>
      </c>
      <c r="DF20" s="33">
        <f t="shared" ca="1" si="21"/>
        <v>1.0536271310406947E-2</v>
      </c>
      <c r="DG20" s="33">
        <f t="shared" ca="1" si="21"/>
        <v>1.2320996371390131E-2</v>
      </c>
      <c r="DH20" s="33">
        <f t="shared" ca="1" si="21"/>
        <v>1.0601392544981197E-2</v>
      </c>
      <c r="DI20" s="33">
        <f t="shared" ca="1" si="21"/>
        <v>1.2499546363381792E-2</v>
      </c>
      <c r="DJ20" s="33">
        <f t="shared" ca="1" si="21"/>
        <v>1.1402491592030889E-2</v>
      </c>
      <c r="DK20" s="33">
        <f t="shared" ca="1" si="21"/>
        <v>1.0810993302472482E-2</v>
      </c>
      <c r="DL20" s="33">
        <f t="shared" ca="1" si="21"/>
        <v>1.206052168304856E-2</v>
      </c>
      <c r="DM20" s="33">
        <f t="shared" ca="1" si="21"/>
        <v>1.102917751456042E-2</v>
      </c>
      <c r="DN20" s="33">
        <f t="shared" ca="1" si="21"/>
        <v>1.0445098101932533E-2</v>
      </c>
      <c r="DO20" s="12"/>
      <c r="DP20" s="12"/>
      <c r="DQ20" s="12"/>
    </row>
    <row r="21" spans="1:121" x14ac:dyDescent="0.2">
      <c r="I21" s="32">
        <v>45047</v>
      </c>
      <c r="J21" s="33">
        <f t="shared" ca="1" si="0"/>
        <v>1.2279698294336571E-2</v>
      </c>
      <c r="K21" s="9">
        <v>1950</v>
      </c>
      <c r="L21" s="9">
        <f t="shared" ca="1" si="11"/>
        <v>33045.614404814638</v>
      </c>
      <c r="N21" s="6">
        <v>17</v>
      </c>
      <c r="O21" s="5">
        <v>4.0635770151751895</v>
      </c>
      <c r="P21" s="9">
        <v>700402.84143848508</v>
      </c>
      <c r="R21" s="32">
        <v>45047</v>
      </c>
      <c r="S21" s="33">
        <f t="shared" ca="1" si="12"/>
        <v>1.1281691839930566E-2</v>
      </c>
      <c r="T21" s="33">
        <f t="shared" ca="1" si="12"/>
        <v>1.2387472685939692E-2</v>
      </c>
      <c r="U21" s="33">
        <f t="shared" ca="1" si="12"/>
        <v>9.8853042639683655E-3</v>
      </c>
      <c r="V21" s="33">
        <f t="shared" ca="1" si="12"/>
        <v>1.2759799487492044E-2</v>
      </c>
      <c r="W21" s="33">
        <f t="shared" ca="1" si="12"/>
        <v>1.0592101327456173E-2</v>
      </c>
      <c r="X21" s="33">
        <f t="shared" ca="1" si="12"/>
        <v>1.3300244529212694E-2</v>
      </c>
      <c r="Y21" s="33">
        <f t="shared" ca="1" si="12"/>
        <v>1.1114872556270472E-2</v>
      </c>
      <c r="Z21" s="33">
        <f t="shared" ca="1" si="12"/>
        <v>1.238457058878187E-2</v>
      </c>
      <c r="AA21" s="33">
        <f t="shared" ca="1" si="12"/>
        <v>9.5816781763950979E-3</v>
      </c>
      <c r="AB21" s="33">
        <f t="shared" ca="1" si="12"/>
        <v>1.0438060991904892E-2</v>
      </c>
      <c r="AC21" s="33">
        <f t="shared" ca="1" si="13"/>
        <v>1.0530662430844853E-2</v>
      </c>
      <c r="AD21" s="33">
        <f t="shared" ca="1" si="13"/>
        <v>1.3584538286011938E-2</v>
      </c>
      <c r="AE21" s="33">
        <f t="shared" ca="1" si="13"/>
        <v>1.1183210078550915E-2</v>
      </c>
      <c r="AF21" s="33">
        <f t="shared" ca="1" si="13"/>
        <v>1.3408667029755236E-2</v>
      </c>
      <c r="AG21" s="33">
        <f t="shared" ca="1" si="13"/>
        <v>1.1967838649046198E-2</v>
      </c>
      <c r="AH21" s="33">
        <f t="shared" ca="1" si="13"/>
        <v>1.2872726100554354E-2</v>
      </c>
      <c r="AI21" s="33">
        <f t="shared" ca="1" si="13"/>
        <v>1.3086130764302165E-2</v>
      </c>
      <c r="AJ21" s="33">
        <f t="shared" ca="1" si="13"/>
        <v>1.272527141452255E-2</v>
      </c>
      <c r="AK21" s="33">
        <f t="shared" ca="1" si="13"/>
        <v>1.0817943323137069E-2</v>
      </c>
      <c r="AL21" s="33">
        <f t="shared" ca="1" si="13"/>
        <v>1.0523038041086208E-2</v>
      </c>
      <c r="AM21" s="33">
        <f t="shared" ca="1" si="14"/>
        <v>1.0285492059505042E-2</v>
      </c>
      <c r="AN21" s="33">
        <f t="shared" ca="1" si="14"/>
        <v>1.1538400011940269E-2</v>
      </c>
      <c r="AO21" s="33">
        <f t="shared" ca="1" si="14"/>
        <v>1.1460969970627241E-2</v>
      </c>
      <c r="AP21" s="33">
        <f t="shared" ca="1" si="14"/>
        <v>1.249541564581483E-2</v>
      </c>
      <c r="AQ21" s="33">
        <f t="shared" ca="1" si="14"/>
        <v>1.0384605920011588E-2</v>
      </c>
      <c r="AR21" s="33">
        <f t="shared" ca="1" si="14"/>
        <v>1.1928830175479943E-2</v>
      </c>
      <c r="AS21" s="33">
        <f t="shared" ca="1" si="14"/>
        <v>1.2890688627400518E-2</v>
      </c>
      <c r="AT21" s="33">
        <f t="shared" ca="1" si="14"/>
        <v>1.0559663803994455E-2</v>
      </c>
      <c r="AU21" s="33">
        <f t="shared" ca="1" si="14"/>
        <v>9.1010105698612204E-3</v>
      </c>
      <c r="AV21" s="33">
        <f t="shared" ca="1" si="14"/>
        <v>1.3566983896519084E-2</v>
      </c>
      <c r="AW21" s="33">
        <f t="shared" ca="1" si="15"/>
        <v>1.0268835117294555E-2</v>
      </c>
      <c r="AX21" s="33">
        <f t="shared" ca="1" si="15"/>
        <v>1.0335457687041564E-2</v>
      </c>
      <c r="AY21" s="33">
        <f t="shared" ca="1" si="15"/>
        <v>1.1724753087877288E-2</v>
      </c>
      <c r="AZ21" s="33">
        <f t="shared" ca="1" si="15"/>
        <v>1.195062507680957E-2</v>
      </c>
      <c r="BA21" s="33">
        <f t="shared" ca="1" si="15"/>
        <v>1.1158570377582465E-2</v>
      </c>
      <c r="BB21" s="33">
        <f t="shared" ca="1" si="15"/>
        <v>1.1825570741039786E-2</v>
      </c>
      <c r="BC21" s="33">
        <f t="shared" ca="1" si="15"/>
        <v>1.2044276441081076E-2</v>
      </c>
      <c r="BD21" s="33">
        <f t="shared" ca="1" si="15"/>
        <v>1.1444002928779619E-2</v>
      </c>
      <c r="BE21" s="33">
        <f t="shared" ca="1" si="15"/>
        <v>1.1191936209003843E-2</v>
      </c>
      <c r="BF21" s="33">
        <f t="shared" ca="1" si="15"/>
        <v>1.2575460374904654E-2</v>
      </c>
      <c r="BG21" s="33">
        <f t="shared" ca="1" si="16"/>
        <v>1.0670614828466582E-2</v>
      </c>
      <c r="BH21" s="33">
        <f t="shared" ca="1" si="16"/>
        <v>1.0774179892063885E-2</v>
      </c>
      <c r="BI21" s="33">
        <f t="shared" ca="1" si="16"/>
        <v>1.1212636069930644E-2</v>
      </c>
      <c r="BJ21" s="33">
        <f t="shared" ca="1" si="16"/>
        <v>1.0241589275746541E-2</v>
      </c>
      <c r="BK21" s="33">
        <f t="shared" ca="1" si="16"/>
        <v>1.026194148743487E-2</v>
      </c>
      <c r="BL21" s="33">
        <f t="shared" ca="1" si="16"/>
        <v>1.1130059475354387E-2</v>
      </c>
      <c r="BM21" s="33">
        <f t="shared" ca="1" si="16"/>
        <v>9.8852645213272465E-3</v>
      </c>
      <c r="BN21" s="33">
        <f t="shared" ca="1" si="16"/>
        <v>1.4116327557732169E-2</v>
      </c>
      <c r="BO21" s="33">
        <f t="shared" ca="1" si="16"/>
        <v>1.1171058795782368E-2</v>
      </c>
      <c r="BP21" s="33">
        <f t="shared" ca="1" si="16"/>
        <v>1.1357225561407518E-2</v>
      </c>
      <c r="BQ21" s="33">
        <f t="shared" ca="1" si="17"/>
        <v>1.1521656315314469E-2</v>
      </c>
      <c r="BR21" s="33">
        <f t="shared" ca="1" si="17"/>
        <v>1.2056983556399567E-2</v>
      </c>
      <c r="BS21" s="33">
        <f t="shared" ca="1" si="17"/>
        <v>8.5978601823471935E-3</v>
      </c>
      <c r="BT21" s="33">
        <f t="shared" ca="1" si="17"/>
        <v>1.2681472675222457E-2</v>
      </c>
      <c r="BU21" s="33">
        <f t="shared" ca="1" si="17"/>
        <v>1.1274109563243815E-2</v>
      </c>
      <c r="BV21" s="33">
        <f t="shared" ca="1" si="17"/>
        <v>1.3786264568105996E-2</v>
      </c>
      <c r="BW21" s="33">
        <f t="shared" ca="1" si="17"/>
        <v>1.1712487107113367E-2</v>
      </c>
      <c r="BX21" s="33">
        <f t="shared" ca="1" si="17"/>
        <v>9.3844225260962359E-3</v>
      </c>
      <c r="BY21" s="33">
        <f t="shared" ca="1" si="17"/>
        <v>1.0001463068481407E-2</v>
      </c>
      <c r="BZ21" s="33">
        <f t="shared" ca="1" si="17"/>
        <v>1.1095434489365312E-2</v>
      </c>
      <c r="CA21" s="33">
        <f t="shared" ca="1" si="18"/>
        <v>1.2209368417129551E-2</v>
      </c>
      <c r="CB21" s="33">
        <f t="shared" ca="1" si="18"/>
        <v>1.1316120036249547E-2</v>
      </c>
      <c r="CC21" s="33">
        <f t="shared" ca="1" si="18"/>
        <v>9.60349615380157E-3</v>
      </c>
      <c r="CD21" s="33">
        <f t="shared" ca="1" si="18"/>
        <v>1.3140830045345586E-2</v>
      </c>
      <c r="CE21" s="33">
        <f t="shared" ca="1" si="18"/>
        <v>1.0431121218169475E-2</v>
      </c>
      <c r="CF21" s="33">
        <f t="shared" ca="1" si="18"/>
        <v>1.1187532039767967E-2</v>
      </c>
      <c r="CG21" s="33">
        <f t="shared" ca="1" si="18"/>
        <v>9.4008776608270391E-3</v>
      </c>
      <c r="CH21" s="33">
        <f t="shared" ca="1" si="18"/>
        <v>1.413247701565901E-2</v>
      </c>
      <c r="CI21" s="33">
        <f t="shared" ca="1" si="18"/>
        <v>9.3982829347606482E-3</v>
      </c>
      <c r="CJ21" s="33">
        <f t="shared" ca="1" si="18"/>
        <v>1.3249561670032824E-2</v>
      </c>
      <c r="CK21" s="33">
        <f t="shared" ca="1" si="19"/>
        <v>8.4052657617415209E-3</v>
      </c>
      <c r="CL21" s="33">
        <f t="shared" ca="1" si="19"/>
        <v>9.7450448045986564E-3</v>
      </c>
      <c r="CM21" s="33">
        <f t="shared" ca="1" si="19"/>
        <v>1.0795907721954762E-2</v>
      </c>
      <c r="CN21" s="33">
        <f t="shared" ca="1" si="19"/>
        <v>9.3212529031171908E-3</v>
      </c>
      <c r="CO21" s="33">
        <f t="shared" ca="1" si="19"/>
        <v>1.2149506068359638E-2</v>
      </c>
      <c r="CP21" s="33">
        <f t="shared" ca="1" si="19"/>
        <v>1.2005868896136666E-2</v>
      </c>
      <c r="CQ21" s="33">
        <f t="shared" ca="1" si="19"/>
        <v>1.1862341585056118E-2</v>
      </c>
      <c r="CR21" s="33">
        <f t="shared" ca="1" si="19"/>
        <v>1.122005799997541E-2</v>
      </c>
      <c r="CS21" s="33">
        <f t="shared" ca="1" si="19"/>
        <v>1.0007727795243476E-2</v>
      </c>
      <c r="CT21" s="33">
        <f t="shared" ca="1" si="19"/>
        <v>9.2070912669774494E-3</v>
      </c>
      <c r="CU21" s="33">
        <f t="shared" ca="1" si="20"/>
        <v>1.2958792393959664E-2</v>
      </c>
      <c r="CV21" s="33">
        <f t="shared" ca="1" si="20"/>
        <v>1.0631911108044016E-2</v>
      </c>
      <c r="CW21" s="33">
        <f t="shared" ca="1" si="20"/>
        <v>1.0469972245650251E-2</v>
      </c>
      <c r="CX21" s="33">
        <f t="shared" ca="1" si="20"/>
        <v>1.254800905144373E-2</v>
      </c>
      <c r="CY21" s="33">
        <f t="shared" ca="1" si="20"/>
        <v>9.4683386516485404E-3</v>
      </c>
      <c r="CZ21" s="33">
        <f t="shared" ca="1" si="20"/>
        <v>1.0634755946578183E-2</v>
      </c>
      <c r="DA21" s="33">
        <f t="shared" ca="1" si="20"/>
        <v>1.0436439384165467E-2</v>
      </c>
      <c r="DB21" s="33">
        <f t="shared" ca="1" si="20"/>
        <v>1.0044173920672235E-2</v>
      </c>
      <c r="DC21" s="33">
        <f t="shared" ca="1" si="20"/>
        <v>1.2232589141080087E-2</v>
      </c>
      <c r="DD21" s="33">
        <f t="shared" ca="1" si="20"/>
        <v>1.1904522510632553E-2</v>
      </c>
      <c r="DE21" s="33">
        <f t="shared" ca="1" si="21"/>
        <v>9.6912169548050136E-3</v>
      </c>
      <c r="DF21" s="33">
        <f t="shared" ca="1" si="21"/>
        <v>1.0924007187706967E-2</v>
      </c>
      <c r="DG21" s="33">
        <f t="shared" ca="1" si="21"/>
        <v>1.1562865052482345E-2</v>
      </c>
      <c r="DH21" s="33">
        <f t="shared" ca="1" si="21"/>
        <v>8.4416335596985345E-3</v>
      </c>
      <c r="DI21" s="33">
        <f t="shared" ca="1" si="21"/>
        <v>9.042546489476954E-3</v>
      </c>
      <c r="DJ21" s="33">
        <f t="shared" ca="1" si="21"/>
        <v>1.0129457979432396E-2</v>
      </c>
      <c r="DK21" s="33">
        <f t="shared" ca="1" si="21"/>
        <v>1.0440581376156883E-2</v>
      </c>
      <c r="DL21" s="33">
        <f t="shared" ca="1" si="21"/>
        <v>1.0049968618354988E-2</v>
      </c>
      <c r="DM21" s="33">
        <f t="shared" ca="1" si="21"/>
        <v>1.2874870506141188E-2</v>
      </c>
      <c r="DN21" s="33">
        <f t="shared" ca="1" si="21"/>
        <v>9.5692756089289545E-3</v>
      </c>
      <c r="DO21" s="12"/>
      <c r="DP21" s="12"/>
      <c r="DQ21" s="12"/>
    </row>
    <row r="22" spans="1:121" x14ac:dyDescent="0.2">
      <c r="I22" s="32">
        <v>45078</v>
      </c>
      <c r="J22" s="33">
        <f t="shared" ca="1" si="0"/>
        <v>1.2088577756359567E-2</v>
      </c>
      <c r="K22" s="9">
        <v>1950</v>
      </c>
      <c r="L22" s="9">
        <f t="shared" ca="1" si="11"/>
        <v>35397.513182129027</v>
      </c>
      <c r="N22" s="6">
        <v>18</v>
      </c>
      <c r="O22" s="5">
        <v>3.861206345669177</v>
      </c>
      <c r="P22" s="9">
        <v>679201.91046034463</v>
      </c>
      <c r="R22" s="32">
        <v>45078</v>
      </c>
      <c r="S22" s="33">
        <f t="shared" ca="1" si="12"/>
        <v>1.1799727837293335E-2</v>
      </c>
      <c r="T22" s="33">
        <f t="shared" ca="1" si="12"/>
        <v>1.0771349658716817E-2</v>
      </c>
      <c r="U22" s="33">
        <f t="shared" ca="1" si="12"/>
        <v>9.3071607376108978E-3</v>
      </c>
      <c r="V22" s="33">
        <f t="shared" ca="1" si="12"/>
        <v>9.2388961994039828E-3</v>
      </c>
      <c r="W22" s="33">
        <f t="shared" ca="1" si="12"/>
        <v>1.0672927560466471E-2</v>
      </c>
      <c r="X22" s="33">
        <f t="shared" ca="1" si="12"/>
        <v>1.1742183153413348E-2</v>
      </c>
      <c r="Y22" s="33">
        <f t="shared" ca="1" si="12"/>
        <v>1.314738969507788E-2</v>
      </c>
      <c r="Z22" s="33">
        <f t="shared" ca="1" si="12"/>
        <v>1.0383139959203464E-2</v>
      </c>
      <c r="AA22" s="33">
        <f t="shared" ca="1" si="12"/>
        <v>9.4560503878576979E-3</v>
      </c>
      <c r="AB22" s="33">
        <f t="shared" ca="1" si="12"/>
        <v>1.0100665034877797E-2</v>
      </c>
      <c r="AC22" s="33">
        <f t="shared" ca="1" si="13"/>
        <v>9.3389388561994496E-3</v>
      </c>
      <c r="AD22" s="33">
        <f t="shared" ca="1" si="13"/>
        <v>1.1544672189507598E-2</v>
      </c>
      <c r="AE22" s="33">
        <f t="shared" ca="1" si="13"/>
        <v>1.2092149593118266E-2</v>
      </c>
      <c r="AF22" s="33">
        <f t="shared" ca="1" si="13"/>
        <v>1.0452051636375224E-2</v>
      </c>
      <c r="AG22" s="33">
        <f t="shared" ca="1" si="13"/>
        <v>1.2773563663247351E-2</v>
      </c>
      <c r="AH22" s="33">
        <f t="shared" ca="1" si="13"/>
        <v>1.050878043165685E-2</v>
      </c>
      <c r="AI22" s="33">
        <f t="shared" ca="1" si="13"/>
        <v>1.3145689349502884E-2</v>
      </c>
      <c r="AJ22" s="33">
        <f t="shared" ca="1" si="13"/>
        <v>1.4534902624082816E-2</v>
      </c>
      <c r="AK22" s="33">
        <f t="shared" ca="1" si="13"/>
        <v>1.1282087008995993E-2</v>
      </c>
      <c r="AL22" s="33">
        <f t="shared" ca="1" si="13"/>
        <v>1.2988085637932299E-2</v>
      </c>
      <c r="AM22" s="33">
        <f t="shared" ca="1" si="14"/>
        <v>1.2368281575840207E-2</v>
      </c>
      <c r="AN22" s="33">
        <f t="shared" ca="1" si="14"/>
        <v>8.1456554866130969E-3</v>
      </c>
      <c r="AO22" s="33">
        <f t="shared" ca="1" si="14"/>
        <v>1.3218613798700197E-2</v>
      </c>
      <c r="AP22" s="33">
        <f t="shared" ca="1" si="14"/>
        <v>1.4397885088140935E-2</v>
      </c>
      <c r="AQ22" s="33">
        <f t="shared" ca="1" si="14"/>
        <v>1.3606188841374097E-2</v>
      </c>
      <c r="AR22" s="33">
        <f t="shared" ca="1" si="14"/>
        <v>1.2855505970626256E-2</v>
      </c>
      <c r="AS22" s="33">
        <f t="shared" ca="1" si="14"/>
        <v>1.0808335013698264E-2</v>
      </c>
      <c r="AT22" s="33">
        <f t="shared" ca="1" si="14"/>
        <v>1.1611817545983925E-2</v>
      </c>
      <c r="AU22" s="33">
        <f t="shared" ca="1" si="14"/>
        <v>8.8412971229069916E-3</v>
      </c>
      <c r="AV22" s="33">
        <f t="shared" ca="1" si="14"/>
        <v>1.0648949038483476E-2</v>
      </c>
      <c r="AW22" s="33">
        <f t="shared" ca="1" si="15"/>
        <v>1.0734962426257551E-2</v>
      </c>
      <c r="AX22" s="33">
        <f t="shared" ca="1" si="15"/>
        <v>1.1647005775365054E-2</v>
      </c>
      <c r="AY22" s="33">
        <f t="shared" ca="1" si="15"/>
        <v>8.3539669733365251E-3</v>
      </c>
      <c r="AZ22" s="33">
        <f t="shared" ca="1" si="15"/>
        <v>1.0283384919596504E-2</v>
      </c>
      <c r="BA22" s="33">
        <f t="shared" ca="1" si="15"/>
        <v>1.1317846708727637E-2</v>
      </c>
      <c r="BB22" s="33">
        <f t="shared" ca="1" si="15"/>
        <v>1.1707326285328636E-2</v>
      </c>
      <c r="BC22" s="33">
        <f t="shared" ca="1" si="15"/>
        <v>1.046000681217278E-2</v>
      </c>
      <c r="BD22" s="33">
        <f t="shared" ca="1" si="15"/>
        <v>1.0696070733679444E-2</v>
      </c>
      <c r="BE22" s="33">
        <f t="shared" ca="1" si="15"/>
        <v>1.2763923798098997E-2</v>
      </c>
      <c r="BF22" s="33">
        <f t="shared" ca="1" si="15"/>
        <v>1.4008244085163695E-2</v>
      </c>
      <c r="BG22" s="33">
        <f t="shared" ca="1" si="16"/>
        <v>1.0640502255567841E-2</v>
      </c>
      <c r="BH22" s="33">
        <f t="shared" ca="1" si="16"/>
        <v>8.3159438314763089E-3</v>
      </c>
      <c r="BI22" s="33">
        <f t="shared" ca="1" si="16"/>
        <v>1.2103922525272823E-2</v>
      </c>
      <c r="BJ22" s="33">
        <f t="shared" ca="1" si="16"/>
        <v>1.0592216999042042E-2</v>
      </c>
      <c r="BK22" s="33">
        <f t="shared" ca="1" si="16"/>
        <v>9.6465817919377805E-3</v>
      </c>
      <c r="BL22" s="33">
        <f t="shared" ca="1" si="16"/>
        <v>1.2468656295051998E-2</v>
      </c>
      <c r="BM22" s="33">
        <f t="shared" ca="1" si="16"/>
        <v>1.0093242719775901E-2</v>
      </c>
      <c r="BN22" s="33">
        <f t="shared" ca="1" si="16"/>
        <v>8.2247454685683216E-3</v>
      </c>
      <c r="BO22" s="33">
        <f t="shared" ca="1" si="16"/>
        <v>1.3110779945063903E-2</v>
      </c>
      <c r="BP22" s="33">
        <f t="shared" ca="1" si="16"/>
        <v>1.1858331244983296E-2</v>
      </c>
      <c r="BQ22" s="33">
        <f t="shared" ca="1" si="17"/>
        <v>1.0558283299969939E-2</v>
      </c>
      <c r="BR22" s="33">
        <f t="shared" ca="1" si="17"/>
        <v>1.1215125937718468E-2</v>
      </c>
      <c r="BS22" s="33">
        <f t="shared" ca="1" si="17"/>
        <v>1.1332842767654391E-2</v>
      </c>
      <c r="BT22" s="33">
        <f t="shared" ca="1" si="17"/>
        <v>1.445082219492921E-2</v>
      </c>
      <c r="BU22" s="33">
        <f t="shared" ca="1" si="17"/>
        <v>1.3068825922757646E-2</v>
      </c>
      <c r="BV22" s="33">
        <f t="shared" ca="1" si="17"/>
        <v>1.2584073572811307E-2</v>
      </c>
      <c r="BW22" s="33">
        <f t="shared" ca="1" si="17"/>
        <v>1.2271189613934582E-2</v>
      </c>
      <c r="BX22" s="33">
        <f t="shared" ca="1" si="17"/>
        <v>1.1404714645021208E-2</v>
      </c>
      <c r="BY22" s="33">
        <f t="shared" ca="1" si="17"/>
        <v>1.0724025263590066E-2</v>
      </c>
      <c r="BZ22" s="33">
        <f t="shared" ca="1" si="17"/>
        <v>1.1696034943036344E-2</v>
      </c>
      <c r="CA22" s="33">
        <f t="shared" ca="1" si="18"/>
        <v>1.0708941688693784E-2</v>
      </c>
      <c r="CB22" s="33">
        <f t="shared" ca="1" si="18"/>
        <v>1.1051306233156585E-2</v>
      </c>
      <c r="CC22" s="33">
        <f t="shared" ca="1" si="18"/>
        <v>1.116970839399398E-2</v>
      </c>
      <c r="CD22" s="33">
        <f t="shared" ca="1" si="18"/>
        <v>1.1778621119695278E-2</v>
      </c>
      <c r="CE22" s="33">
        <f t="shared" ca="1" si="18"/>
        <v>1.2157460711115889E-2</v>
      </c>
      <c r="CF22" s="33">
        <f t="shared" ca="1" si="18"/>
        <v>9.0489437965914597E-3</v>
      </c>
      <c r="CG22" s="33">
        <f t="shared" ca="1" si="18"/>
        <v>1.0445726539027748E-2</v>
      </c>
      <c r="CH22" s="33">
        <f t="shared" ca="1" si="18"/>
        <v>1.3115407045619731E-2</v>
      </c>
      <c r="CI22" s="33">
        <f t="shared" ca="1" si="18"/>
        <v>1.289163655129604E-2</v>
      </c>
      <c r="CJ22" s="33">
        <f t="shared" ca="1" si="18"/>
        <v>1.1414680171927392E-2</v>
      </c>
      <c r="CK22" s="33">
        <f t="shared" ca="1" si="19"/>
        <v>1.3109802373838238E-2</v>
      </c>
      <c r="CL22" s="33">
        <f t="shared" ca="1" si="19"/>
        <v>1.1121789540555229E-2</v>
      </c>
      <c r="CM22" s="33">
        <f t="shared" ca="1" si="19"/>
        <v>1.3402864988570405E-2</v>
      </c>
      <c r="CN22" s="33">
        <f t="shared" ca="1" si="19"/>
        <v>1.1897242928711825E-2</v>
      </c>
      <c r="CO22" s="33">
        <f t="shared" ca="1" si="19"/>
        <v>1.4825896042352148E-2</v>
      </c>
      <c r="CP22" s="33">
        <f t="shared" ca="1" si="19"/>
        <v>1.2310735023913211E-2</v>
      </c>
      <c r="CQ22" s="33">
        <f t="shared" ca="1" si="19"/>
        <v>1.1695569464081004E-2</v>
      </c>
      <c r="CR22" s="33">
        <f t="shared" ca="1" si="19"/>
        <v>1.2826431448924567E-2</v>
      </c>
      <c r="CS22" s="33">
        <f t="shared" ca="1" si="19"/>
        <v>1.1721225426931723E-2</v>
      </c>
      <c r="CT22" s="33">
        <f t="shared" ca="1" si="19"/>
        <v>1.2336811598948288E-2</v>
      </c>
      <c r="CU22" s="33">
        <f t="shared" ca="1" si="20"/>
        <v>1.0225043641537236E-2</v>
      </c>
      <c r="CV22" s="33">
        <f t="shared" ca="1" si="20"/>
        <v>1.1724814934758805E-2</v>
      </c>
      <c r="CW22" s="33">
        <f t="shared" ca="1" si="20"/>
        <v>1.1668074602675256E-2</v>
      </c>
      <c r="CX22" s="33">
        <f t="shared" ca="1" si="20"/>
        <v>1.0161434895549515E-2</v>
      </c>
      <c r="CY22" s="33">
        <f t="shared" ca="1" si="20"/>
        <v>9.8434034163095586E-3</v>
      </c>
      <c r="CZ22" s="33">
        <f t="shared" ca="1" si="20"/>
        <v>1.2118858477685993E-2</v>
      </c>
      <c r="DA22" s="33">
        <f t="shared" ca="1" si="20"/>
        <v>1.0773176783905256E-2</v>
      </c>
      <c r="DB22" s="33">
        <f t="shared" ca="1" si="20"/>
        <v>1.1141405930336547E-2</v>
      </c>
      <c r="DC22" s="33">
        <f t="shared" ca="1" si="20"/>
        <v>7.8213480949860994E-3</v>
      </c>
      <c r="DD22" s="33">
        <f t="shared" ca="1" si="20"/>
        <v>1.2086179242321967E-2</v>
      </c>
      <c r="DE22" s="33">
        <f t="shared" ca="1" si="21"/>
        <v>1.0251860200636103E-2</v>
      </c>
      <c r="DF22" s="33">
        <f t="shared" ca="1" si="21"/>
        <v>1.0524398886702939E-2</v>
      </c>
      <c r="DG22" s="33">
        <f t="shared" ca="1" si="21"/>
        <v>1.0219396574967749E-2</v>
      </c>
      <c r="DH22" s="33">
        <f t="shared" ca="1" si="21"/>
        <v>1.3510038826283242E-2</v>
      </c>
      <c r="DI22" s="33">
        <f t="shared" ca="1" si="21"/>
        <v>1.1152068525624075E-2</v>
      </c>
      <c r="DJ22" s="33">
        <f t="shared" ca="1" si="21"/>
        <v>1.0629051960439456E-2</v>
      </c>
      <c r="DK22" s="33">
        <f t="shared" ca="1" si="21"/>
        <v>9.4174963189361614E-3</v>
      </c>
      <c r="DL22" s="33">
        <f t="shared" ca="1" si="21"/>
        <v>8.2554224554424582E-3</v>
      </c>
      <c r="DM22" s="33">
        <f t="shared" ca="1" si="21"/>
        <v>9.079892117306693E-3</v>
      </c>
      <c r="DN22" s="33">
        <f t="shared" ca="1" si="21"/>
        <v>1.3485494978117317E-2</v>
      </c>
      <c r="DO22" s="12"/>
      <c r="DP22" s="12"/>
      <c r="DQ22" s="12"/>
    </row>
    <row r="23" spans="1:121" x14ac:dyDescent="0.2">
      <c r="I23" s="32">
        <v>45108</v>
      </c>
      <c r="J23" s="33">
        <f t="shared" ca="1" si="0"/>
        <v>1.0350458005177199E-2</v>
      </c>
      <c r="K23" s="9">
        <v>1950</v>
      </c>
      <c r="L23" s="9">
        <f t="shared" ca="1" si="11"/>
        <v>37715.796317468921</v>
      </c>
      <c r="N23" s="6">
        <v>19</v>
      </c>
      <c r="O23" s="5">
        <v>3.7842007306746739</v>
      </c>
      <c r="P23" s="9">
        <v>678671.72550238087</v>
      </c>
      <c r="R23" s="32">
        <v>45108</v>
      </c>
      <c r="S23" s="33">
        <f t="shared" ca="1" si="12"/>
        <v>1.2027187537677666E-2</v>
      </c>
      <c r="T23" s="33">
        <f t="shared" ca="1" si="12"/>
        <v>1.2000294720317153E-2</v>
      </c>
      <c r="U23" s="33">
        <f t="shared" ca="1" si="12"/>
        <v>9.4796883844747038E-3</v>
      </c>
      <c r="V23" s="33">
        <f t="shared" ca="1" si="12"/>
        <v>9.8468482888279928E-3</v>
      </c>
      <c r="W23" s="33">
        <f t="shared" ca="1" si="12"/>
        <v>1.4423780487273807E-2</v>
      </c>
      <c r="X23" s="33">
        <f t="shared" ca="1" si="12"/>
        <v>1.1289979704037176E-2</v>
      </c>
      <c r="Y23" s="33">
        <f t="shared" ca="1" si="12"/>
        <v>9.9385926476767382E-3</v>
      </c>
      <c r="Z23" s="33">
        <f t="shared" ca="1" si="12"/>
        <v>1.055785410048516E-2</v>
      </c>
      <c r="AA23" s="33">
        <f t="shared" ca="1" si="12"/>
        <v>1.1569497218677154E-2</v>
      </c>
      <c r="AB23" s="33">
        <f t="shared" ca="1" si="12"/>
        <v>1.0743976087439112E-2</v>
      </c>
      <c r="AC23" s="33">
        <f t="shared" ca="1" si="13"/>
        <v>1.1624920891694878E-2</v>
      </c>
      <c r="AD23" s="33">
        <f t="shared" ca="1" si="13"/>
        <v>1.2252947997661542E-2</v>
      </c>
      <c r="AE23" s="33">
        <f t="shared" ca="1" si="13"/>
        <v>1.1503478431902952E-2</v>
      </c>
      <c r="AF23" s="33">
        <f t="shared" ca="1" si="13"/>
        <v>1.1005587351399381E-2</v>
      </c>
      <c r="AG23" s="33">
        <f t="shared" ca="1" si="13"/>
        <v>1.132153389565387E-2</v>
      </c>
      <c r="AH23" s="33">
        <f t="shared" ca="1" si="13"/>
        <v>1.2577111414260208E-2</v>
      </c>
      <c r="AI23" s="33">
        <f t="shared" ca="1" si="13"/>
        <v>1.0870076957528306E-2</v>
      </c>
      <c r="AJ23" s="33">
        <f t="shared" ca="1" si="13"/>
        <v>1.2901459782902075E-2</v>
      </c>
      <c r="AK23" s="33">
        <f t="shared" ca="1" si="13"/>
        <v>1.0359829712570885E-2</v>
      </c>
      <c r="AL23" s="33">
        <f t="shared" ca="1" si="13"/>
        <v>1.2089002563264409E-2</v>
      </c>
      <c r="AM23" s="33">
        <f t="shared" ca="1" si="14"/>
        <v>1.2050474607478592E-2</v>
      </c>
      <c r="AN23" s="33">
        <f t="shared" ca="1" si="14"/>
        <v>1.1105803926160941E-2</v>
      </c>
      <c r="AO23" s="33">
        <f t="shared" ca="1" si="14"/>
        <v>1.180016240289837E-2</v>
      </c>
      <c r="AP23" s="33">
        <f t="shared" ca="1" si="14"/>
        <v>9.5380604048095757E-3</v>
      </c>
      <c r="AQ23" s="33">
        <f t="shared" ca="1" si="14"/>
        <v>1.0169529385898044E-2</v>
      </c>
      <c r="AR23" s="33">
        <f t="shared" ca="1" si="14"/>
        <v>1.0106029367109902E-2</v>
      </c>
      <c r="AS23" s="33">
        <f t="shared" ca="1" si="14"/>
        <v>1.0117643995169323E-2</v>
      </c>
      <c r="AT23" s="33">
        <f t="shared" ca="1" si="14"/>
        <v>1.2763335155116098E-2</v>
      </c>
      <c r="AU23" s="33">
        <f t="shared" ca="1" si="14"/>
        <v>9.8979511803692459E-3</v>
      </c>
      <c r="AV23" s="33">
        <f t="shared" ca="1" si="14"/>
        <v>1.2667794453942689E-2</v>
      </c>
      <c r="AW23" s="33">
        <f t="shared" ca="1" si="15"/>
        <v>1.3261838548194519E-2</v>
      </c>
      <c r="AX23" s="33">
        <f t="shared" ca="1" si="15"/>
        <v>1.1896409259819671E-2</v>
      </c>
      <c r="AY23" s="33">
        <f t="shared" ca="1" si="15"/>
        <v>1.0323561439551659E-2</v>
      </c>
      <c r="AZ23" s="33">
        <f t="shared" ca="1" si="15"/>
        <v>1.0892643152154498E-2</v>
      </c>
      <c r="BA23" s="33">
        <f t="shared" ca="1" si="15"/>
        <v>1.1769809437157441E-2</v>
      </c>
      <c r="BB23" s="33">
        <f t="shared" ca="1" si="15"/>
        <v>1.0076989036770711E-2</v>
      </c>
      <c r="BC23" s="33">
        <f t="shared" ca="1" si="15"/>
        <v>1.0905516119867511E-2</v>
      </c>
      <c r="BD23" s="33">
        <f t="shared" ca="1" si="15"/>
        <v>1.0582740504821556E-2</v>
      </c>
      <c r="BE23" s="33">
        <f t="shared" ca="1" si="15"/>
        <v>9.9609817160978484E-3</v>
      </c>
      <c r="BF23" s="33">
        <f t="shared" ca="1" si="15"/>
        <v>1.2115441622488806E-2</v>
      </c>
      <c r="BG23" s="33">
        <f t="shared" ca="1" si="16"/>
        <v>1.3252718856211732E-2</v>
      </c>
      <c r="BH23" s="33">
        <f t="shared" ca="1" si="16"/>
        <v>1.1012264273463232E-2</v>
      </c>
      <c r="BI23" s="33">
        <f t="shared" ca="1" si="16"/>
        <v>1.0952621686462572E-2</v>
      </c>
      <c r="BJ23" s="33">
        <f t="shared" ca="1" si="16"/>
        <v>1.1317317123652873E-2</v>
      </c>
      <c r="BK23" s="33">
        <f t="shared" ca="1" si="16"/>
        <v>1.027963257533414E-2</v>
      </c>
      <c r="BL23" s="33">
        <f t="shared" ca="1" si="16"/>
        <v>1.1521630652140348E-2</v>
      </c>
      <c r="BM23" s="33">
        <f t="shared" ca="1" si="16"/>
        <v>1.216114359800983E-2</v>
      </c>
      <c r="BN23" s="33">
        <f t="shared" ca="1" si="16"/>
        <v>9.4688571198960764E-3</v>
      </c>
      <c r="BO23" s="33">
        <f t="shared" ca="1" si="16"/>
        <v>1.425301168287367E-2</v>
      </c>
      <c r="BP23" s="33">
        <f t="shared" ca="1" si="16"/>
        <v>9.3068284799392702E-3</v>
      </c>
      <c r="BQ23" s="33">
        <f t="shared" ca="1" si="17"/>
        <v>1.1390415539153896E-2</v>
      </c>
      <c r="BR23" s="33">
        <f t="shared" ca="1" si="17"/>
        <v>1.2723718526105507E-2</v>
      </c>
      <c r="BS23" s="33">
        <f t="shared" ca="1" si="17"/>
        <v>1.2074300093086795E-2</v>
      </c>
      <c r="BT23" s="33">
        <f t="shared" ca="1" si="17"/>
        <v>1.3474178787162236E-2</v>
      </c>
      <c r="BU23" s="33">
        <f t="shared" ca="1" si="17"/>
        <v>1.1215428179138591E-2</v>
      </c>
      <c r="BV23" s="33">
        <f t="shared" ca="1" si="17"/>
        <v>1.1721960376930386E-2</v>
      </c>
      <c r="BW23" s="33">
        <f t="shared" ca="1" si="17"/>
        <v>9.6085393855415806E-3</v>
      </c>
      <c r="BX23" s="33">
        <f t="shared" ca="1" si="17"/>
        <v>1.096224898548325E-2</v>
      </c>
      <c r="BY23" s="33">
        <f t="shared" ca="1" si="17"/>
        <v>1.2011903797807377E-2</v>
      </c>
      <c r="BZ23" s="33">
        <f t="shared" ca="1" si="17"/>
        <v>1.3400613090726245E-2</v>
      </c>
      <c r="CA23" s="33">
        <f t="shared" ca="1" si="18"/>
        <v>1.2559408924343188E-2</v>
      </c>
      <c r="CB23" s="33">
        <f t="shared" ca="1" si="18"/>
        <v>1.2018692164197192E-2</v>
      </c>
      <c r="CC23" s="33">
        <f t="shared" ca="1" si="18"/>
        <v>1.2341146694016203E-2</v>
      </c>
      <c r="CD23" s="33">
        <f t="shared" ca="1" si="18"/>
        <v>9.4579263051025649E-3</v>
      </c>
      <c r="CE23" s="33">
        <f t="shared" ca="1" si="18"/>
        <v>1.2083053454047695E-2</v>
      </c>
      <c r="CF23" s="33">
        <f t="shared" ca="1" si="18"/>
        <v>1.0442857355412269E-2</v>
      </c>
      <c r="CG23" s="33">
        <f t="shared" ca="1" si="18"/>
        <v>1.249034576299134E-2</v>
      </c>
      <c r="CH23" s="33">
        <f t="shared" ca="1" si="18"/>
        <v>8.1767810390737834E-3</v>
      </c>
      <c r="CI23" s="33">
        <f t="shared" ca="1" si="18"/>
        <v>1.0794113020200254E-2</v>
      </c>
      <c r="CJ23" s="33">
        <f t="shared" ca="1" si="18"/>
        <v>1.0441097116020145E-2</v>
      </c>
      <c r="CK23" s="33">
        <f t="shared" ca="1" si="19"/>
        <v>9.8227267877383714E-3</v>
      </c>
      <c r="CL23" s="33">
        <f t="shared" ca="1" si="19"/>
        <v>1.0794683659299155E-2</v>
      </c>
      <c r="CM23" s="33">
        <f t="shared" ca="1" si="19"/>
        <v>7.9454319626248836E-3</v>
      </c>
      <c r="CN23" s="33">
        <f t="shared" ca="1" si="19"/>
        <v>1.0480518619259334E-2</v>
      </c>
      <c r="CO23" s="33">
        <f t="shared" ca="1" si="19"/>
        <v>1.0173399747048149E-2</v>
      </c>
      <c r="CP23" s="33">
        <f t="shared" ca="1" si="19"/>
        <v>1.2344177423966499E-2</v>
      </c>
      <c r="CQ23" s="33">
        <f t="shared" ca="1" si="19"/>
        <v>1.2427765338813099E-2</v>
      </c>
      <c r="CR23" s="33">
        <f t="shared" ca="1" si="19"/>
        <v>1.0140905065415109E-2</v>
      </c>
      <c r="CS23" s="33">
        <f t="shared" ca="1" si="19"/>
        <v>1.1631239288085401E-2</v>
      </c>
      <c r="CT23" s="33">
        <f t="shared" ca="1" si="19"/>
        <v>1.1801213285284504E-2</v>
      </c>
      <c r="CU23" s="33">
        <f t="shared" ca="1" si="20"/>
        <v>8.0044126872291059E-3</v>
      </c>
      <c r="CV23" s="33">
        <f t="shared" ca="1" si="20"/>
        <v>1.0472358113952675E-2</v>
      </c>
      <c r="CW23" s="33">
        <f t="shared" ca="1" si="20"/>
        <v>1.0689028219162913E-2</v>
      </c>
      <c r="CX23" s="33">
        <f t="shared" ca="1" si="20"/>
        <v>1.0973778536751532E-2</v>
      </c>
      <c r="CY23" s="33">
        <f t="shared" ca="1" si="20"/>
        <v>1.3192972974877339E-2</v>
      </c>
      <c r="CZ23" s="33">
        <f t="shared" ca="1" si="20"/>
        <v>1.2712991164719915E-2</v>
      </c>
      <c r="DA23" s="33">
        <f t="shared" ca="1" si="20"/>
        <v>1.0652914063501957E-2</v>
      </c>
      <c r="DB23" s="33">
        <f t="shared" ca="1" si="20"/>
        <v>7.2550383910685535E-3</v>
      </c>
      <c r="DC23" s="33">
        <f t="shared" ca="1" si="20"/>
        <v>1.2597407332765445E-2</v>
      </c>
      <c r="DD23" s="33">
        <f t="shared" ca="1" si="20"/>
        <v>1.120750960642867E-2</v>
      </c>
      <c r="DE23" s="33">
        <f t="shared" ca="1" si="21"/>
        <v>9.5470499367997837E-3</v>
      </c>
      <c r="DF23" s="33">
        <f t="shared" ca="1" si="21"/>
        <v>8.8331887138970808E-3</v>
      </c>
      <c r="DG23" s="33">
        <f t="shared" ca="1" si="21"/>
        <v>8.3526327278872041E-3</v>
      </c>
      <c r="DH23" s="33">
        <f t="shared" ca="1" si="21"/>
        <v>8.1750182629956002E-3</v>
      </c>
      <c r="DI23" s="33">
        <f t="shared" ca="1" si="21"/>
        <v>1.1426464818755762E-2</v>
      </c>
      <c r="DJ23" s="33">
        <f t="shared" ca="1" si="21"/>
        <v>1.3443678149740033E-2</v>
      </c>
      <c r="DK23" s="33">
        <f t="shared" ca="1" si="21"/>
        <v>1.3387875404934892E-2</v>
      </c>
      <c r="DL23" s="33">
        <f t="shared" ca="1" si="21"/>
        <v>1.0690082204245716E-2</v>
      </c>
      <c r="DM23" s="33">
        <f t="shared" ca="1" si="21"/>
        <v>1.3448666584172068E-2</v>
      </c>
      <c r="DN23" s="33">
        <f t="shared" ca="1" si="21"/>
        <v>9.7912772476609813E-3</v>
      </c>
      <c r="DO23" s="12"/>
      <c r="DP23" s="12"/>
      <c r="DQ23" s="12"/>
    </row>
    <row r="24" spans="1:121" x14ac:dyDescent="0.2">
      <c r="I24" s="32">
        <v>45139</v>
      </c>
      <c r="J24" s="33">
        <f t="shared" ca="1" si="0"/>
        <v>1.2029516555238446E-2</v>
      </c>
      <c r="K24" s="9">
        <v>1950</v>
      </c>
      <c r="L24" s="9">
        <f t="shared" ca="1" si="11"/>
        <v>40122.239001800452</v>
      </c>
      <c r="N24" s="6">
        <v>20</v>
      </c>
      <c r="O24" s="5">
        <v>4.0846163906533555</v>
      </c>
      <c r="P24" s="9">
        <v>699611.26323966275</v>
      </c>
      <c r="R24" s="32">
        <v>45139</v>
      </c>
      <c r="S24" s="33">
        <f t="shared" ca="1" si="12"/>
        <v>1.049292831612784E-2</v>
      </c>
      <c r="T24" s="33">
        <f t="shared" ca="1" si="12"/>
        <v>1.0361960116792536E-2</v>
      </c>
      <c r="U24" s="33">
        <f t="shared" ca="1" si="12"/>
        <v>1.4571622974195252E-2</v>
      </c>
      <c r="V24" s="33">
        <f t="shared" ca="1" si="12"/>
        <v>1.0726529537880863E-2</v>
      </c>
      <c r="W24" s="33">
        <f t="shared" ca="1" si="12"/>
        <v>1.4184390772182313E-2</v>
      </c>
      <c r="X24" s="33">
        <f t="shared" ca="1" si="12"/>
        <v>1.1003204000771151E-2</v>
      </c>
      <c r="Y24" s="33">
        <f t="shared" ca="1" si="12"/>
        <v>1.0231730780998802E-2</v>
      </c>
      <c r="Z24" s="33">
        <f t="shared" ca="1" si="12"/>
        <v>8.5295307751175123E-3</v>
      </c>
      <c r="AA24" s="33">
        <f t="shared" ca="1" si="12"/>
        <v>1.190209613932749E-2</v>
      </c>
      <c r="AB24" s="33">
        <f t="shared" ca="1" si="12"/>
        <v>1.3374117014867577E-2</v>
      </c>
      <c r="AC24" s="33">
        <f t="shared" ca="1" si="13"/>
        <v>1.0961570095876071E-2</v>
      </c>
      <c r="AD24" s="33">
        <f t="shared" ca="1" si="13"/>
        <v>8.4109770160438191E-3</v>
      </c>
      <c r="AE24" s="33">
        <f t="shared" ca="1" si="13"/>
        <v>9.680596347653378E-3</v>
      </c>
      <c r="AF24" s="33">
        <f t="shared" ca="1" si="13"/>
        <v>8.8142426121553367E-3</v>
      </c>
      <c r="AG24" s="33">
        <f t="shared" ca="1" si="13"/>
        <v>1.12866500203293E-2</v>
      </c>
      <c r="AH24" s="33">
        <f t="shared" ca="1" si="13"/>
        <v>1.2601144322832589E-2</v>
      </c>
      <c r="AI24" s="33">
        <f t="shared" ca="1" si="13"/>
        <v>1.2166885657282715E-2</v>
      </c>
      <c r="AJ24" s="33">
        <f t="shared" ca="1" si="13"/>
        <v>1.0157753330079528E-2</v>
      </c>
      <c r="AK24" s="33">
        <f t="shared" ca="1" si="13"/>
        <v>1.176599649162541E-2</v>
      </c>
      <c r="AL24" s="33">
        <f t="shared" ca="1" si="13"/>
        <v>1.3276948725100135E-2</v>
      </c>
      <c r="AM24" s="33">
        <f t="shared" ca="1" si="14"/>
        <v>8.9382653200984312E-3</v>
      </c>
      <c r="AN24" s="33">
        <f t="shared" ca="1" si="14"/>
        <v>1.4228240638544047E-2</v>
      </c>
      <c r="AO24" s="33">
        <f t="shared" ca="1" si="14"/>
        <v>1.218255368636776E-2</v>
      </c>
      <c r="AP24" s="33">
        <f t="shared" ca="1" si="14"/>
        <v>9.7749621802152332E-3</v>
      </c>
      <c r="AQ24" s="33">
        <f t="shared" ca="1" si="14"/>
        <v>1.0290703537553172E-2</v>
      </c>
      <c r="AR24" s="33">
        <f t="shared" ca="1" si="14"/>
        <v>9.7195419475759083E-3</v>
      </c>
      <c r="AS24" s="33">
        <f t="shared" ca="1" si="14"/>
        <v>1.2678948253730041E-2</v>
      </c>
      <c r="AT24" s="33">
        <f t="shared" ca="1" si="14"/>
        <v>8.6315262413072663E-3</v>
      </c>
      <c r="AU24" s="33">
        <f t="shared" ca="1" si="14"/>
        <v>1.3520338287004911E-2</v>
      </c>
      <c r="AV24" s="33">
        <f t="shared" ca="1" si="14"/>
        <v>9.9690440138945451E-3</v>
      </c>
      <c r="AW24" s="33">
        <f t="shared" ca="1" si="15"/>
        <v>1.0964849813226905E-2</v>
      </c>
      <c r="AX24" s="33">
        <f t="shared" ca="1" si="15"/>
        <v>9.3536219266371796E-3</v>
      </c>
      <c r="AY24" s="33">
        <f t="shared" ca="1" si="15"/>
        <v>1.0420446914396803E-2</v>
      </c>
      <c r="AZ24" s="33">
        <f t="shared" ca="1" si="15"/>
        <v>9.1945338071760096E-3</v>
      </c>
      <c r="BA24" s="33">
        <f t="shared" ca="1" si="15"/>
        <v>1.0974257766355407E-2</v>
      </c>
      <c r="BB24" s="33">
        <f t="shared" ca="1" si="15"/>
        <v>1.2216107515641313E-2</v>
      </c>
      <c r="BC24" s="33">
        <f t="shared" ca="1" si="15"/>
        <v>8.6900863529924943E-3</v>
      </c>
      <c r="BD24" s="33">
        <f t="shared" ca="1" si="15"/>
        <v>1.0363614144675319E-2</v>
      </c>
      <c r="BE24" s="33">
        <f t="shared" ca="1" si="15"/>
        <v>1.0903379932835616E-2</v>
      </c>
      <c r="BF24" s="33">
        <f t="shared" ca="1" si="15"/>
        <v>1.0593240009390584E-2</v>
      </c>
      <c r="BG24" s="33">
        <f t="shared" ca="1" si="16"/>
        <v>1.1761320931668198E-2</v>
      </c>
      <c r="BH24" s="33">
        <f t="shared" ca="1" si="16"/>
        <v>1.0137801400174788E-2</v>
      </c>
      <c r="BI24" s="33">
        <f t="shared" ca="1" si="16"/>
        <v>1.0714527627333003E-2</v>
      </c>
      <c r="BJ24" s="33">
        <f t="shared" ca="1" si="16"/>
        <v>8.984272003018743E-3</v>
      </c>
      <c r="BK24" s="33">
        <f t="shared" ca="1" si="16"/>
        <v>1.166777508160613E-2</v>
      </c>
      <c r="BL24" s="33">
        <f t="shared" ca="1" si="16"/>
        <v>1.1113611227666876E-2</v>
      </c>
      <c r="BM24" s="33">
        <f t="shared" ca="1" si="16"/>
        <v>1.096745234999201E-2</v>
      </c>
      <c r="BN24" s="33">
        <f t="shared" ca="1" si="16"/>
        <v>1.0723100697495769E-2</v>
      </c>
      <c r="BO24" s="33">
        <f t="shared" ca="1" si="16"/>
        <v>1.1692622909482397E-2</v>
      </c>
      <c r="BP24" s="33">
        <f t="shared" ca="1" si="16"/>
        <v>1.1385221661750546E-2</v>
      </c>
      <c r="BQ24" s="33">
        <f t="shared" ca="1" si="17"/>
        <v>1.1640521702320427E-2</v>
      </c>
      <c r="BR24" s="33">
        <f t="shared" ca="1" si="17"/>
        <v>1.0999033893098488E-2</v>
      </c>
      <c r="BS24" s="33">
        <f t="shared" ca="1" si="17"/>
        <v>8.6862957886031759E-3</v>
      </c>
      <c r="BT24" s="33">
        <f t="shared" ca="1" si="17"/>
        <v>1.0933850195716662E-2</v>
      </c>
      <c r="BU24" s="33">
        <f t="shared" ca="1" si="17"/>
        <v>1.0993214351725487E-2</v>
      </c>
      <c r="BV24" s="33">
        <f t="shared" ca="1" si="17"/>
        <v>1.505012252950589E-2</v>
      </c>
      <c r="BW24" s="33">
        <f t="shared" ca="1" si="17"/>
        <v>1.1054371262946536E-2</v>
      </c>
      <c r="BX24" s="33">
        <f t="shared" ca="1" si="17"/>
        <v>1.0901453081590927E-2</v>
      </c>
      <c r="BY24" s="33">
        <f t="shared" ca="1" si="17"/>
        <v>1.2793941338828533E-2</v>
      </c>
      <c r="BZ24" s="33">
        <f t="shared" ca="1" si="17"/>
        <v>1.4227005522400932E-2</v>
      </c>
      <c r="CA24" s="33">
        <f t="shared" ca="1" si="18"/>
        <v>1.1167481713534129E-2</v>
      </c>
      <c r="CB24" s="33">
        <f t="shared" ca="1" si="18"/>
        <v>1.139552149491508E-2</v>
      </c>
      <c r="CC24" s="33">
        <f t="shared" ca="1" si="18"/>
        <v>1.0996907016478869E-2</v>
      </c>
      <c r="CD24" s="33">
        <f t="shared" ca="1" si="18"/>
        <v>1.2767569983471913E-2</v>
      </c>
      <c r="CE24" s="33">
        <f t="shared" ca="1" si="18"/>
        <v>1.2087148108893048E-2</v>
      </c>
      <c r="CF24" s="33">
        <f t="shared" ca="1" si="18"/>
        <v>1.5257738901741843E-2</v>
      </c>
      <c r="CG24" s="33">
        <f t="shared" ca="1" si="18"/>
        <v>1.1261463764249658E-2</v>
      </c>
      <c r="CH24" s="33">
        <f t="shared" ca="1" si="18"/>
        <v>8.2877956734560207E-3</v>
      </c>
      <c r="CI24" s="33">
        <f t="shared" ca="1" si="18"/>
        <v>1.4224409135075153E-2</v>
      </c>
      <c r="CJ24" s="33">
        <f t="shared" ca="1" si="18"/>
        <v>1.2024934521812011E-2</v>
      </c>
      <c r="CK24" s="33">
        <f t="shared" ca="1" si="19"/>
        <v>1.3615051165192977E-2</v>
      </c>
      <c r="CL24" s="33">
        <f t="shared" ca="1" si="19"/>
        <v>1.1999339844970636E-2</v>
      </c>
      <c r="CM24" s="33">
        <f t="shared" ca="1" si="19"/>
        <v>9.2761561785127383E-3</v>
      </c>
      <c r="CN24" s="33">
        <f t="shared" ca="1" si="19"/>
        <v>1.2767385483333463E-2</v>
      </c>
      <c r="CO24" s="33">
        <f t="shared" ca="1" si="19"/>
        <v>1.2207783446442622E-2</v>
      </c>
      <c r="CP24" s="33">
        <f t="shared" ca="1" si="19"/>
        <v>1.0825798205484344E-2</v>
      </c>
      <c r="CQ24" s="33">
        <f t="shared" ca="1" si="19"/>
        <v>1.1702874191118704E-2</v>
      </c>
      <c r="CR24" s="33">
        <f t="shared" ca="1" si="19"/>
        <v>1.1729241966344365E-2</v>
      </c>
      <c r="CS24" s="33">
        <f t="shared" ca="1" si="19"/>
        <v>1.2914034932242625E-2</v>
      </c>
      <c r="CT24" s="33">
        <f t="shared" ca="1" si="19"/>
        <v>1.3122793663746815E-2</v>
      </c>
      <c r="CU24" s="33">
        <f t="shared" ca="1" si="20"/>
        <v>1.120613923850218E-2</v>
      </c>
      <c r="CV24" s="33">
        <f t="shared" ca="1" si="20"/>
        <v>1.1509976928555281E-2</v>
      </c>
      <c r="CW24" s="33">
        <f t="shared" ca="1" si="20"/>
        <v>1.4656304906167938E-2</v>
      </c>
      <c r="CX24" s="33">
        <f t="shared" ca="1" si="20"/>
        <v>1.3757717371055484E-2</v>
      </c>
      <c r="CY24" s="33">
        <f t="shared" ca="1" si="20"/>
        <v>8.8586320825726796E-3</v>
      </c>
      <c r="CZ24" s="33">
        <f t="shared" ca="1" si="20"/>
        <v>1.1812102729949214E-2</v>
      </c>
      <c r="DA24" s="33">
        <f t="shared" ca="1" si="20"/>
        <v>9.8021570267798168E-3</v>
      </c>
      <c r="DB24" s="33">
        <f t="shared" ca="1" si="20"/>
        <v>1.144587279571814E-2</v>
      </c>
      <c r="DC24" s="33">
        <f t="shared" ca="1" si="20"/>
        <v>1.1550903584296501E-2</v>
      </c>
      <c r="DD24" s="33">
        <f t="shared" ca="1" si="20"/>
        <v>1.4099580481383418E-2</v>
      </c>
      <c r="DE24" s="33">
        <f t="shared" ca="1" si="21"/>
        <v>1.1707185462243204E-2</v>
      </c>
      <c r="DF24" s="33">
        <f t="shared" ca="1" si="21"/>
        <v>1.2369166105294134E-2</v>
      </c>
      <c r="DG24" s="33">
        <f t="shared" ca="1" si="21"/>
        <v>7.7789745760024421E-3</v>
      </c>
      <c r="DH24" s="33">
        <f t="shared" ca="1" si="21"/>
        <v>1.012409409247924E-2</v>
      </c>
      <c r="DI24" s="33">
        <f t="shared" ca="1" si="21"/>
        <v>1.0594753439054227E-2</v>
      </c>
      <c r="DJ24" s="33">
        <f t="shared" ca="1" si="21"/>
        <v>9.4744708927991111E-3</v>
      </c>
      <c r="DK24" s="33">
        <f t="shared" ca="1" si="21"/>
        <v>9.6292464338357427E-3</v>
      </c>
      <c r="DL24" s="33">
        <f t="shared" ca="1" si="21"/>
        <v>1.0499024673627001E-2</v>
      </c>
      <c r="DM24" s="33">
        <f t="shared" ca="1" si="21"/>
        <v>1.2938495777366148E-2</v>
      </c>
      <c r="DN24" s="33">
        <f t="shared" ca="1" si="21"/>
        <v>1.2472020826343449E-2</v>
      </c>
      <c r="DO24" s="12"/>
      <c r="DP24" s="12"/>
      <c r="DQ24" s="12"/>
    </row>
    <row r="25" spans="1:121" x14ac:dyDescent="0.2">
      <c r="I25" s="32">
        <v>45170</v>
      </c>
      <c r="J25" s="33">
        <f t="shared" ca="1" si="0"/>
        <v>1.3659577886384073E-2</v>
      </c>
      <c r="K25" s="9">
        <v>1950</v>
      </c>
      <c r="L25" s="9">
        <f t="shared" ca="1" si="11"/>
        <v>42624.052037055153</v>
      </c>
      <c r="N25" s="6">
        <v>21</v>
      </c>
      <c r="O25" s="5">
        <v>3.9432899169306519</v>
      </c>
      <c r="P25" s="9">
        <v>684607.61077203415</v>
      </c>
      <c r="R25" s="32">
        <v>45170</v>
      </c>
      <c r="S25" s="33">
        <f t="shared" ref="S25:AB34" ca="1" si="22">_xlfn.NORM.INV(RAND(),$A$52,$B$45)</f>
        <v>1.1896418230899481E-2</v>
      </c>
      <c r="T25" s="33">
        <f t="shared" ca="1" si="22"/>
        <v>8.4983808217572558E-3</v>
      </c>
      <c r="U25" s="33">
        <f t="shared" ca="1" si="22"/>
        <v>1.3729244858749807E-2</v>
      </c>
      <c r="V25" s="33">
        <f t="shared" ca="1" si="22"/>
        <v>1.0068879314401147E-2</v>
      </c>
      <c r="W25" s="33">
        <f t="shared" ca="1" si="22"/>
        <v>1.2440478579280278E-2</v>
      </c>
      <c r="X25" s="33">
        <f t="shared" ca="1" si="22"/>
        <v>1.0913341582456163E-2</v>
      </c>
      <c r="Y25" s="33">
        <f t="shared" ca="1" si="22"/>
        <v>1.1400089343301271E-2</v>
      </c>
      <c r="Z25" s="33">
        <f t="shared" ca="1" si="22"/>
        <v>1.1286135844175279E-2</v>
      </c>
      <c r="AA25" s="33">
        <f t="shared" ca="1" si="22"/>
        <v>9.966204518851246E-3</v>
      </c>
      <c r="AB25" s="33">
        <f t="shared" ca="1" si="22"/>
        <v>1.2672616077461389E-2</v>
      </c>
      <c r="AC25" s="33">
        <f t="shared" ref="AC25:AL34" ca="1" si="23">_xlfn.NORM.INV(RAND(),$A$52,$B$45)</f>
        <v>1.5051911574794194E-2</v>
      </c>
      <c r="AD25" s="33">
        <f t="shared" ca="1" si="23"/>
        <v>1.2726437843543255E-2</v>
      </c>
      <c r="AE25" s="33">
        <f t="shared" ca="1" si="23"/>
        <v>9.2638632617605063E-3</v>
      </c>
      <c r="AF25" s="33">
        <f t="shared" ca="1" si="23"/>
        <v>1.1011757290879833E-2</v>
      </c>
      <c r="AG25" s="33">
        <f t="shared" ca="1" si="23"/>
        <v>1.2785108078961592E-2</v>
      </c>
      <c r="AH25" s="33">
        <f t="shared" ca="1" si="23"/>
        <v>1.260616720311806E-2</v>
      </c>
      <c r="AI25" s="33">
        <f t="shared" ca="1" si="23"/>
        <v>1.075997744614471E-2</v>
      </c>
      <c r="AJ25" s="33">
        <f t="shared" ca="1" si="23"/>
        <v>9.5860611636711408E-3</v>
      </c>
      <c r="AK25" s="33">
        <f t="shared" ca="1" si="23"/>
        <v>1.2221842918687324E-2</v>
      </c>
      <c r="AL25" s="33">
        <f t="shared" ca="1" si="23"/>
        <v>1.2442532540532824E-2</v>
      </c>
      <c r="AM25" s="33">
        <f t="shared" ref="AM25:AV34" ca="1" si="24">_xlfn.NORM.INV(RAND(),$A$52,$B$45)</f>
        <v>1.2204801259380864E-2</v>
      </c>
      <c r="AN25" s="33">
        <f t="shared" ca="1" si="24"/>
        <v>1.0773614368129949E-2</v>
      </c>
      <c r="AO25" s="33">
        <f t="shared" ca="1" si="24"/>
        <v>1.210595016686457E-2</v>
      </c>
      <c r="AP25" s="33">
        <f t="shared" ca="1" si="24"/>
        <v>1.0735694650227745E-2</v>
      </c>
      <c r="AQ25" s="33">
        <f t="shared" ca="1" si="24"/>
        <v>9.3336664431747634E-3</v>
      </c>
      <c r="AR25" s="33">
        <f t="shared" ca="1" si="24"/>
        <v>1.1093504831030365E-2</v>
      </c>
      <c r="AS25" s="33">
        <f t="shared" ca="1" si="24"/>
        <v>1.1014624494807676E-2</v>
      </c>
      <c r="AT25" s="33">
        <f t="shared" ca="1" si="24"/>
        <v>1.0993893212869928E-2</v>
      </c>
      <c r="AU25" s="33">
        <f t="shared" ca="1" si="24"/>
        <v>9.8331725514541786E-3</v>
      </c>
      <c r="AV25" s="33">
        <f t="shared" ca="1" si="24"/>
        <v>1.2475557845564474E-2</v>
      </c>
      <c r="AW25" s="33">
        <f t="shared" ref="AW25:BF34" ca="1" si="25">_xlfn.NORM.INV(RAND(),$A$52,$B$45)</f>
        <v>1.3679475468164821E-2</v>
      </c>
      <c r="AX25" s="33">
        <f t="shared" ca="1" si="25"/>
        <v>1.2966760611383008E-2</v>
      </c>
      <c r="AY25" s="33">
        <f t="shared" ca="1" si="25"/>
        <v>1.1320325263985059E-2</v>
      </c>
      <c r="AZ25" s="33">
        <f t="shared" ca="1" si="25"/>
        <v>1.3224334909790473E-2</v>
      </c>
      <c r="BA25" s="33">
        <f t="shared" ca="1" si="25"/>
        <v>1.3392990401773802E-2</v>
      </c>
      <c r="BB25" s="33">
        <f t="shared" ca="1" si="25"/>
        <v>1.1041451767545734E-2</v>
      </c>
      <c r="BC25" s="33">
        <f t="shared" ca="1" si="25"/>
        <v>1.2573791315843923E-2</v>
      </c>
      <c r="BD25" s="33">
        <f t="shared" ca="1" si="25"/>
        <v>1.0740033333556134E-2</v>
      </c>
      <c r="BE25" s="33">
        <f t="shared" ca="1" si="25"/>
        <v>1.3824866619754987E-2</v>
      </c>
      <c r="BF25" s="33">
        <f t="shared" ca="1" si="25"/>
        <v>1.0046978014841761E-2</v>
      </c>
      <c r="BG25" s="33">
        <f t="shared" ref="BG25:BP34" ca="1" si="26">_xlfn.NORM.INV(RAND(),$A$52,$B$45)</f>
        <v>1.0274286932363702E-2</v>
      </c>
      <c r="BH25" s="33">
        <f t="shared" ca="1" si="26"/>
        <v>1.1892287656057212E-2</v>
      </c>
      <c r="BI25" s="33">
        <f t="shared" ca="1" si="26"/>
        <v>1.2330967670520287E-2</v>
      </c>
      <c r="BJ25" s="33">
        <f t="shared" ca="1" si="26"/>
        <v>1.263701958937502E-2</v>
      </c>
      <c r="BK25" s="33">
        <f t="shared" ca="1" si="26"/>
        <v>1.1331293673419479E-2</v>
      </c>
      <c r="BL25" s="33">
        <f t="shared" ca="1" si="26"/>
        <v>1.2677176827403784E-2</v>
      </c>
      <c r="BM25" s="33">
        <f t="shared" ca="1" si="26"/>
        <v>1.1439976260101575E-2</v>
      </c>
      <c r="BN25" s="33">
        <f t="shared" ca="1" si="26"/>
        <v>1.3298081113115062E-2</v>
      </c>
      <c r="BO25" s="33">
        <f t="shared" ca="1" si="26"/>
        <v>1.1220862316017387E-2</v>
      </c>
      <c r="BP25" s="33">
        <f t="shared" ca="1" si="26"/>
        <v>1.3916849276117438E-2</v>
      </c>
      <c r="BQ25" s="33">
        <f t="shared" ref="BQ25:BZ34" ca="1" si="27">_xlfn.NORM.INV(RAND(),$A$52,$B$45)</f>
        <v>1.1361519747604689E-2</v>
      </c>
      <c r="BR25" s="33">
        <f t="shared" ca="1" si="27"/>
        <v>1.0434478279826189E-2</v>
      </c>
      <c r="BS25" s="33">
        <f t="shared" ca="1" si="27"/>
        <v>9.9438899377455175E-3</v>
      </c>
      <c r="BT25" s="33">
        <f t="shared" ca="1" si="27"/>
        <v>9.4364864069405099E-3</v>
      </c>
      <c r="BU25" s="33">
        <f t="shared" ca="1" si="27"/>
        <v>1.2085025016190977E-2</v>
      </c>
      <c r="BV25" s="33">
        <f t="shared" ca="1" si="27"/>
        <v>1.2975407949895674E-2</v>
      </c>
      <c r="BW25" s="33">
        <f t="shared" ca="1" si="27"/>
        <v>1.4000593056352135E-2</v>
      </c>
      <c r="BX25" s="33">
        <f t="shared" ca="1" si="27"/>
        <v>1.3783417000027345E-2</v>
      </c>
      <c r="BY25" s="33">
        <f t="shared" ca="1" si="27"/>
        <v>1.1987088147507933E-2</v>
      </c>
      <c r="BZ25" s="33">
        <f t="shared" ca="1" si="27"/>
        <v>1.1693728722338878E-2</v>
      </c>
      <c r="CA25" s="33">
        <f t="shared" ref="CA25:CJ34" ca="1" si="28">_xlfn.NORM.INV(RAND(),$A$52,$B$45)</f>
        <v>1.1117287717301267E-2</v>
      </c>
      <c r="CB25" s="33">
        <f t="shared" ca="1" si="28"/>
        <v>1.1008449311954469E-2</v>
      </c>
      <c r="CC25" s="33">
        <f t="shared" ca="1" si="28"/>
        <v>9.8629399182518715E-3</v>
      </c>
      <c r="CD25" s="33">
        <f t="shared" ca="1" si="28"/>
        <v>1.2905330475207845E-2</v>
      </c>
      <c r="CE25" s="33">
        <f t="shared" ca="1" si="28"/>
        <v>1.204459889575081E-2</v>
      </c>
      <c r="CF25" s="33">
        <f t="shared" ca="1" si="28"/>
        <v>9.2721449465710606E-3</v>
      </c>
      <c r="CG25" s="33">
        <f t="shared" ca="1" si="28"/>
        <v>1.1802844178049528E-2</v>
      </c>
      <c r="CH25" s="33">
        <f t="shared" ca="1" si="28"/>
        <v>1.2379573054639983E-2</v>
      </c>
      <c r="CI25" s="33">
        <f t="shared" ca="1" si="28"/>
        <v>1.3872658939090508E-2</v>
      </c>
      <c r="CJ25" s="33">
        <f t="shared" ca="1" si="28"/>
        <v>1.2661518500545322E-2</v>
      </c>
      <c r="CK25" s="33">
        <f t="shared" ref="CK25:CT34" ca="1" si="29">_xlfn.NORM.INV(RAND(),$A$52,$B$45)</f>
        <v>9.9234162575204624E-3</v>
      </c>
      <c r="CL25" s="33">
        <f t="shared" ca="1" si="29"/>
        <v>1.2568507167125346E-2</v>
      </c>
      <c r="CM25" s="33">
        <f t="shared" ca="1" si="29"/>
        <v>1.2044487854292588E-2</v>
      </c>
      <c r="CN25" s="33">
        <f t="shared" ca="1" si="29"/>
        <v>8.8337063893443226E-3</v>
      </c>
      <c r="CO25" s="33">
        <f t="shared" ca="1" si="29"/>
        <v>1.1113702776553411E-2</v>
      </c>
      <c r="CP25" s="33">
        <f t="shared" ca="1" si="29"/>
        <v>1.1280591048089617E-2</v>
      </c>
      <c r="CQ25" s="33">
        <f t="shared" ca="1" si="29"/>
        <v>1.2680101666209264E-2</v>
      </c>
      <c r="CR25" s="33">
        <f t="shared" ca="1" si="29"/>
        <v>9.95433570831172E-3</v>
      </c>
      <c r="CS25" s="33">
        <f t="shared" ca="1" si="29"/>
        <v>1.3599880680806982E-2</v>
      </c>
      <c r="CT25" s="33">
        <f t="shared" ca="1" si="29"/>
        <v>1.1508989233424114E-2</v>
      </c>
      <c r="CU25" s="33">
        <f t="shared" ref="CU25:DD34" ca="1" si="30">_xlfn.NORM.INV(RAND(),$A$52,$B$45)</f>
        <v>1.3366710594044368E-2</v>
      </c>
      <c r="CV25" s="33">
        <f t="shared" ca="1" si="30"/>
        <v>1.08147130942638E-2</v>
      </c>
      <c r="CW25" s="33">
        <f t="shared" ca="1" si="30"/>
        <v>1.1653005477697341E-2</v>
      </c>
      <c r="CX25" s="33">
        <f t="shared" ca="1" si="30"/>
        <v>1.0687022260588602E-2</v>
      </c>
      <c r="CY25" s="33">
        <f t="shared" ca="1" si="30"/>
        <v>1.3404422922483306E-2</v>
      </c>
      <c r="CZ25" s="33">
        <f t="shared" ca="1" si="30"/>
        <v>1.1851052735830973E-2</v>
      </c>
      <c r="DA25" s="33">
        <f t="shared" ca="1" si="30"/>
        <v>1.1138167450418091E-2</v>
      </c>
      <c r="DB25" s="33">
        <f t="shared" ca="1" si="30"/>
        <v>1.0641734927578066E-2</v>
      </c>
      <c r="DC25" s="33">
        <f t="shared" ca="1" si="30"/>
        <v>1.2458522020155339E-2</v>
      </c>
      <c r="DD25" s="33">
        <f t="shared" ca="1" si="30"/>
        <v>1.3424841174817993E-2</v>
      </c>
      <c r="DE25" s="33">
        <f t="shared" ref="DE25:DN34" ca="1" si="31">_xlfn.NORM.INV(RAND(),$A$52,$B$45)</f>
        <v>1.4344694336920883E-2</v>
      </c>
      <c r="DF25" s="33">
        <f t="shared" ca="1" si="31"/>
        <v>1.2975704259718192E-2</v>
      </c>
      <c r="DG25" s="33">
        <f t="shared" ca="1" si="31"/>
        <v>1.287306892951029E-2</v>
      </c>
      <c r="DH25" s="33">
        <f t="shared" ca="1" si="31"/>
        <v>1.3244918480944622E-2</v>
      </c>
      <c r="DI25" s="33">
        <f t="shared" ca="1" si="31"/>
        <v>1.1859150695244553E-2</v>
      </c>
      <c r="DJ25" s="33">
        <f t="shared" ca="1" si="31"/>
        <v>1.3523924455533961E-2</v>
      </c>
      <c r="DK25" s="33">
        <f t="shared" ca="1" si="31"/>
        <v>9.6813683321268131E-3</v>
      </c>
      <c r="DL25" s="33">
        <f t="shared" ca="1" si="31"/>
        <v>1.3602001318835523E-2</v>
      </c>
      <c r="DM25" s="33">
        <f t="shared" ca="1" si="31"/>
        <v>9.5798635734726557E-3</v>
      </c>
      <c r="DN25" s="33">
        <f t="shared" ca="1" si="31"/>
        <v>8.9937491612721507E-3</v>
      </c>
      <c r="DO25" s="12"/>
      <c r="DP25" s="12"/>
      <c r="DQ25" s="12"/>
    </row>
    <row r="26" spans="1:121" x14ac:dyDescent="0.2">
      <c r="I26" s="32">
        <v>45200</v>
      </c>
      <c r="J26" s="33">
        <f t="shared" ca="1" si="0"/>
        <v>9.7218608780720601E-3</v>
      </c>
      <c r="K26" s="9">
        <v>1950</v>
      </c>
      <c r="L26" s="9">
        <f t="shared" ca="1" si="11"/>
        <v>44990.457981652653</v>
      </c>
      <c r="N26" s="6">
        <v>22</v>
      </c>
      <c r="O26" s="5">
        <v>3.9480426244388549</v>
      </c>
      <c r="P26" s="9">
        <v>686943.06342261285</v>
      </c>
      <c r="R26" s="32">
        <v>45200</v>
      </c>
      <c r="S26" s="33">
        <f t="shared" ca="1" si="22"/>
        <v>1.2071416580136206E-2</v>
      </c>
      <c r="T26" s="33">
        <f t="shared" ca="1" si="22"/>
        <v>1.0168147535299136E-2</v>
      </c>
      <c r="U26" s="33">
        <f t="shared" ca="1" si="22"/>
        <v>1.2831325778182813E-2</v>
      </c>
      <c r="V26" s="33">
        <f t="shared" ca="1" si="22"/>
        <v>1.3600775817466673E-2</v>
      </c>
      <c r="W26" s="33">
        <f t="shared" ca="1" si="22"/>
        <v>1.0629975677986611E-2</v>
      </c>
      <c r="X26" s="33">
        <f t="shared" ca="1" si="22"/>
        <v>1.4698233754577178E-2</v>
      </c>
      <c r="Y26" s="33">
        <f t="shared" ca="1" si="22"/>
        <v>9.4498587533543704E-3</v>
      </c>
      <c r="Z26" s="33">
        <f t="shared" ca="1" si="22"/>
        <v>1.4910460625554366E-2</v>
      </c>
      <c r="AA26" s="33">
        <f t="shared" ca="1" si="22"/>
        <v>1.2668242489162641E-2</v>
      </c>
      <c r="AB26" s="33">
        <f t="shared" ca="1" si="22"/>
        <v>1.1213409785126759E-2</v>
      </c>
      <c r="AC26" s="33">
        <f t="shared" ca="1" si="23"/>
        <v>1.0875829430270477E-2</v>
      </c>
      <c r="AD26" s="33">
        <f t="shared" ca="1" si="23"/>
        <v>1.0134985598266821E-2</v>
      </c>
      <c r="AE26" s="33">
        <f t="shared" ca="1" si="23"/>
        <v>9.5434249924403088E-3</v>
      </c>
      <c r="AF26" s="33">
        <f t="shared" ca="1" si="23"/>
        <v>9.9390848340996946E-3</v>
      </c>
      <c r="AG26" s="33">
        <f t="shared" ca="1" si="23"/>
        <v>1.5013816760875388E-2</v>
      </c>
      <c r="AH26" s="33">
        <f t="shared" ca="1" si="23"/>
        <v>1.1307532982937888E-2</v>
      </c>
      <c r="AI26" s="33">
        <f t="shared" ca="1" si="23"/>
        <v>1.2081815324082881E-2</v>
      </c>
      <c r="AJ26" s="33">
        <f t="shared" ca="1" si="23"/>
        <v>1.3626392357660857E-2</v>
      </c>
      <c r="AK26" s="33">
        <f t="shared" ca="1" si="23"/>
        <v>1.4399202064986162E-2</v>
      </c>
      <c r="AL26" s="33">
        <f t="shared" ca="1" si="23"/>
        <v>9.4586242378401925E-3</v>
      </c>
      <c r="AM26" s="33">
        <f t="shared" ca="1" si="24"/>
        <v>9.6032507051644535E-3</v>
      </c>
      <c r="AN26" s="33">
        <f t="shared" ca="1" si="24"/>
        <v>1.3806774528390384E-2</v>
      </c>
      <c r="AO26" s="33">
        <f t="shared" ca="1" si="24"/>
        <v>1.3177606874825849E-2</v>
      </c>
      <c r="AP26" s="33">
        <f t="shared" ca="1" si="24"/>
        <v>1.2738674013604267E-2</v>
      </c>
      <c r="AQ26" s="33">
        <f t="shared" ca="1" si="24"/>
        <v>9.6079471116660084E-3</v>
      </c>
      <c r="AR26" s="33">
        <f t="shared" ca="1" si="24"/>
        <v>1.444472225270425E-2</v>
      </c>
      <c r="AS26" s="33">
        <f t="shared" ca="1" si="24"/>
        <v>1.3449047294145745E-2</v>
      </c>
      <c r="AT26" s="33">
        <f t="shared" ca="1" si="24"/>
        <v>9.9995884592629265E-3</v>
      </c>
      <c r="AU26" s="33">
        <f t="shared" ca="1" si="24"/>
        <v>9.6255806497513863E-3</v>
      </c>
      <c r="AV26" s="33">
        <f t="shared" ca="1" si="24"/>
        <v>1.4795701818473849E-2</v>
      </c>
      <c r="AW26" s="33">
        <f t="shared" ca="1" si="25"/>
        <v>9.9805550911005406E-3</v>
      </c>
      <c r="AX26" s="33">
        <f t="shared" ca="1" si="25"/>
        <v>1.2968653196874989E-2</v>
      </c>
      <c r="AY26" s="33">
        <f t="shared" ca="1" si="25"/>
        <v>1.0366955228199064E-2</v>
      </c>
      <c r="AZ26" s="33">
        <f t="shared" ca="1" si="25"/>
        <v>9.531640739982571E-3</v>
      </c>
      <c r="BA26" s="33">
        <f t="shared" ca="1" si="25"/>
        <v>1.1770577621634621E-2</v>
      </c>
      <c r="BB26" s="33">
        <f t="shared" ca="1" si="25"/>
        <v>1.2158406827536118E-2</v>
      </c>
      <c r="BC26" s="33">
        <f t="shared" ca="1" si="25"/>
        <v>1.0321295051664061E-2</v>
      </c>
      <c r="BD26" s="33">
        <f t="shared" ca="1" si="25"/>
        <v>1.1194294745283545E-2</v>
      </c>
      <c r="BE26" s="33">
        <f t="shared" ca="1" si="25"/>
        <v>8.0059120594555312E-3</v>
      </c>
      <c r="BF26" s="33">
        <f t="shared" ca="1" si="25"/>
        <v>1.222846791824014E-2</v>
      </c>
      <c r="BG26" s="33">
        <f t="shared" ca="1" si="26"/>
        <v>1.323866714180664E-2</v>
      </c>
      <c r="BH26" s="33">
        <f t="shared" ca="1" si="26"/>
        <v>1.0663155833746035E-2</v>
      </c>
      <c r="BI26" s="33">
        <f t="shared" ca="1" si="26"/>
        <v>1.2274768757987364E-2</v>
      </c>
      <c r="BJ26" s="33">
        <f t="shared" ca="1" si="26"/>
        <v>1.0093868364834368E-2</v>
      </c>
      <c r="BK26" s="33">
        <f t="shared" ca="1" si="26"/>
        <v>1.1636252380515124E-2</v>
      </c>
      <c r="BL26" s="33">
        <f t="shared" ca="1" si="26"/>
        <v>9.3128259202331226E-3</v>
      </c>
      <c r="BM26" s="33">
        <f t="shared" ca="1" si="26"/>
        <v>1.2581631815075236E-2</v>
      </c>
      <c r="BN26" s="33">
        <f t="shared" ca="1" si="26"/>
        <v>1.1529633730921873E-2</v>
      </c>
      <c r="BO26" s="33">
        <f t="shared" ca="1" si="26"/>
        <v>1.1975806984918201E-2</v>
      </c>
      <c r="BP26" s="33">
        <f t="shared" ca="1" si="26"/>
        <v>1.0419776275665944E-2</v>
      </c>
      <c r="BQ26" s="33">
        <f t="shared" ca="1" si="27"/>
        <v>1.3420978466583798E-2</v>
      </c>
      <c r="BR26" s="33">
        <f t="shared" ca="1" si="27"/>
        <v>1.2169237811139778E-2</v>
      </c>
      <c r="BS26" s="33">
        <f t="shared" ca="1" si="27"/>
        <v>1.050030546382371E-2</v>
      </c>
      <c r="BT26" s="33">
        <f t="shared" ca="1" si="27"/>
        <v>1.3779490285002353E-2</v>
      </c>
      <c r="BU26" s="33">
        <f t="shared" ca="1" si="27"/>
        <v>1.0903259634819373E-2</v>
      </c>
      <c r="BV26" s="33">
        <f t="shared" ca="1" si="27"/>
        <v>1.5318326054186759E-2</v>
      </c>
      <c r="BW26" s="33">
        <f t="shared" ca="1" si="27"/>
        <v>1.1471929519862438E-2</v>
      </c>
      <c r="BX26" s="33">
        <f t="shared" ca="1" si="27"/>
        <v>8.3485936685241818E-3</v>
      </c>
      <c r="BY26" s="33">
        <f t="shared" ca="1" si="27"/>
        <v>1.1014621165187175E-2</v>
      </c>
      <c r="BZ26" s="33">
        <f t="shared" ca="1" si="27"/>
        <v>1.0122770552230284E-2</v>
      </c>
      <c r="CA26" s="33">
        <f t="shared" ca="1" si="28"/>
        <v>1.1610139092998198E-2</v>
      </c>
      <c r="CB26" s="33">
        <f t="shared" ca="1" si="28"/>
        <v>1.1715402409717522E-2</v>
      </c>
      <c r="CC26" s="33">
        <f t="shared" ca="1" si="28"/>
        <v>1.3245537675600303E-2</v>
      </c>
      <c r="CD26" s="33">
        <f t="shared" ca="1" si="28"/>
        <v>1.3674219253121803E-2</v>
      </c>
      <c r="CE26" s="33">
        <f t="shared" ca="1" si="28"/>
        <v>1.1939601229882007E-2</v>
      </c>
      <c r="CF26" s="33">
        <f t="shared" ca="1" si="28"/>
        <v>1.1320783139928157E-2</v>
      </c>
      <c r="CG26" s="33">
        <f t="shared" ca="1" si="28"/>
        <v>1.239752818766492E-2</v>
      </c>
      <c r="CH26" s="33">
        <f t="shared" ca="1" si="28"/>
        <v>8.6536593663242983E-3</v>
      </c>
      <c r="CI26" s="33">
        <f t="shared" ca="1" si="28"/>
        <v>9.8106535695267599E-3</v>
      </c>
      <c r="CJ26" s="33">
        <f t="shared" ca="1" si="28"/>
        <v>1.0194137541705325E-2</v>
      </c>
      <c r="CK26" s="33">
        <f t="shared" ca="1" si="29"/>
        <v>1.1604042991931728E-2</v>
      </c>
      <c r="CL26" s="33">
        <f t="shared" ca="1" si="29"/>
        <v>9.8616922193046665E-3</v>
      </c>
      <c r="CM26" s="33">
        <f t="shared" ca="1" si="29"/>
        <v>7.9417806088657467E-3</v>
      </c>
      <c r="CN26" s="33">
        <f t="shared" ca="1" si="29"/>
        <v>1.1454226194553984E-2</v>
      </c>
      <c r="CO26" s="33">
        <f t="shared" ca="1" si="29"/>
        <v>1.4827701867042461E-2</v>
      </c>
      <c r="CP26" s="33">
        <f t="shared" ca="1" si="29"/>
        <v>1.0455178469202788E-2</v>
      </c>
      <c r="CQ26" s="33">
        <f t="shared" ca="1" si="29"/>
        <v>9.7256664662546278E-3</v>
      </c>
      <c r="CR26" s="33">
        <f t="shared" ca="1" si="29"/>
        <v>9.0945699202439265E-3</v>
      </c>
      <c r="CS26" s="33">
        <f t="shared" ca="1" si="29"/>
        <v>1.0015294554570897E-2</v>
      </c>
      <c r="CT26" s="33">
        <f t="shared" ca="1" si="29"/>
        <v>1.1938955572088877E-2</v>
      </c>
      <c r="CU26" s="33">
        <f t="shared" ca="1" si="30"/>
        <v>1.1657723155129907E-2</v>
      </c>
      <c r="CV26" s="33">
        <f t="shared" ca="1" si="30"/>
        <v>1.2864122369524672E-2</v>
      </c>
      <c r="CW26" s="33">
        <f t="shared" ca="1" si="30"/>
        <v>1.1972510628112351E-2</v>
      </c>
      <c r="CX26" s="33">
        <f t="shared" ca="1" si="30"/>
        <v>1.2912361943829309E-2</v>
      </c>
      <c r="CY26" s="33">
        <f t="shared" ca="1" si="30"/>
        <v>1.2165281511122152E-2</v>
      </c>
      <c r="CZ26" s="33">
        <f t="shared" ca="1" si="30"/>
        <v>1.0191485284604821E-2</v>
      </c>
      <c r="DA26" s="33">
        <f t="shared" ca="1" si="30"/>
        <v>1.1037456795574699E-2</v>
      </c>
      <c r="DB26" s="33">
        <f t="shared" ca="1" si="30"/>
        <v>9.8607338094951671E-3</v>
      </c>
      <c r="DC26" s="33">
        <f t="shared" ca="1" si="30"/>
        <v>1.0194445460522752E-2</v>
      </c>
      <c r="DD26" s="33">
        <f t="shared" ca="1" si="30"/>
        <v>8.4980764545927439E-3</v>
      </c>
      <c r="DE26" s="33">
        <f t="shared" ca="1" si="31"/>
        <v>1.3115696519449053E-2</v>
      </c>
      <c r="DF26" s="33">
        <f t="shared" ca="1" si="31"/>
        <v>1.2617533848425479E-2</v>
      </c>
      <c r="DG26" s="33">
        <f t="shared" ca="1" si="31"/>
        <v>8.276694300599706E-3</v>
      </c>
      <c r="DH26" s="33">
        <f t="shared" ca="1" si="31"/>
        <v>1.096152197932037E-2</v>
      </c>
      <c r="DI26" s="33">
        <f t="shared" ca="1" si="31"/>
        <v>1.258320501916378E-2</v>
      </c>
      <c r="DJ26" s="33">
        <f t="shared" ca="1" si="31"/>
        <v>1.2777887907636374E-2</v>
      </c>
      <c r="DK26" s="33">
        <f t="shared" ca="1" si="31"/>
        <v>1.23885076474029E-2</v>
      </c>
      <c r="DL26" s="33">
        <f t="shared" ca="1" si="31"/>
        <v>1.0902388670420274E-2</v>
      </c>
      <c r="DM26" s="33">
        <f t="shared" ca="1" si="31"/>
        <v>8.5285144316698345E-3</v>
      </c>
      <c r="DN26" s="33">
        <f t="shared" ca="1" si="31"/>
        <v>9.5436391225032207E-3</v>
      </c>
      <c r="DO26" s="12"/>
      <c r="DP26" s="12"/>
      <c r="DQ26" s="12"/>
    </row>
    <row r="27" spans="1:121" x14ac:dyDescent="0.2">
      <c r="I27" s="32">
        <v>45231</v>
      </c>
      <c r="J27" s="33">
        <f t="shared" ca="1" si="0"/>
        <v>1.272822395064452E-2</v>
      </c>
      <c r="K27" s="9">
        <v>1950</v>
      </c>
      <c r="L27" s="9">
        <f t="shared" ca="1" si="11"/>
        <v>47516.766518029726</v>
      </c>
      <c r="N27" s="6">
        <v>23</v>
      </c>
      <c r="O27" s="5">
        <v>3.9734535818301397</v>
      </c>
      <c r="P27" s="9">
        <v>682039.96281707787</v>
      </c>
      <c r="R27" s="32">
        <v>45231</v>
      </c>
      <c r="S27" s="33">
        <f t="shared" ca="1" si="22"/>
        <v>1.3048695849754039E-2</v>
      </c>
      <c r="T27" s="33">
        <f t="shared" ca="1" si="22"/>
        <v>1.0361954152678475E-2</v>
      </c>
      <c r="U27" s="33">
        <f t="shared" ca="1" si="22"/>
        <v>9.1071129279086671E-3</v>
      </c>
      <c r="V27" s="33">
        <f t="shared" ca="1" si="22"/>
        <v>1.0997521402092722E-2</v>
      </c>
      <c r="W27" s="33">
        <f t="shared" ca="1" si="22"/>
        <v>1.105211887988033E-2</v>
      </c>
      <c r="X27" s="33">
        <f t="shared" ca="1" si="22"/>
        <v>1.0882549318840504E-2</v>
      </c>
      <c r="Y27" s="33">
        <f t="shared" ca="1" si="22"/>
        <v>1.2162554567519747E-2</v>
      </c>
      <c r="Z27" s="33">
        <f t="shared" ca="1" si="22"/>
        <v>9.1206540508015424E-3</v>
      </c>
      <c r="AA27" s="33">
        <f t="shared" ca="1" si="22"/>
        <v>1.3504799524883026E-2</v>
      </c>
      <c r="AB27" s="33">
        <f t="shared" ca="1" si="22"/>
        <v>1.0961418305245153E-2</v>
      </c>
      <c r="AC27" s="33">
        <f t="shared" ca="1" si="23"/>
        <v>9.3315350277848597E-3</v>
      </c>
      <c r="AD27" s="33">
        <f t="shared" ca="1" si="23"/>
        <v>1.2567333381234669E-2</v>
      </c>
      <c r="AE27" s="33">
        <f t="shared" ca="1" si="23"/>
        <v>1.2829301281877469E-2</v>
      </c>
      <c r="AF27" s="33">
        <f t="shared" ca="1" si="23"/>
        <v>1.0494474184973505E-2</v>
      </c>
      <c r="AG27" s="33">
        <f t="shared" ca="1" si="23"/>
        <v>1.0403214811920011E-2</v>
      </c>
      <c r="AH27" s="33">
        <f t="shared" ca="1" si="23"/>
        <v>1.3002364445421787E-2</v>
      </c>
      <c r="AI27" s="33">
        <f t="shared" ca="1" si="23"/>
        <v>1.0451990952491419E-2</v>
      </c>
      <c r="AJ27" s="33">
        <f t="shared" ca="1" si="23"/>
        <v>1.1887917164989612E-2</v>
      </c>
      <c r="AK27" s="33">
        <f t="shared" ca="1" si="23"/>
        <v>1.11707281726885E-2</v>
      </c>
      <c r="AL27" s="33">
        <f t="shared" ca="1" si="23"/>
        <v>1.1662653940318757E-2</v>
      </c>
      <c r="AM27" s="33">
        <f t="shared" ca="1" si="24"/>
        <v>8.9295185218247284E-3</v>
      </c>
      <c r="AN27" s="33">
        <f t="shared" ca="1" si="24"/>
        <v>1.0888802688855198E-2</v>
      </c>
      <c r="AO27" s="33">
        <f t="shared" ca="1" si="24"/>
        <v>1.1245777925632267E-2</v>
      </c>
      <c r="AP27" s="33">
        <f t="shared" ca="1" si="24"/>
        <v>1.1227425429346408E-2</v>
      </c>
      <c r="AQ27" s="33">
        <f t="shared" ca="1" si="24"/>
        <v>1.1513051967223679E-2</v>
      </c>
      <c r="AR27" s="33">
        <f t="shared" ca="1" si="24"/>
        <v>1.2060159334885958E-2</v>
      </c>
      <c r="AS27" s="33">
        <f t="shared" ca="1" si="24"/>
        <v>1.1316210581550405E-2</v>
      </c>
      <c r="AT27" s="33">
        <f t="shared" ca="1" si="24"/>
        <v>9.1489023764247321E-3</v>
      </c>
      <c r="AU27" s="33">
        <f t="shared" ca="1" si="24"/>
        <v>1.2245964406258258E-2</v>
      </c>
      <c r="AV27" s="33">
        <f t="shared" ca="1" si="24"/>
        <v>1.4419792933640896E-2</v>
      </c>
      <c r="AW27" s="33">
        <f t="shared" ca="1" si="25"/>
        <v>1.0732203488274406E-2</v>
      </c>
      <c r="AX27" s="33">
        <f t="shared" ca="1" si="25"/>
        <v>1.0188197878151979E-2</v>
      </c>
      <c r="AY27" s="33">
        <f t="shared" ca="1" si="25"/>
        <v>1.199448292483794E-2</v>
      </c>
      <c r="AZ27" s="33">
        <f t="shared" ca="1" si="25"/>
        <v>1.2602914395097519E-2</v>
      </c>
      <c r="BA27" s="33">
        <f t="shared" ca="1" si="25"/>
        <v>1.1948166155539845E-2</v>
      </c>
      <c r="BB27" s="33">
        <f t="shared" ca="1" si="25"/>
        <v>1.1016349411413804E-2</v>
      </c>
      <c r="BC27" s="33">
        <f t="shared" ca="1" si="25"/>
        <v>1.2433544447220633E-2</v>
      </c>
      <c r="BD27" s="33">
        <f t="shared" ca="1" si="25"/>
        <v>1.2672017939975858E-2</v>
      </c>
      <c r="BE27" s="33">
        <f t="shared" ca="1" si="25"/>
        <v>8.5297700446918708E-3</v>
      </c>
      <c r="BF27" s="33">
        <f t="shared" ca="1" si="25"/>
        <v>1.0732067459254353E-2</v>
      </c>
      <c r="BG27" s="33">
        <f t="shared" ca="1" si="26"/>
        <v>1.1277602351760771E-2</v>
      </c>
      <c r="BH27" s="33">
        <f t="shared" ca="1" si="26"/>
        <v>1.2762463136842572E-2</v>
      </c>
      <c r="BI27" s="33">
        <f t="shared" ca="1" si="26"/>
        <v>1.1045187489493683E-2</v>
      </c>
      <c r="BJ27" s="33">
        <f t="shared" ca="1" si="26"/>
        <v>1.0764420949105182E-2</v>
      </c>
      <c r="BK27" s="33">
        <f t="shared" ca="1" si="26"/>
        <v>1.3274820689823833E-2</v>
      </c>
      <c r="BL27" s="33">
        <f t="shared" ca="1" si="26"/>
        <v>1.2794304056932493E-2</v>
      </c>
      <c r="BM27" s="33">
        <f t="shared" ca="1" si="26"/>
        <v>1.410063974921277E-2</v>
      </c>
      <c r="BN27" s="33">
        <f t="shared" ca="1" si="26"/>
        <v>1.1696179783718359E-2</v>
      </c>
      <c r="BO27" s="33">
        <f t="shared" ca="1" si="26"/>
        <v>9.9543454379547799E-3</v>
      </c>
      <c r="BP27" s="33">
        <f t="shared" ca="1" si="26"/>
        <v>1.3007479874317059E-2</v>
      </c>
      <c r="BQ27" s="33">
        <f t="shared" ca="1" si="27"/>
        <v>1.3152356977226247E-2</v>
      </c>
      <c r="BR27" s="33">
        <f t="shared" ca="1" si="27"/>
        <v>1.0560428492164702E-2</v>
      </c>
      <c r="BS27" s="33">
        <f t="shared" ca="1" si="27"/>
        <v>8.141299281068411E-3</v>
      </c>
      <c r="BT27" s="33">
        <f t="shared" ca="1" si="27"/>
        <v>1.1471951173535232E-2</v>
      </c>
      <c r="BU27" s="33">
        <f t="shared" ca="1" si="27"/>
        <v>1.0701672727496813E-2</v>
      </c>
      <c r="BV27" s="33">
        <f t="shared" ca="1" si="27"/>
        <v>9.7732982794512552E-3</v>
      </c>
      <c r="BW27" s="33">
        <f t="shared" ca="1" si="27"/>
        <v>1.1817885317467842E-2</v>
      </c>
      <c r="BX27" s="33">
        <f t="shared" ca="1" si="27"/>
        <v>1.1877317415984049E-2</v>
      </c>
      <c r="BY27" s="33">
        <f t="shared" ca="1" si="27"/>
        <v>1.1608547682206372E-2</v>
      </c>
      <c r="BZ27" s="33">
        <f t="shared" ca="1" si="27"/>
        <v>1.0547478235080236E-2</v>
      </c>
      <c r="CA27" s="33">
        <f t="shared" ca="1" si="28"/>
        <v>1.0947905467526912E-2</v>
      </c>
      <c r="CB27" s="33">
        <f t="shared" ca="1" si="28"/>
        <v>1.0329131239757636E-2</v>
      </c>
      <c r="CC27" s="33">
        <f t="shared" ca="1" si="28"/>
        <v>9.923901674638776E-3</v>
      </c>
      <c r="CD27" s="33">
        <f t="shared" ca="1" si="28"/>
        <v>1.0366134976436845E-2</v>
      </c>
      <c r="CE27" s="33">
        <f t="shared" ca="1" si="28"/>
        <v>1.1301512728878126E-2</v>
      </c>
      <c r="CF27" s="33">
        <f t="shared" ca="1" si="28"/>
        <v>1.2662085765746017E-2</v>
      </c>
      <c r="CG27" s="33">
        <f t="shared" ca="1" si="28"/>
        <v>8.6379696629457006E-3</v>
      </c>
      <c r="CH27" s="33">
        <f t="shared" ca="1" si="28"/>
        <v>1.1300436928948759E-2</v>
      </c>
      <c r="CI27" s="33">
        <f t="shared" ca="1" si="28"/>
        <v>1.2493046810041857E-2</v>
      </c>
      <c r="CJ27" s="33">
        <f t="shared" ca="1" si="28"/>
        <v>1.079963907379574E-2</v>
      </c>
      <c r="CK27" s="33">
        <f t="shared" ca="1" si="29"/>
        <v>1.0941895606536519E-2</v>
      </c>
      <c r="CL27" s="33">
        <f t="shared" ca="1" si="29"/>
        <v>1.3538453699133417E-2</v>
      </c>
      <c r="CM27" s="33">
        <f t="shared" ca="1" si="29"/>
        <v>1.207237192330596E-2</v>
      </c>
      <c r="CN27" s="33">
        <f t="shared" ca="1" si="29"/>
        <v>1.0373029234770476E-2</v>
      </c>
      <c r="CO27" s="33">
        <f t="shared" ca="1" si="29"/>
        <v>1.129879030168442E-2</v>
      </c>
      <c r="CP27" s="33">
        <f t="shared" ca="1" si="29"/>
        <v>1.0368361583735115E-2</v>
      </c>
      <c r="CQ27" s="33">
        <f t="shared" ca="1" si="29"/>
        <v>1.2456972238093732E-2</v>
      </c>
      <c r="CR27" s="33">
        <f t="shared" ca="1" si="29"/>
        <v>1.5847804250656745E-2</v>
      </c>
      <c r="CS27" s="33">
        <f t="shared" ca="1" si="29"/>
        <v>1.1840835997653452E-2</v>
      </c>
      <c r="CT27" s="33">
        <f t="shared" ca="1" si="29"/>
        <v>1.2923973001181557E-2</v>
      </c>
      <c r="CU27" s="33">
        <f t="shared" ca="1" si="30"/>
        <v>1.125858321367061E-2</v>
      </c>
      <c r="CV27" s="33">
        <f t="shared" ca="1" si="30"/>
        <v>1.0575988177033235E-2</v>
      </c>
      <c r="CW27" s="33">
        <f t="shared" ca="1" si="30"/>
        <v>7.2208433980176867E-3</v>
      </c>
      <c r="CX27" s="33">
        <f t="shared" ca="1" si="30"/>
        <v>7.6409419539107942E-3</v>
      </c>
      <c r="CY27" s="33">
        <f t="shared" ca="1" si="30"/>
        <v>1.0107875861262881E-2</v>
      </c>
      <c r="CZ27" s="33">
        <f t="shared" ca="1" si="30"/>
        <v>1.1436381078052938E-2</v>
      </c>
      <c r="DA27" s="33">
        <f t="shared" ca="1" si="30"/>
        <v>1.0647454414450639E-2</v>
      </c>
      <c r="DB27" s="33">
        <f t="shared" ca="1" si="30"/>
        <v>1.0519083203221148E-2</v>
      </c>
      <c r="DC27" s="33">
        <f t="shared" ca="1" si="30"/>
        <v>1.4304924113196818E-2</v>
      </c>
      <c r="DD27" s="33">
        <f t="shared" ca="1" si="30"/>
        <v>1.1073895344026754E-2</v>
      </c>
      <c r="DE27" s="33">
        <f t="shared" ca="1" si="31"/>
        <v>9.6493147264688373E-3</v>
      </c>
      <c r="DF27" s="33">
        <f t="shared" ca="1" si="31"/>
        <v>1.2822314162651243E-2</v>
      </c>
      <c r="DG27" s="33">
        <f t="shared" ca="1" si="31"/>
        <v>1.1411361546720084E-2</v>
      </c>
      <c r="DH27" s="33">
        <f t="shared" ca="1" si="31"/>
        <v>1.294005057959768E-2</v>
      </c>
      <c r="DI27" s="33">
        <f t="shared" ca="1" si="31"/>
        <v>1.2411310278508877E-2</v>
      </c>
      <c r="DJ27" s="33">
        <f t="shared" ca="1" si="31"/>
        <v>1.0382244508588814E-2</v>
      </c>
      <c r="DK27" s="33">
        <f t="shared" ca="1" si="31"/>
        <v>1.1877429788006717E-2</v>
      </c>
      <c r="DL27" s="33">
        <f t="shared" ca="1" si="31"/>
        <v>1.2395712225374705E-2</v>
      </c>
      <c r="DM27" s="33">
        <f t="shared" ca="1" si="31"/>
        <v>9.2357424110169391E-3</v>
      </c>
      <c r="DN27" s="33">
        <f t="shared" ca="1" si="31"/>
        <v>1.0617292887993032E-2</v>
      </c>
      <c r="DO27" s="12"/>
      <c r="DP27" s="12"/>
      <c r="DQ27" s="12"/>
    </row>
    <row r="28" spans="1:121" x14ac:dyDescent="0.2">
      <c r="I28" s="32">
        <v>45261</v>
      </c>
      <c r="J28" s="33">
        <f t="shared" ca="1" si="0"/>
        <v>1.0673224833735442E-2</v>
      </c>
      <c r="K28" s="9">
        <v>1950</v>
      </c>
      <c r="L28" s="9">
        <f t="shared" ca="1" si="11"/>
        <v>49976.639806278494</v>
      </c>
      <c r="N28" s="6">
        <v>24</v>
      </c>
      <c r="O28" s="5">
        <v>3.9419529385843646</v>
      </c>
      <c r="P28" s="9">
        <v>682434.88081075752</v>
      </c>
      <c r="R28" s="32">
        <v>45261</v>
      </c>
      <c r="S28" s="33">
        <f t="shared" ca="1" si="22"/>
        <v>1.0595233555499647E-2</v>
      </c>
      <c r="T28" s="33">
        <f t="shared" ca="1" si="22"/>
        <v>1.0175005381526598E-2</v>
      </c>
      <c r="U28" s="33">
        <f t="shared" ca="1" si="22"/>
        <v>1.2940396847383366E-2</v>
      </c>
      <c r="V28" s="33">
        <f t="shared" ca="1" si="22"/>
        <v>1.0646238249705653E-2</v>
      </c>
      <c r="W28" s="33">
        <f t="shared" ca="1" si="22"/>
        <v>1.0786181793551093E-2</v>
      </c>
      <c r="X28" s="33">
        <f t="shared" ca="1" si="22"/>
        <v>9.4569655045721821E-3</v>
      </c>
      <c r="Y28" s="33">
        <f t="shared" ca="1" si="22"/>
        <v>8.2480073753193328E-3</v>
      </c>
      <c r="Z28" s="33">
        <f t="shared" ca="1" si="22"/>
        <v>1.3396081007689154E-2</v>
      </c>
      <c r="AA28" s="33">
        <f t="shared" ca="1" si="22"/>
        <v>1.2174989724980245E-2</v>
      </c>
      <c r="AB28" s="33">
        <f t="shared" ca="1" si="22"/>
        <v>1.1096337459977311E-2</v>
      </c>
      <c r="AC28" s="33">
        <f t="shared" ca="1" si="23"/>
        <v>1.2343762291208218E-2</v>
      </c>
      <c r="AD28" s="33">
        <f t="shared" ca="1" si="23"/>
        <v>1.1228298893270644E-2</v>
      </c>
      <c r="AE28" s="33">
        <f t="shared" ca="1" si="23"/>
        <v>1.3641468570923961E-2</v>
      </c>
      <c r="AF28" s="33">
        <f t="shared" ca="1" si="23"/>
        <v>1.2089549754182407E-2</v>
      </c>
      <c r="AG28" s="33">
        <f t="shared" ca="1" si="23"/>
        <v>8.8615148293384131E-3</v>
      </c>
      <c r="AH28" s="33">
        <f t="shared" ca="1" si="23"/>
        <v>1.3991302920526867E-2</v>
      </c>
      <c r="AI28" s="33">
        <f t="shared" ca="1" si="23"/>
        <v>1.4223043267907191E-2</v>
      </c>
      <c r="AJ28" s="33">
        <f t="shared" ca="1" si="23"/>
        <v>1.0261583807113613E-2</v>
      </c>
      <c r="AK28" s="33">
        <f t="shared" ca="1" si="23"/>
        <v>1.2794696637371934E-2</v>
      </c>
      <c r="AL28" s="33">
        <f t="shared" ca="1" si="23"/>
        <v>1.137468462452924E-2</v>
      </c>
      <c r="AM28" s="33">
        <f t="shared" ca="1" si="24"/>
        <v>9.8542430072678967E-3</v>
      </c>
      <c r="AN28" s="33">
        <f t="shared" ca="1" si="24"/>
        <v>1.2118176720167547E-2</v>
      </c>
      <c r="AO28" s="33">
        <f t="shared" ca="1" si="24"/>
        <v>1.1718073558890161E-2</v>
      </c>
      <c r="AP28" s="33">
        <f t="shared" ca="1" si="24"/>
        <v>1.1072099193719915E-2</v>
      </c>
      <c r="AQ28" s="33">
        <f t="shared" ca="1" si="24"/>
        <v>1.0931973299125548E-2</v>
      </c>
      <c r="AR28" s="33">
        <f t="shared" ca="1" si="24"/>
        <v>9.1333282050574081E-3</v>
      </c>
      <c r="AS28" s="33">
        <f t="shared" ca="1" si="24"/>
        <v>1.204475034067873E-2</v>
      </c>
      <c r="AT28" s="33">
        <f t="shared" ca="1" si="24"/>
        <v>1.1007016796256978E-2</v>
      </c>
      <c r="AU28" s="33">
        <f t="shared" ca="1" si="24"/>
        <v>1.0005306845875785E-2</v>
      </c>
      <c r="AV28" s="33">
        <f t="shared" ca="1" si="24"/>
        <v>1.0324404773523435E-2</v>
      </c>
      <c r="AW28" s="33">
        <f t="shared" ca="1" si="25"/>
        <v>1.208490268949582E-2</v>
      </c>
      <c r="AX28" s="33">
        <f t="shared" ca="1" si="25"/>
        <v>9.5847706985318047E-3</v>
      </c>
      <c r="AY28" s="33">
        <f t="shared" ca="1" si="25"/>
        <v>1.3730188209437198E-2</v>
      </c>
      <c r="AZ28" s="33">
        <f t="shared" ca="1" si="25"/>
        <v>8.1292028014637203E-3</v>
      </c>
      <c r="BA28" s="33">
        <f t="shared" ca="1" si="25"/>
        <v>1.0128724579957164E-2</v>
      </c>
      <c r="BB28" s="33">
        <f t="shared" ca="1" si="25"/>
        <v>1.2573906737762588E-2</v>
      </c>
      <c r="BC28" s="33">
        <f t="shared" ca="1" si="25"/>
        <v>1.0907010554223207E-2</v>
      </c>
      <c r="BD28" s="33">
        <f t="shared" ca="1" si="25"/>
        <v>1.0054664552297634E-2</v>
      </c>
      <c r="BE28" s="33">
        <f t="shared" ca="1" si="25"/>
        <v>1.3162760317292549E-2</v>
      </c>
      <c r="BF28" s="33">
        <f t="shared" ca="1" si="25"/>
        <v>1.0488679098937709E-2</v>
      </c>
      <c r="BG28" s="33">
        <f t="shared" ca="1" si="26"/>
        <v>1.2937041678907083E-2</v>
      </c>
      <c r="BH28" s="33">
        <f t="shared" ca="1" si="26"/>
        <v>1.3911469218711035E-2</v>
      </c>
      <c r="BI28" s="33">
        <f t="shared" ca="1" si="26"/>
        <v>1.1442996942138855E-2</v>
      </c>
      <c r="BJ28" s="33">
        <f t="shared" ca="1" si="26"/>
        <v>1.0020897556944689E-2</v>
      </c>
      <c r="BK28" s="33">
        <f t="shared" ca="1" si="26"/>
        <v>9.6363459476347495E-3</v>
      </c>
      <c r="BL28" s="33">
        <f t="shared" ca="1" si="26"/>
        <v>1.0151628818328248E-2</v>
      </c>
      <c r="BM28" s="33">
        <f t="shared" ca="1" si="26"/>
        <v>1.2427595259552497E-2</v>
      </c>
      <c r="BN28" s="33">
        <f t="shared" ca="1" si="26"/>
        <v>1.0651441251996652E-2</v>
      </c>
      <c r="BO28" s="33">
        <f t="shared" ca="1" si="26"/>
        <v>1.0420041966150848E-2</v>
      </c>
      <c r="BP28" s="33">
        <f t="shared" ca="1" si="26"/>
        <v>1.1762611124785364E-2</v>
      </c>
      <c r="BQ28" s="33">
        <f t="shared" ca="1" si="27"/>
        <v>1.0177623143389878E-2</v>
      </c>
      <c r="BR28" s="33">
        <f t="shared" ca="1" si="27"/>
        <v>1.0888116483033897E-2</v>
      </c>
      <c r="BS28" s="33">
        <f t="shared" ca="1" si="27"/>
        <v>1.1987334851288381E-2</v>
      </c>
      <c r="BT28" s="33">
        <f t="shared" ca="1" si="27"/>
        <v>9.287388423461343E-3</v>
      </c>
      <c r="BU28" s="33">
        <f t="shared" ca="1" si="27"/>
        <v>1.3028710003759613E-2</v>
      </c>
      <c r="BV28" s="33">
        <f t="shared" ca="1" si="27"/>
        <v>1.3143057859294148E-2</v>
      </c>
      <c r="BW28" s="33">
        <f t="shared" ca="1" si="27"/>
        <v>9.572099339599011E-3</v>
      </c>
      <c r="BX28" s="33">
        <f t="shared" ca="1" si="27"/>
        <v>1.2877631393466748E-2</v>
      </c>
      <c r="BY28" s="33">
        <f t="shared" ca="1" si="27"/>
        <v>1.0482964854480342E-2</v>
      </c>
      <c r="BZ28" s="33">
        <f t="shared" ca="1" si="27"/>
        <v>1.0708901263716854E-2</v>
      </c>
      <c r="CA28" s="33">
        <f t="shared" ca="1" si="28"/>
        <v>1.2599059205418402E-2</v>
      </c>
      <c r="CB28" s="33">
        <f t="shared" ca="1" si="28"/>
        <v>9.6262411363756736E-3</v>
      </c>
      <c r="CC28" s="33">
        <f t="shared" ca="1" si="28"/>
        <v>1.0850272044253446E-2</v>
      </c>
      <c r="CD28" s="33">
        <f t="shared" ca="1" si="28"/>
        <v>1.250382142690404E-2</v>
      </c>
      <c r="CE28" s="33">
        <f t="shared" ca="1" si="28"/>
        <v>1.1018484414339903E-2</v>
      </c>
      <c r="CF28" s="33">
        <f t="shared" ca="1" si="28"/>
        <v>1.1367950428088944E-2</v>
      </c>
      <c r="CG28" s="33">
        <f t="shared" ca="1" si="28"/>
        <v>9.9124786833640326E-3</v>
      </c>
      <c r="CH28" s="33">
        <f t="shared" ca="1" si="28"/>
        <v>1.0841619804866811E-2</v>
      </c>
      <c r="CI28" s="33">
        <f t="shared" ca="1" si="28"/>
        <v>1.1365547058155614E-2</v>
      </c>
      <c r="CJ28" s="33">
        <f t="shared" ca="1" si="28"/>
        <v>1.0177820584635913E-2</v>
      </c>
      <c r="CK28" s="33">
        <f t="shared" ca="1" si="29"/>
        <v>1.298625661597827E-2</v>
      </c>
      <c r="CL28" s="33">
        <f t="shared" ca="1" si="29"/>
        <v>1.2458895824189794E-2</v>
      </c>
      <c r="CM28" s="33">
        <f t="shared" ca="1" si="29"/>
        <v>9.016819497674404E-3</v>
      </c>
      <c r="CN28" s="33">
        <f t="shared" ca="1" si="29"/>
        <v>1.0523657886621528E-2</v>
      </c>
      <c r="CO28" s="33">
        <f t="shared" ca="1" si="29"/>
        <v>1.2716768326055596E-2</v>
      </c>
      <c r="CP28" s="33">
        <f t="shared" ca="1" si="29"/>
        <v>1.0785675091207148E-2</v>
      </c>
      <c r="CQ28" s="33">
        <f t="shared" ca="1" si="29"/>
        <v>1.1012162035943953E-2</v>
      </c>
      <c r="CR28" s="33">
        <f t="shared" ca="1" si="29"/>
        <v>1.0710695240040875E-2</v>
      </c>
      <c r="CS28" s="33">
        <f t="shared" ca="1" si="29"/>
        <v>1.259870567384035E-2</v>
      </c>
      <c r="CT28" s="33">
        <f t="shared" ca="1" si="29"/>
        <v>1.3375759497893271E-2</v>
      </c>
      <c r="CU28" s="33">
        <f t="shared" ca="1" si="30"/>
        <v>1.1204675421060128E-2</v>
      </c>
      <c r="CV28" s="33">
        <f t="shared" ca="1" si="30"/>
        <v>1.0097650367843276E-2</v>
      </c>
      <c r="CW28" s="33">
        <f t="shared" ca="1" si="30"/>
        <v>9.470526295684031E-3</v>
      </c>
      <c r="CX28" s="33">
        <f t="shared" ca="1" si="30"/>
        <v>9.8897873700515299E-3</v>
      </c>
      <c r="CY28" s="33">
        <f t="shared" ca="1" si="30"/>
        <v>1.0955472087913989E-2</v>
      </c>
      <c r="CZ28" s="33">
        <f t="shared" ca="1" si="30"/>
        <v>1.3664618350960301E-2</v>
      </c>
      <c r="DA28" s="33">
        <f t="shared" ca="1" si="30"/>
        <v>8.9998120533020982E-3</v>
      </c>
      <c r="DB28" s="33">
        <f t="shared" ca="1" si="30"/>
        <v>1.0738491072389908E-2</v>
      </c>
      <c r="DC28" s="33">
        <f t="shared" ca="1" si="30"/>
        <v>1.0033451714807084E-2</v>
      </c>
      <c r="DD28" s="33">
        <f t="shared" ca="1" si="30"/>
        <v>1.0923077536899811E-2</v>
      </c>
      <c r="DE28" s="33">
        <f t="shared" ca="1" si="31"/>
        <v>1.0840900225086705E-2</v>
      </c>
      <c r="DF28" s="33">
        <f t="shared" ca="1" si="31"/>
        <v>1.0974205459239883E-2</v>
      </c>
      <c r="DG28" s="33">
        <f t="shared" ca="1" si="31"/>
        <v>1.2661415537442808E-2</v>
      </c>
      <c r="DH28" s="33">
        <f t="shared" ca="1" si="31"/>
        <v>9.2624954517039025E-3</v>
      </c>
      <c r="DI28" s="33">
        <f t="shared" ca="1" si="31"/>
        <v>1.400865201872595E-2</v>
      </c>
      <c r="DJ28" s="33">
        <f t="shared" ca="1" si="31"/>
        <v>1.1706908626019565E-2</v>
      </c>
      <c r="DK28" s="33">
        <f t="shared" ca="1" si="31"/>
        <v>1.0903840466349157E-2</v>
      </c>
      <c r="DL28" s="33">
        <f t="shared" ca="1" si="31"/>
        <v>1.2963577518581614E-2</v>
      </c>
      <c r="DM28" s="33">
        <f t="shared" ca="1" si="31"/>
        <v>1.0222678922910481E-2</v>
      </c>
      <c r="DN28" s="33">
        <f t="shared" ca="1" si="31"/>
        <v>8.8733524307403385E-3</v>
      </c>
      <c r="DO28" s="12"/>
      <c r="DP28" s="12"/>
      <c r="DQ28" s="12"/>
    </row>
    <row r="29" spans="1:121" x14ac:dyDescent="0.2">
      <c r="I29" s="32">
        <v>45292</v>
      </c>
      <c r="J29" s="33">
        <f t="shared" ca="1" si="0"/>
        <v>1.0644055158980651E-2</v>
      </c>
      <c r="K29" s="9">
        <v>1950</v>
      </c>
      <c r="L29" s="9">
        <f t="shared" ca="1" si="11"/>
        <v>52461.435062975805</v>
      </c>
      <c r="N29" s="6">
        <v>25</v>
      </c>
      <c r="O29" s="5">
        <v>4.0546882242325673</v>
      </c>
      <c r="P29" s="9">
        <v>696197.28890245035</v>
      </c>
      <c r="R29" s="32">
        <v>45292</v>
      </c>
      <c r="S29" s="33">
        <f t="shared" ca="1" si="22"/>
        <v>1.14215507590583E-2</v>
      </c>
      <c r="T29" s="33">
        <f t="shared" ca="1" si="22"/>
        <v>1.1956344383983814E-2</v>
      </c>
      <c r="U29" s="33">
        <f t="shared" ca="1" si="22"/>
        <v>1.3046636049048613E-2</v>
      </c>
      <c r="V29" s="33">
        <f t="shared" ca="1" si="22"/>
        <v>1.2882294114009507E-2</v>
      </c>
      <c r="W29" s="33">
        <f t="shared" ca="1" si="22"/>
        <v>1.032819808733261E-2</v>
      </c>
      <c r="X29" s="33">
        <f t="shared" ca="1" si="22"/>
        <v>1.2262347887577917E-2</v>
      </c>
      <c r="Y29" s="33">
        <f t="shared" ca="1" si="22"/>
        <v>8.9956425552655071E-3</v>
      </c>
      <c r="Z29" s="33">
        <f t="shared" ca="1" si="22"/>
        <v>1.2444975480083071E-2</v>
      </c>
      <c r="AA29" s="33">
        <f t="shared" ca="1" si="22"/>
        <v>9.1463486387336167E-3</v>
      </c>
      <c r="AB29" s="33">
        <f t="shared" ca="1" si="22"/>
        <v>1.0227074924307907E-2</v>
      </c>
      <c r="AC29" s="33">
        <f t="shared" ca="1" si="23"/>
        <v>1.25486300950573E-2</v>
      </c>
      <c r="AD29" s="33">
        <f t="shared" ca="1" si="23"/>
        <v>1.2057797516626542E-2</v>
      </c>
      <c r="AE29" s="33">
        <f t="shared" ca="1" si="23"/>
        <v>9.7318656898994719E-3</v>
      </c>
      <c r="AF29" s="33">
        <f t="shared" ca="1" si="23"/>
        <v>1.2762680680492073E-2</v>
      </c>
      <c r="AG29" s="33">
        <f t="shared" ca="1" si="23"/>
        <v>1.2231074387669207E-2</v>
      </c>
      <c r="AH29" s="33">
        <f t="shared" ca="1" si="23"/>
        <v>1.2907860034105717E-2</v>
      </c>
      <c r="AI29" s="33">
        <f t="shared" ca="1" si="23"/>
        <v>1.0698523185441905E-2</v>
      </c>
      <c r="AJ29" s="33">
        <f t="shared" ca="1" si="23"/>
        <v>9.38856647280727E-3</v>
      </c>
      <c r="AK29" s="33">
        <f t="shared" ca="1" si="23"/>
        <v>1.1938965532285203E-2</v>
      </c>
      <c r="AL29" s="33">
        <f t="shared" ca="1" si="23"/>
        <v>1.2047139374281104E-2</v>
      </c>
      <c r="AM29" s="33">
        <f t="shared" ca="1" si="24"/>
        <v>1.3119911024412814E-2</v>
      </c>
      <c r="AN29" s="33">
        <f t="shared" ca="1" si="24"/>
        <v>1.3311993344386427E-2</v>
      </c>
      <c r="AO29" s="33">
        <f t="shared" ca="1" si="24"/>
        <v>1.1143389026232776E-2</v>
      </c>
      <c r="AP29" s="33">
        <f t="shared" ca="1" si="24"/>
        <v>1.3934117267226338E-2</v>
      </c>
      <c r="AQ29" s="33">
        <f t="shared" ca="1" si="24"/>
        <v>1.0315651504660487E-2</v>
      </c>
      <c r="AR29" s="33">
        <f t="shared" ca="1" si="24"/>
        <v>1.1620412857871376E-2</v>
      </c>
      <c r="AS29" s="33">
        <f t="shared" ca="1" si="24"/>
        <v>1.0192846963343289E-2</v>
      </c>
      <c r="AT29" s="33">
        <f t="shared" ca="1" si="24"/>
        <v>1.2702599727233269E-2</v>
      </c>
      <c r="AU29" s="33">
        <f t="shared" ca="1" si="24"/>
        <v>1.2948271527875253E-2</v>
      </c>
      <c r="AV29" s="33">
        <f t="shared" ca="1" si="24"/>
        <v>1.3544535874221476E-2</v>
      </c>
      <c r="AW29" s="33">
        <f t="shared" ca="1" si="25"/>
        <v>1.1367333676489203E-2</v>
      </c>
      <c r="AX29" s="33">
        <f t="shared" ca="1" si="25"/>
        <v>1.019192992521277E-2</v>
      </c>
      <c r="AY29" s="33">
        <f t="shared" ca="1" si="25"/>
        <v>1.0469977253282624E-2</v>
      </c>
      <c r="AZ29" s="33">
        <f t="shared" ca="1" si="25"/>
        <v>9.9109254945169978E-3</v>
      </c>
      <c r="BA29" s="33">
        <f t="shared" ca="1" si="25"/>
        <v>9.9828010975177121E-3</v>
      </c>
      <c r="BB29" s="33">
        <f t="shared" ca="1" si="25"/>
        <v>1.1073589768182058E-2</v>
      </c>
      <c r="BC29" s="33">
        <f t="shared" ca="1" si="25"/>
        <v>1.4763347253771718E-2</v>
      </c>
      <c r="BD29" s="33">
        <f t="shared" ca="1" si="25"/>
        <v>1.5285279835488722E-2</v>
      </c>
      <c r="BE29" s="33">
        <f t="shared" ca="1" si="25"/>
        <v>1.3742900652545159E-2</v>
      </c>
      <c r="BF29" s="33">
        <f t="shared" ca="1" si="25"/>
        <v>1.0101306692736666E-2</v>
      </c>
      <c r="BG29" s="33">
        <f t="shared" ca="1" si="26"/>
        <v>1.2688337088334896E-2</v>
      </c>
      <c r="BH29" s="33">
        <f t="shared" ca="1" si="26"/>
        <v>1.154672155070913E-2</v>
      </c>
      <c r="BI29" s="33">
        <f t="shared" ca="1" si="26"/>
        <v>1.060816742460439E-2</v>
      </c>
      <c r="BJ29" s="33">
        <f t="shared" ca="1" si="26"/>
        <v>1.4132796224571281E-2</v>
      </c>
      <c r="BK29" s="33">
        <f t="shared" ca="1" si="26"/>
        <v>9.4796603969712328E-3</v>
      </c>
      <c r="BL29" s="33">
        <f t="shared" ca="1" si="26"/>
        <v>1.2097841636812731E-2</v>
      </c>
      <c r="BM29" s="33">
        <f t="shared" ca="1" si="26"/>
        <v>1.0256945257696324E-2</v>
      </c>
      <c r="BN29" s="33">
        <f t="shared" ca="1" si="26"/>
        <v>1.2139876773149372E-2</v>
      </c>
      <c r="BO29" s="33">
        <f t="shared" ca="1" si="26"/>
        <v>1.1874723222667362E-2</v>
      </c>
      <c r="BP29" s="33">
        <f t="shared" ca="1" si="26"/>
        <v>8.087979992869981E-3</v>
      </c>
      <c r="BQ29" s="33">
        <f t="shared" ca="1" si="27"/>
        <v>1.0897270547353545E-2</v>
      </c>
      <c r="BR29" s="33">
        <f t="shared" ca="1" si="27"/>
        <v>1.0925556202755772E-2</v>
      </c>
      <c r="BS29" s="33">
        <f t="shared" ca="1" si="27"/>
        <v>9.5570194601570374E-3</v>
      </c>
      <c r="BT29" s="33">
        <f t="shared" ca="1" si="27"/>
        <v>1.0389827500515808E-2</v>
      </c>
      <c r="BU29" s="33">
        <f t="shared" ca="1" si="27"/>
        <v>1.257609442259703E-2</v>
      </c>
      <c r="BV29" s="33">
        <f t="shared" ca="1" si="27"/>
        <v>1.1321996158134713E-2</v>
      </c>
      <c r="BW29" s="33">
        <f t="shared" ca="1" si="27"/>
        <v>7.1858715434347025E-3</v>
      </c>
      <c r="BX29" s="33">
        <f t="shared" ca="1" si="27"/>
        <v>1.3126995111209445E-2</v>
      </c>
      <c r="BY29" s="33">
        <f t="shared" ca="1" si="27"/>
        <v>8.8169456490200856E-3</v>
      </c>
      <c r="BZ29" s="33">
        <f t="shared" ca="1" si="27"/>
        <v>1.3740573148078543E-2</v>
      </c>
      <c r="CA29" s="33">
        <f t="shared" ca="1" si="28"/>
        <v>1.1478613425455723E-2</v>
      </c>
      <c r="CB29" s="33">
        <f t="shared" ca="1" si="28"/>
        <v>1.1057816075222068E-2</v>
      </c>
      <c r="CC29" s="33">
        <f t="shared" ca="1" si="28"/>
        <v>8.8295904819881716E-3</v>
      </c>
      <c r="CD29" s="33">
        <f t="shared" ca="1" si="28"/>
        <v>1.309048848425445E-2</v>
      </c>
      <c r="CE29" s="33">
        <f t="shared" ca="1" si="28"/>
        <v>1.0927919478201075E-2</v>
      </c>
      <c r="CF29" s="33">
        <f t="shared" ca="1" si="28"/>
        <v>1.0715926284735007E-2</v>
      </c>
      <c r="CG29" s="33">
        <f t="shared" ca="1" si="28"/>
        <v>1.032401440228187E-2</v>
      </c>
      <c r="CH29" s="33">
        <f t="shared" ca="1" si="28"/>
        <v>1.0868437382910453E-2</v>
      </c>
      <c r="CI29" s="33">
        <f t="shared" ca="1" si="28"/>
        <v>1.2905534020192268E-2</v>
      </c>
      <c r="CJ29" s="33">
        <f t="shared" ca="1" si="28"/>
        <v>1.2999046589261355E-2</v>
      </c>
      <c r="CK29" s="33">
        <f t="shared" ca="1" si="29"/>
        <v>9.4580585993764028E-3</v>
      </c>
      <c r="CL29" s="33">
        <f t="shared" ca="1" si="29"/>
        <v>1.060730536151327E-2</v>
      </c>
      <c r="CM29" s="33">
        <f t="shared" ca="1" si="29"/>
        <v>1.2842637264920118E-2</v>
      </c>
      <c r="CN29" s="33">
        <f t="shared" ca="1" si="29"/>
        <v>1.3226451872793555E-2</v>
      </c>
      <c r="CO29" s="33">
        <f t="shared" ca="1" si="29"/>
        <v>9.6670989013693497E-3</v>
      </c>
      <c r="CP29" s="33">
        <f t="shared" ca="1" si="29"/>
        <v>1.0138456004168642E-2</v>
      </c>
      <c r="CQ29" s="33">
        <f t="shared" ca="1" si="29"/>
        <v>1.1365459809580286E-2</v>
      </c>
      <c r="CR29" s="33">
        <f t="shared" ca="1" si="29"/>
        <v>1.2176187191502845E-2</v>
      </c>
      <c r="CS29" s="33">
        <f t="shared" ca="1" si="29"/>
        <v>9.3116682671358642E-3</v>
      </c>
      <c r="CT29" s="33">
        <f t="shared" ca="1" si="29"/>
        <v>8.1435410856825433E-3</v>
      </c>
      <c r="CU29" s="33">
        <f t="shared" ca="1" si="30"/>
        <v>7.2682878868441329E-3</v>
      </c>
      <c r="CV29" s="33">
        <f t="shared" ca="1" si="30"/>
        <v>1.0126832588922325E-2</v>
      </c>
      <c r="CW29" s="33">
        <f t="shared" ca="1" si="30"/>
        <v>1.1011096134631871E-2</v>
      </c>
      <c r="CX29" s="33">
        <f t="shared" ca="1" si="30"/>
        <v>1.1695965174491724E-2</v>
      </c>
      <c r="CY29" s="33">
        <f t="shared" ca="1" si="30"/>
        <v>1.0787161917460051E-2</v>
      </c>
      <c r="CZ29" s="33">
        <f t="shared" ca="1" si="30"/>
        <v>1.2579552464190142E-2</v>
      </c>
      <c r="DA29" s="33">
        <f t="shared" ca="1" si="30"/>
        <v>1.2053367780257845E-2</v>
      </c>
      <c r="DB29" s="33">
        <f t="shared" ca="1" si="30"/>
        <v>1.1413953765158854E-2</v>
      </c>
      <c r="DC29" s="33">
        <f t="shared" ca="1" si="30"/>
        <v>9.9643029808896433E-3</v>
      </c>
      <c r="DD29" s="33">
        <f t="shared" ca="1" si="30"/>
        <v>1.4410982784059735E-2</v>
      </c>
      <c r="DE29" s="33">
        <f t="shared" ca="1" si="31"/>
        <v>1.143660500737193E-2</v>
      </c>
      <c r="DF29" s="33">
        <f t="shared" ca="1" si="31"/>
        <v>1.0403124302244254E-2</v>
      </c>
      <c r="DG29" s="33">
        <f t="shared" ca="1" si="31"/>
        <v>1.2485752047963398E-2</v>
      </c>
      <c r="DH29" s="33">
        <f t="shared" ca="1" si="31"/>
        <v>9.9350095859531105E-3</v>
      </c>
      <c r="DI29" s="33">
        <f t="shared" ca="1" si="31"/>
        <v>1.0362561851866977E-2</v>
      </c>
      <c r="DJ29" s="33">
        <f t="shared" ca="1" si="31"/>
        <v>9.2076103626277401E-3</v>
      </c>
      <c r="DK29" s="33">
        <f t="shared" ca="1" si="31"/>
        <v>1.1587882236869218E-2</v>
      </c>
      <c r="DL29" s="33">
        <f t="shared" ca="1" si="31"/>
        <v>1.1766907083946749E-2</v>
      </c>
      <c r="DM29" s="33">
        <f t="shared" ca="1" si="31"/>
        <v>1.0642010557095072E-2</v>
      </c>
      <c r="DN29" s="33">
        <f t="shared" ca="1" si="31"/>
        <v>8.178448863756585E-3</v>
      </c>
      <c r="DO29" s="12"/>
      <c r="DP29" s="12"/>
      <c r="DQ29" s="12"/>
    </row>
    <row r="30" spans="1:121" x14ac:dyDescent="0.2">
      <c r="I30" s="32">
        <v>45323</v>
      </c>
      <c r="J30" s="33">
        <f t="shared" ca="1" si="0"/>
        <v>1.1088454714704814E-2</v>
      </c>
      <c r="K30" s="9">
        <v>2320.4999999999995</v>
      </c>
      <c r="L30" s="9">
        <f t="shared" ca="1" si="11"/>
        <v>55366.888430896208</v>
      </c>
      <c r="N30" s="6">
        <v>26</v>
      </c>
      <c r="O30" s="5">
        <v>3.9718663942976522</v>
      </c>
      <c r="P30" s="9">
        <v>692610.38726611703</v>
      </c>
      <c r="R30" s="32">
        <v>45323</v>
      </c>
      <c r="S30" s="33">
        <f t="shared" ca="1" si="22"/>
        <v>9.8703781628787877E-3</v>
      </c>
      <c r="T30" s="33">
        <f t="shared" ca="1" si="22"/>
        <v>1.081282157145951E-2</v>
      </c>
      <c r="U30" s="33">
        <f t="shared" ca="1" si="22"/>
        <v>1.0562919799222642E-2</v>
      </c>
      <c r="V30" s="33">
        <f t="shared" ca="1" si="22"/>
        <v>1.125938472622961E-2</v>
      </c>
      <c r="W30" s="33">
        <f t="shared" ca="1" si="22"/>
        <v>1.0403125437377319E-2</v>
      </c>
      <c r="X30" s="33">
        <f t="shared" ca="1" si="22"/>
        <v>1.1796981492741448E-2</v>
      </c>
      <c r="Y30" s="33">
        <f t="shared" ca="1" si="22"/>
        <v>1.3546456817578236E-2</v>
      </c>
      <c r="Z30" s="33">
        <f t="shared" ca="1" si="22"/>
        <v>1.2109052822784397E-2</v>
      </c>
      <c r="AA30" s="33">
        <f t="shared" ca="1" si="22"/>
        <v>1.066042999463029E-2</v>
      </c>
      <c r="AB30" s="33">
        <f t="shared" ca="1" si="22"/>
        <v>9.9171228163507843E-3</v>
      </c>
      <c r="AC30" s="33">
        <f t="shared" ca="1" si="23"/>
        <v>1.1971109053681371E-2</v>
      </c>
      <c r="AD30" s="33">
        <f t="shared" ca="1" si="23"/>
        <v>1.1671786822395258E-2</v>
      </c>
      <c r="AE30" s="33">
        <f t="shared" ca="1" si="23"/>
        <v>1.0550224855746913E-2</v>
      </c>
      <c r="AF30" s="33">
        <f t="shared" ca="1" si="23"/>
        <v>1.171794656048524E-2</v>
      </c>
      <c r="AG30" s="33">
        <f t="shared" ca="1" si="23"/>
        <v>1.1568194345529722E-2</v>
      </c>
      <c r="AH30" s="33">
        <f t="shared" ca="1" si="23"/>
        <v>1.1719726221031627E-2</v>
      </c>
      <c r="AI30" s="33">
        <f t="shared" ca="1" si="23"/>
        <v>1.0685449834346879E-2</v>
      </c>
      <c r="AJ30" s="33">
        <f t="shared" ca="1" si="23"/>
        <v>9.1265457731289877E-3</v>
      </c>
      <c r="AK30" s="33">
        <f t="shared" ca="1" si="23"/>
        <v>1.0788539084930189E-2</v>
      </c>
      <c r="AL30" s="33">
        <f t="shared" ca="1" si="23"/>
        <v>1.1748004232369012E-2</v>
      </c>
      <c r="AM30" s="33">
        <f t="shared" ca="1" si="24"/>
        <v>1.1613036881481558E-2</v>
      </c>
      <c r="AN30" s="33">
        <f t="shared" ca="1" si="24"/>
        <v>9.4721838021697528E-3</v>
      </c>
      <c r="AO30" s="33">
        <f t="shared" ca="1" si="24"/>
        <v>9.3482206695951024E-3</v>
      </c>
      <c r="AP30" s="33">
        <f t="shared" ca="1" si="24"/>
        <v>1.2429237777590522E-2</v>
      </c>
      <c r="AQ30" s="33">
        <f t="shared" ca="1" si="24"/>
        <v>1.1894186187500242E-2</v>
      </c>
      <c r="AR30" s="33">
        <f t="shared" ca="1" si="24"/>
        <v>1.0073495225979683E-2</v>
      </c>
      <c r="AS30" s="33">
        <f t="shared" ca="1" si="24"/>
        <v>1.1182919898655719E-2</v>
      </c>
      <c r="AT30" s="33">
        <f t="shared" ca="1" si="24"/>
        <v>1.0881343664483038E-2</v>
      </c>
      <c r="AU30" s="33">
        <f t="shared" ca="1" si="24"/>
        <v>1.3912921563868965E-2</v>
      </c>
      <c r="AV30" s="33">
        <f t="shared" ca="1" si="24"/>
        <v>9.8543957605516843E-3</v>
      </c>
      <c r="AW30" s="33">
        <f t="shared" ca="1" si="25"/>
        <v>1.1013332710840521E-2</v>
      </c>
      <c r="AX30" s="33">
        <f t="shared" ca="1" si="25"/>
        <v>1.1297403094476872E-2</v>
      </c>
      <c r="AY30" s="33">
        <f t="shared" ca="1" si="25"/>
        <v>1.0685468388711481E-2</v>
      </c>
      <c r="AZ30" s="33">
        <f t="shared" ca="1" si="25"/>
        <v>1.1971242277681458E-2</v>
      </c>
      <c r="BA30" s="33">
        <f t="shared" ca="1" si="25"/>
        <v>1.1383634962823038E-2</v>
      </c>
      <c r="BB30" s="33">
        <f t="shared" ca="1" si="25"/>
        <v>1.2043457337934984E-2</v>
      </c>
      <c r="BC30" s="33">
        <f t="shared" ca="1" si="25"/>
        <v>1.2292611372456394E-2</v>
      </c>
      <c r="BD30" s="33">
        <f t="shared" ca="1" si="25"/>
        <v>1.1895333090905968E-2</v>
      </c>
      <c r="BE30" s="33">
        <f t="shared" ca="1" si="25"/>
        <v>1.1918046068080232E-2</v>
      </c>
      <c r="BF30" s="33">
        <f t="shared" ca="1" si="25"/>
        <v>1.0959356352532743E-2</v>
      </c>
      <c r="BG30" s="33">
        <f t="shared" ca="1" si="26"/>
        <v>8.4838548931874744E-3</v>
      </c>
      <c r="BH30" s="33">
        <f t="shared" ca="1" si="26"/>
        <v>1.3401113123677323E-2</v>
      </c>
      <c r="BI30" s="33">
        <f t="shared" ca="1" si="26"/>
        <v>1.1135013445479271E-2</v>
      </c>
      <c r="BJ30" s="33">
        <f t="shared" ca="1" si="26"/>
        <v>1.0093173324432721E-2</v>
      </c>
      <c r="BK30" s="33">
        <f t="shared" ca="1" si="26"/>
        <v>9.5396895446183162E-3</v>
      </c>
      <c r="BL30" s="33">
        <f t="shared" ca="1" si="26"/>
        <v>1.4085911223699855E-2</v>
      </c>
      <c r="BM30" s="33">
        <f t="shared" ca="1" si="26"/>
        <v>1.1379995613402792E-2</v>
      </c>
      <c r="BN30" s="33">
        <f t="shared" ca="1" si="26"/>
        <v>1.2559967517205844E-2</v>
      </c>
      <c r="BO30" s="33">
        <f t="shared" ca="1" si="26"/>
        <v>8.4239107783411517E-3</v>
      </c>
      <c r="BP30" s="33">
        <f t="shared" ca="1" si="26"/>
        <v>1.2008510102600067E-2</v>
      </c>
      <c r="BQ30" s="33">
        <f t="shared" ca="1" si="27"/>
        <v>1.0073214061317491E-2</v>
      </c>
      <c r="BR30" s="33">
        <f t="shared" ca="1" si="27"/>
        <v>1.0882660369451021E-2</v>
      </c>
      <c r="BS30" s="33">
        <f t="shared" ca="1" si="27"/>
        <v>1.10065982055667E-2</v>
      </c>
      <c r="BT30" s="33">
        <f t="shared" ca="1" si="27"/>
        <v>1.4006255055152895E-2</v>
      </c>
      <c r="BU30" s="33">
        <f t="shared" ca="1" si="27"/>
        <v>1.2832403041631696E-2</v>
      </c>
      <c r="BV30" s="33">
        <f t="shared" ca="1" si="27"/>
        <v>9.6515458814142932E-3</v>
      </c>
      <c r="BW30" s="33">
        <f t="shared" ca="1" si="27"/>
        <v>1.2017123076500576E-2</v>
      </c>
      <c r="BX30" s="33">
        <f t="shared" ca="1" si="27"/>
        <v>8.9171747553244245E-3</v>
      </c>
      <c r="BY30" s="33">
        <f t="shared" ca="1" si="27"/>
        <v>9.4186354247972823E-3</v>
      </c>
      <c r="BZ30" s="33">
        <f t="shared" ca="1" si="27"/>
        <v>1.0589992997529647E-2</v>
      </c>
      <c r="CA30" s="33">
        <f t="shared" ca="1" si="28"/>
        <v>1.2153881403731899E-2</v>
      </c>
      <c r="CB30" s="33">
        <f t="shared" ca="1" si="28"/>
        <v>8.8992707549818764E-3</v>
      </c>
      <c r="CC30" s="33">
        <f t="shared" ca="1" si="28"/>
        <v>1.0532219064663889E-2</v>
      </c>
      <c r="CD30" s="33">
        <f t="shared" ca="1" si="28"/>
        <v>1.2191104666813758E-2</v>
      </c>
      <c r="CE30" s="33">
        <f t="shared" ca="1" si="28"/>
        <v>9.9542102208516128E-3</v>
      </c>
      <c r="CF30" s="33">
        <f t="shared" ca="1" si="28"/>
        <v>1.0421359843167196E-2</v>
      </c>
      <c r="CG30" s="33">
        <f t="shared" ca="1" si="28"/>
        <v>1.1049913015955141E-2</v>
      </c>
      <c r="CH30" s="33">
        <f t="shared" ca="1" si="28"/>
        <v>1.0342093118808456E-2</v>
      </c>
      <c r="CI30" s="33">
        <f t="shared" ca="1" si="28"/>
        <v>1.1385399533133396E-2</v>
      </c>
      <c r="CJ30" s="33">
        <f t="shared" ca="1" si="28"/>
        <v>9.6794020346372776E-3</v>
      </c>
      <c r="CK30" s="33">
        <f t="shared" ca="1" si="29"/>
        <v>9.9883271815844332E-3</v>
      </c>
      <c r="CL30" s="33">
        <f t="shared" ca="1" si="29"/>
        <v>1.09548513567239E-2</v>
      </c>
      <c r="CM30" s="33">
        <f t="shared" ca="1" si="29"/>
        <v>1.2211069360952984E-2</v>
      </c>
      <c r="CN30" s="33">
        <f t="shared" ca="1" si="29"/>
        <v>1.2981742616207144E-2</v>
      </c>
      <c r="CO30" s="33">
        <f t="shared" ca="1" si="29"/>
        <v>1.3112169322583599E-2</v>
      </c>
      <c r="CP30" s="33">
        <f t="shared" ca="1" si="29"/>
        <v>1.098975396202735E-2</v>
      </c>
      <c r="CQ30" s="33">
        <f t="shared" ca="1" si="29"/>
        <v>1.2713399841747249E-2</v>
      </c>
      <c r="CR30" s="33">
        <f t="shared" ca="1" si="29"/>
        <v>9.7050442728878195E-3</v>
      </c>
      <c r="CS30" s="33">
        <f t="shared" ca="1" si="29"/>
        <v>1.02646504069077E-2</v>
      </c>
      <c r="CT30" s="33">
        <f t="shared" ca="1" si="29"/>
        <v>9.4326658253612913E-3</v>
      </c>
      <c r="CU30" s="33">
        <f t="shared" ca="1" si="30"/>
        <v>1.3098765022132633E-2</v>
      </c>
      <c r="CV30" s="33">
        <f t="shared" ca="1" si="30"/>
        <v>1.073599857705786E-2</v>
      </c>
      <c r="CW30" s="33">
        <f t="shared" ca="1" si="30"/>
        <v>1.280373130829868E-2</v>
      </c>
      <c r="CX30" s="33">
        <f t="shared" ca="1" si="30"/>
        <v>1.3779369171550353E-2</v>
      </c>
      <c r="CY30" s="33">
        <f t="shared" ca="1" si="30"/>
        <v>1.1568247726096133E-2</v>
      </c>
      <c r="CZ30" s="33">
        <f t="shared" ca="1" si="30"/>
        <v>1.2644120727870453E-2</v>
      </c>
      <c r="DA30" s="33">
        <f t="shared" ca="1" si="30"/>
        <v>1.1263571005834997E-2</v>
      </c>
      <c r="DB30" s="33">
        <f t="shared" ca="1" si="30"/>
        <v>1.1338485015200264E-2</v>
      </c>
      <c r="DC30" s="33">
        <f t="shared" ca="1" si="30"/>
        <v>1.1638880690422716E-2</v>
      </c>
      <c r="DD30" s="33">
        <f t="shared" ca="1" si="30"/>
        <v>1.1277852866267027E-2</v>
      </c>
      <c r="DE30" s="33">
        <f t="shared" ca="1" si="31"/>
        <v>1.1816989560682707E-2</v>
      </c>
      <c r="DF30" s="33">
        <f t="shared" ca="1" si="31"/>
        <v>8.2518486304394532E-3</v>
      </c>
      <c r="DG30" s="33">
        <f t="shared" ca="1" si="31"/>
        <v>1.0932118096028443E-2</v>
      </c>
      <c r="DH30" s="33">
        <f t="shared" ca="1" si="31"/>
        <v>1.2449023288903141E-2</v>
      </c>
      <c r="DI30" s="33">
        <f t="shared" ca="1" si="31"/>
        <v>9.872694157567849E-3</v>
      </c>
      <c r="DJ30" s="33">
        <f t="shared" ca="1" si="31"/>
        <v>1.2631353985239978E-2</v>
      </c>
      <c r="DK30" s="33">
        <f t="shared" ca="1" si="31"/>
        <v>1.106250343019256E-2</v>
      </c>
      <c r="DL30" s="33">
        <f t="shared" ca="1" si="31"/>
        <v>1.025261891929774E-2</v>
      </c>
      <c r="DM30" s="33">
        <f t="shared" ca="1" si="31"/>
        <v>1.15138349918836E-2</v>
      </c>
      <c r="DN30" s="33">
        <f t="shared" ca="1" si="31"/>
        <v>1.4637643483602972E-2</v>
      </c>
      <c r="DO30" s="12"/>
      <c r="DP30" s="12"/>
      <c r="DQ30" s="12"/>
    </row>
    <row r="31" spans="1:121" x14ac:dyDescent="0.2">
      <c r="I31" s="32">
        <v>45352</v>
      </c>
      <c r="J31" s="33">
        <f t="shared" ca="1" si="0"/>
        <v>1.1174735812303108E-2</v>
      </c>
      <c r="K31" s="9">
        <v>2320.4999999999995</v>
      </c>
      <c r="L31" s="9">
        <f t="shared" ca="1" si="11"/>
        <v>58309.568657153759</v>
      </c>
      <c r="N31" s="6">
        <v>27</v>
      </c>
      <c r="O31" s="5">
        <v>3.9621092197936361</v>
      </c>
      <c r="P31" s="9">
        <v>689573.83667096694</v>
      </c>
      <c r="R31" s="32">
        <v>45352</v>
      </c>
      <c r="S31" s="33">
        <f t="shared" ca="1" si="22"/>
        <v>1.2584080814882038E-2</v>
      </c>
      <c r="T31" s="33">
        <f t="shared" ca="1" si="22"/>
        <v>1.0327234175620044E-2</v>
      </c>
      <c r="U31" s="33">
        <f t="shared" ca="1" si="22"/>
        <v>1.2302489771891897E-2</v>
      </c>
      <c r="V31" s="33">
        <f t="shared" ca="1" si="22"/>
        <v>1.0191022888581796E-2</v>
      </c>
      <c r="W31" s="33">
        <f t="shared" ca="1" si="22"/>
        <v>1.1993565455579067E-2</v>
      </c>
      <c r="X31" s="33">
        <f t="shared" ca="1" si="22"/>
        <v>1.1057272145094653E-2</v>
      </c>
      <c r="Y31" s="33">
        <f t="shared" ca="1" si="22"/>
        <v>9.8758496863266352E-3</v>
      </c>
      <c r="Z31" s="33">
        <f t="shared" ca="1" si="22"/>
        <v>1.1796786935749913E-2</v>
      </c>
      <c r="AA31" s="33">
        <f t="shared" ca="1" si="22"/>
        <v>1.1909689962427739E-2</v>
      </c>
      <c r="AB31" s="33">
        <f t="shared" ca="1" si="22"/>
        <v>1.2379132996828216E-2</v>
      </c>
      <c r="AC31" s="33">
        <f t="shared" ca="1" si="23"/>
        <v>1.0568870727016105E-2</v>
      </c>
      <c r="AD31" s="33">
        <f t="shared" ca="1" si="23"/>
        <v>1.0708048948440787E-2</v>
      </c>
      <c r="AE31" s="33">
        <f t="shared" ca="1" si="23"/>
        <v>9.9467094463852514E-3</v>
      </c>
      <c r="AF31" s="33">
        <f t="shared" ca="1" si="23"/>
        <v>1.0167341434820039E-2</v>
      </c>
      <c r="AG31" s="33">
        <f t="shared" ca="1" si="23"/>
        <v>1.2417332962227088E-2</v>
      </c>
      <c r="AH31" s="33">
        <f t="shared" ca="1" si="23"/>
        <v>1.4007853153504687E-2</v>
      </c>
      <c r="AI31" s="33">
        <f t="shared" ca="1" si="23"/>
        <v>1.3639927336984548E-2</v>
      </c>
      <c r="AJ31" s="33">
        <f t="shared" ca="1" si="23"/>
        <v>1.3381613189384942E-2</v>
      </c>
      <c r="AK31" s="33">
        <f t="shared" ca="1" si="23"/>
        <v>7.7663659167443201E-3</v>
      </c>
      <c r="AL31" s="33">
        <f t="shared" ca="1" si="23"/>
        <v>1.1835639836493436E-2</v>
      </c>
      <c r="AM31" s="33">
        <f t="shared" ca="1" si="24"/>
        <v>1.1142634036307494E-2</v>
      </c>
      <c r="AN31" s="33">
        <f t="shared" ca="1" si="24"/>
        <v>1.2468972220051755E-2</v>
      </c>
      <c r="AO31" s="33">
        <f t="shared" ca="1" si="24"/>
        <v>1.0538223365510574E-2</v>
      </c>
      <c r="AP31" s="33">
        <f t="shared" ca="1" si="24"/>
        <v>8.8740951557705287E-3</v>
      </c>
      <c r="AQ31" s="33">
        <f t="shared" ca="1" si="24"/>
        <v>9.2745973866136932E-3</v>
      </c>
      <c r="AR31" s="33">
        <f t="shared" ca="1" si="24"/>
        <v>1.0507524980229754E-2</v>
      </c>
      <c r="AS31" s="33">
        <f t="shared" ca="1" si="24"/>
        <v>1.0384044347616391E-2</v>
      </c>
      <c r="AT31" s="33">
        <f t="shared" ca="1" si="24"/>
        <v>1.0209495912991754E-2</v>
      </c>
      <c r="AU31" s="33">
        <f t="shared" ca="1" si="24"/>
        <v>9.8185479067948358E-3</v>
      </c>
      <c r="AV31" s="33">
        <f t="shared" ca="1" si="24"/>
        <v>1.1117535160400014E-2</v>
      </c>
      <c r="AW31" s="33">
        <f t="shared" ca="1" si="25"/>
        <v>1.1025345916805873E-2</v>
      </c>
      <c r="AX31" s="33">
        <f t="shared" ca="1" si="25"/>
        <v>1.1202212001362746E-2</v>
      </c>
      <c r="AY31" s="33">
        <f t="shared" ca="1" si="25"/>
        <v>1.0080057093969282E-2</v>
      </c>
      <c r="AZ31" s="33">
        <f t="shared" ca="1" si="25"/>
        <v>1.2449392025855951E-2</v>
      </c>
      <c r="BA31" s="33">
        <f t="shared" ca="1" si="25"/>
        <v>1.2520904005739308E-2</v>
      </c>
      <c r="BB31" s="33">
        <f t="shared" ca="1" si="25"/>
        <v>1.055604677852404E-2</v>
      </c>
      <c r="BC31" s="33">
        <f t="shared" ca="1" si="25"/>
        <v>1.070580849032887E-2</v>
      </c>
      <c r="BD31" s="33">
        <f t="shared" ca="1" si="25"/>
        <v>1.2819476562534028E-2</v>
      </c>
      <c r="BE31" s="33">
        <f t="shared" ca="1" si="25"/>
        <v>1.3836122821133161E-2</v>
      </c>
      <c r="BF31" s="33">
        <f t="shared" ca="1" si="25"/>
        <v>1.2354143218664147E-2</v>
      </c>
      <c r="BG31" s="33">
        <f t="shared" ca="1" si="26"/>
        <v>6.7404622731494779E-3</v>
      </c>
      <c r="BH31" s="33">
        <f t="shared" ca="1" si="26"/>
        <v>1.2649875858980333E-2</v>
      </c>
      <c r="BI31" s="33">
        <f t="shared" ca="1" si="26"/>
        <v>1.0662711541510795E-2</v>
      </c>
      <c r="BJ31" s="33">
        <f t="shared" ca="1" si="26"/>
        <v>1.1043657516121354E-2</v>
      </c>
      <c r="BK31" s="33">
        <f t="shared" ca="1" si="26"/>
        <v>1.1422702391731147E-2</v>
      </c>
      <c r="BL31" s="33">
        <f t="shared" ca="1" si="26"/>
        <v>1.026782272696088E-2</v>
      </c>
      <c r="BM31" s="33">
        <f t="shared" ca="1" si="26"/>
        <v>1.2892125127598048E-2</v>
      </c>
      <c r="BN31" s="33">
        <f t="shared" ca="1" si="26"/>
        <v>1.1328691170915936E-2</v>
      </c>
      <c r="BO31" s="33">
        <f t="shared" ca="1" si="26"/>
        <v>1.0212117253757862E-2</v>
      </c>
      <c r="BP31" s="33">
        <f t="shared" ca="1" si="26"/>
        <v>1.045011428604224E-2</v>
      </c>
      <c r="BQ31" s="33">
        <f t="shared" ca="1" si="27"/>
        <v>1.2641906688243002E-2</v>
      </c>
      <c r="BR31" s="33">
        <f t="shared" ca="1" si="27"/>
        <v>1.0943562122794091E-2</v>
      </c>
      <c r="BS31" s="33">
        <f t="shared" ca="1" si="27"/>
        <v>1.2126649283059194E-2</v>
      </c>
      <c r="BT31" s="33">
        <f t="shared" ca="1" si="27"/>
        <v>8.6527626254270656E-3</v>
      </c>
      <c r="BU31" s="33">
        <f t="shared" ca="1" si="27"/>
        <v>1.1297921008546302E-2</v>
      </c>
      <c r="BV31" s="33">
        <f t="shared" ca="1" si="27"/>
        <v>1.1807390083990062E-2</v>
      </c>
      <c r="BW31" s="33">
        <f t="shared" ca="1" si="27"/>
        <v>1.0639517088121189E-2</v>
      </c>
      <c r="BX31" s="33">
        <f t="shared" ca="1" si="27"/>
        <v>1.0865794081730036E-2</v>
      </c>
      <c r="BY31" s="33">
        <f t="shared" ca="1" si="27"/>
        <v>1.1056989193284858E-2</v>
      </c>
      <c r="BZ31" s="33">
        <f t="shared" ca="1" si="27"/>
        <v>1.2107444377012768E-2</v>
      </c>
      <c r="CA31" s="33">
        <f t="shared" ca="1" si="28"/>
        <v>1.1008470266784618E-2</v>
      </c>
      <c r="CB31" s="33">
        <f t="shared" ca="1" si="28"/>
        <v>1.3746266141647624E-2</v>
      </c>
      <c r="CC31" s="33">
        <f t="shared" ca="1" si="28"/>
        <v>1.0852310041695736E-2</v>
      </c>
      <c r="CD31" s="33">
        <f t="shared" ca="1" si="28"/>
        <v>1.1787054740681929E-2</v>
      </c>
      <c r="CE31" s="33">
        <f t="shared" ca="1" si="28"/>
        <v>1.3931924839598816E-2</v>
      </c>
      <c r="CF31" s="33">
        <f t="shared" ca="1" si="28"/>
        <v>1.2378327862904083E-2</v>
      </c>
      <c r="CG31" s="33">
        <f t="shared" ca="1" si="28"/>
        <v>1.3073156274264641E-2</v>
      </c>
      <c r="CH31" s="33">
        <f t="shared" ca="1" si="28"/>
        <v>1.4261538460881283E-2</v>
      </c>
      <c r="CI31" s="33">
        <f t="shared" ca="1" si="28"/>
        <v>1.1493959468620214E-2</v>
      </c>
      <c r="CJ31" s="33">
        <f t="shared" ca="1" si="28"/>
        <v>9.3490445175107833E-3</v>
      </c>
      <c r="CK31" s="33">
        <f t="shared" ca="1" si="29"/>
        <v>1.298522292485158E-2</v>
      </c>
      <c r="CL31" s="33">
        <f t="shared" ca="1" si="29"/>
        <v>9.8342280220022858E-3</v>
      </c>
      <c r="CM31" s="33">
        <f t="shared" ca="1" si="29"/>
        <v>9.2166230142295431E-3</v>
      </c>
      <c r="CN31" s="33">
        <f t="shared" ca="1" si="29"/>
        <v>1.1474883352324895E-2</v>
      </c>
      <c r="CO31" s="33">
        <f t="shared" ca="1" si="29"/>
        <v>1.1763721690163263E-2</v>
      </c>
      <c r="CP31" s="33">
        <f t="shared" ca="1" si="29"/>
        <v>1.2251335731324631E-2</v>
      </c>
      <c r="CQ31" s="33">
        <f t="shared" ca="1" si="29"/>
        <v>1.2213786055925008E-2</v>
      </c>
      <c r="CR31" s="33">
        <f t="shared" ca="1" si="29"/>
        <v>8.3159592459408765E-3</v>
      </c>
      <c r="CS31" s="33">
        <f t="shared" ca="1" si="29"/>
        <v>1.1797256112130873E-2</v>
      </c>
      <c r="CT31" s="33">
        <f t="shared" ca="1" si="29"/>
        <v>1.1220398719595542E-2</v>
      </c>
      <c r="CU31" s="33">
        <f t="shared" ca="1" si="30"/>
        <v>1.0090867800568065E-2</v>
      </c>
      <c r="CV31" s="33">
        <f t="shared" ca="1" si="30"/>
        <v>9.7737320494720777E-3</v>
      </c>
      <c r="CW31" s="33">
        <f t="shared" ca="1" si="30"/>
        <v>1.005895716242392E-2</v>
      </c>
      <c r="CX31" s="33">
        <f t="shared" ca="1" si="30"/>
        <v>1.4005861810254081E-2</v>
      </c>
      <c r="CY31" s="33">
        <f t="shared" ca="1" si="30"/>
        <v>1.4649682227310952E-2</v>
      </c>
      <c r="CZ31" s="33">
        <f t="shared" ca="1" si="30"/>
        <v>1.077812204749154E-2</v>
      </c>
      <c r="DA31" s="33">
        <f t="shared" ca="1" si="30"/>
        <v>9.7053167115183844E-3</v>
      </c>
      <c r="DB31" s="33">
        <f t="shared" ca="1" si="30"/>
        <v>1.2352932425918671E-2</v>
      </c>
      <c r="DC31" s="33">
        <f t="shared" ca="1" si="30"/>
        <v>1.1450082303916736E-2</v>
      </c>
      <c r="DD31" s="33">
        <f t="shared" ca="1" si="30"/>
        <v>1.0554708353565629E-2</v>
      </c>
      <c r="DE31" s="33">
        <f t="shared" ca="1" si="31"/>
        <v>1.1294984291096197E-2</v>
      </c>
      <c r="DF31" s="33">
        <f t="shared" ca="1" si="31"/>
        <v>1.1528048373041605E-2</v>
      </c>
      <c r="DG31" s="33">
        <f t="shared" ca="1" si="31"/>
        <v>1.0409441692101517E-2</v>
      </c>
      <c r="DH31" s="33">
        <f t="shared" ca="1" si="31"/>
        <v>9.755136216020581E-3</v>
      </c>
      <c r="DI31" s="33">
        <f t="shared" ca="1" si="31"/>
        <v>1.0429681681130992E-2</v>
      </c>
      <c r="DJ31" s="33">
        <f t="shared" ca="1" si="31"/>
        <v>8.4712246117360397E-3</v>
      </c>
      <c r="DK31" s="33">
        <f t="shared" ca="1" si="31"/>
        <v>1.1018548846650955E-2</v>
      </c>
      <c r="DL31" s="33">
        <f t="shared" ca="1" si="31"/>
        <v>8.3379672392123391E-3</v>
      </c>
      <c r="DM31" s="33">
        <f t="shared" ca="1" si="31"/>
        <v>1.2785851464025409E-2</v>
      </c>
      <c r="DN31" s="33">
        <f t="shared" ca="1" si="31"/>
        <v>1.1789453351018523E-2</v>
      </c>
      <c r="DO31" s="12"/>
      <c r="DP31" s="12"/>
      <c r="DQ31" s="12"/>
    </row>
    <row r="32" spans="1:121" x14ac:dyDescent="0.2">
      <c r="I32" s="32">
        <v>45383</v>
      </c>
      <c r="J32" s="33">
        <f t="shared" ca="1" si="0"/>
        <v>8.4507440303741542E-3</v>
      </c>
      <c r="K32" s="9">
        <v>2320.4999999999995</v>
      </c>
      <c r="L32" s="9">
        <f t="shared" ca="1" si="11"/>
        <v>61124.915864981616</v>
      </c>
      <c r="N32" s="6">
        <v>28</v>
      </c>
      <c r="O32" s="5">
        <v>3.985478313111289</v>
      </c>
      <c r="P32" s="9">
        <v>691103.5703480083</v>
      </c>
      <c r="R32" s="32">
        <v>45383</v>
      </c>
      <c r="S32" s="33">
        <f t="shared" ca="1" si="22"/>
        <v>8.3795372182724429E-3</v>
      </c>
      <c r="T32" s="33">
        <f t="shared" ca="1" si="22"/>
        <v>1.0894163631436284E-2</v>
      </c>
      <c r="U32" s="33">
        <f t="shared" ca="1" si="22"/>
        <v>1.1092140009941687E-2</v>
      </c>
      <c r="V32" s="33">
        <f t="shared" ca="1" si="22"/>
        <v>1.3687946288276494E-2</v>
      </c>
      <c r="W32" s="33">
        <f t="shared" ca="1" si="22"/>
        <v>1.2424681093876649E-2</v>
      </c>
      <c r="X32" s="33">
        <f t="shared" ca="1" si="22"/>
        <v>1.2126824215810957E-2</v>
      </c>
      <c r="Y32" s="33">
        <f t="shared" ca="1" si="22"/>
        <v>1.1280702573169673E-2</v>
      </c>
      <c r="Z32" s="33">
        <f t="shared" ca="1" si="22"/>
        <v>1.1255153913194081E-2</v>
      </c>
      <c r="AA32" s="33">
        <f t="shared" ca="1" si="22"/>
        <v>1.2593281225796477E-2</v>
      </c>
      <c r="AB32" s="33">
        <f t="shared" ca="1" si="22"/>
        <v>9.7049631302852449E-3</v>
      </c>
      <c r="AC32" s="33">
        <f t="shared" ca="1" si="23"/>
        <v>8.506285059879666E-3</v>
      </c>
      <c r="AD32" s="33">
        <f t="shared" ca="1" si="23"/>
        <v>1.1888503350290449E-2</v>
      </c>
      <c r="AE32" s="33">
        <f t="shared" ca="1" si="23"/>
        <v>1.1099857773341158E-2</v>
      </c>
      <c r="AF32" s="33">
        <f t="shared" ca="1" si="23"/>
        <v>1.2375941994858456E-2</v>
      </c>
      <c r="AG32" s="33">
        <f t="shared" ca="1" si="23"/>
        <v>1.0459663964572171E-2</v>
      </c>
      <c r="AH32" s="33">
        <f t="shared" ca="1" si="23"/>
        <v>1.1082448126540018E-2</v>
      </c>
      <c r="AI32" s="33">
        <f t="shared" ca="1" si="23"/>
        <v>1.3584157647765795E-2</v>
      </c>
      <c r="AJ32" s="33">
        <f t="shared" ca="1" si="23"/>
        <v>1.1759979109385229E-2</v>
      </c>
      <c r="AK32" s="33">
        <f t="shared" ca="1" si="23"/>
        <v>1.2520654905608415E-2</v>
      </c>
      <c r="AL32" s="33">
        <f t="shared" ca="1" si="23"/>
        <v>9.7369262012211525E-3</v>
      </c>
      <c r="AM32" s="33">
        <f t="shared" ca="1" si="24"/>
        <v>1.1452800125753268E-2</v>
      </c>
      <c r="AN32" s="33">
        <f t="shared" ca="1" si="24"/>
        <v>1.0262610844211205E-2</v>
      </c>
      <c r="AO32" s="33">
        <f t="shared" ca="1" si="24"/>
        <v>1.3661436020357581E-2</v>
      </c>
      <c r="AP32" s="33">
        <f t="shared" ca="1" si="24"/>
        <v>1.280665295423801E-2</v>
      </c>
      <c r="AQ32" s="33">
        <f t="shared" ca="1" si="24"/>
        <v>1.2379181352121627E-2</v>
      </c>
      <c r="AR32" s="33">
        <f t="shared" ca="1" si="24"/>
        <v>1.3587322832355204E-2</v>
      </c>
      <c r="AS32" s="33">
        <f t="shared" ca="1" si="24"/>
        <v>1.2089984244362341E-2</v>
      </c>
      <c r="AT32" s="33">
        <f t="shared" ca="1" si="24"/>
        <v>9.5737273261588488E-3</v>
      </c>
      <c r="AU32" s="33">
        <f t="shared" ca="1" si="24"/>
        <v>9.7447412529985244E-3</v>
      </c>
      <c r="AV32" s="33">
        <f t="shared" ca="1" si="24"/>
        <v>1.4607490868671032E-2</v>
      </c>
      <c r="AW32" s="33">
        <f t="shared" ca="1" si="25"/>
        <v>9.7435315694601454E-3</v>
      </c>
      <c r="AX32" s="33">
        <f t="shared" ca="1" si="25"/>
        <v>1.1268237799978983E-2</v>
      </c>
      <c r="AY32" s="33">
        <f t="shared" ca="1" si="25"/>
        <v>1.1132935615903214E-2</v>
      </c>
      <c r="AZ32" s="33">
        <f t="shared" ca="1" si="25"/>
        <v>1.1109756750175295E-2</v>
      </c>
      <c r="BA32" s="33">
        <f t="shared" ca="1" si="25"/>
        <v>1.0352526320358685E-2</v>
      </c>
      <c r="BB32" s="33">
        <f t="shared" ca="1" si="25"/>
        <v>1.1379649129399177E-2</v>
      </c>
      <c r="BC32" s="33">
        <f t="shared" ca="1" si="25"/>
        <v>1.1101652174810439E-2</v>
      </c>
      <c r="BD32" s="33">
        <f t="shared" ca="1" si="25"/>
        <v>1.5193414141467611E-2</v>
      </c>
      <c r="BE32" s="33">
        <f t="shared" ca="1" si="25"/>
        <v>1.0090293824548503E-2</v>
      </c>
      <c r="BF32" s="33">
        <f t="shared" ca="1" si="25"/>
        <v>8.5146523485240544E-3</v>
      </c>
      <c r="BG32" s="33">
        <f t="shared" ca="1" si="26"/>
        <v>1.2804787935599348E-2</v>
      </c>
      <c r="BH32" s="33">
        <f t="shared" ca="1" si="26"/>
        <v>9.6718595534751733E-3</v>
      </c>
      <c r="BI32" s="33">
        <f t="shared" ca="1" si="26"/>
        <v>9.8695519892568508E-3</v>
      </c>
      <c r="BJ32" s="33">
        <f t="shared" ca="1" si="26"/>
        <v>1.1948922603542961E-2</v>
      </c>
      <c r="BK32" s="33">
        <f t="shared" ca="1" si="26"/>
        <v>9.3479065277604391E-3</v>
      </c>
      <c r="BL32" s="33">
        <f t="shared" ca="1" si="26"/>
        <v>1.157088716622502E-2</v>
      </c>
      <c r="BM32" s="33">
        <f t="shared" ca="1" si="26"/>
        <v>1.3008532127289252E-2</v>
      </c>
      <c r="BN32" s="33">
        <f t="shared" ca="1" si="26"/>
        <v>8.6506871580805215E-3</v>
      </c>
      <c r="BO32" s="33">
        <f t="shared" ca="1" si="26"/>
        <v>1.0048229312448842E-2</v>
      </c>
      <c r="BP32" s="33">
        <f t="shared" ca="1" si="26"/>
        <v>1.0109664758677826E-2</v>
      </c>
      <c r="BQ32" s="33">
        <f t="shared" ca="1" si="27"/>
        <v>9.9540026948817268E-3</v>
      </c>
      <c r="BR32" s="33">
        <f t="shared" ca="1" si="27"/>
        <v>1.2535440331605287E-2</v>
      </c>
      <c r="BS32" s="33">
        <f t="shared" ca="1" si="27"/>
        <v>1.228085079828454E-2</v>
      </c>
      <c r="BT32" s="33">
        <f t="shared" ca="1" si="27"/>
        <v>1.1465842793469235E-2</v>
      </c>
      <c r="BU32" s="33">
        <f t="shared" ca="1" si="27"/>
        <v>1.1414720238359401E-2</v>
      </c>
      <c r="BV32" s="33">
        <f t="shared" ca="1" si="27"/>
        <v>1.2675055973102789E-2</v>
      </c>
      <c r="BW32" s="33">
        <f t="shared" ca="1" si="27"/>
        <v>9.8417787684462535E-3</v>
      </c>
      <c r="BX32" s="33">
        <f t="shared" ca="1" si="27"/>
        <v>1.187755796788169E-2</v>
      </c>
      <c r="BY32" s="33">
        <f t="shared" ca="1" si="27"/>
        <v>9.4711125969569546E-3</v>
      </c>
      <c r="BZ32" s="33">
        <f t="shared" ca="1" si="27"/>
        <v>1.0871622873681664E-2</v>
      </c>
      <c r="CA32" s="33">
        <f t="shared" ca="1" si="28"/>
        <v>1.0249280935472119E-2</v>
      </c>
      <c r="CB32" s="33">
        <f t="shared" ca="1" si="28"/>
        <v>1.1099096933662582E-2</v>
      </c>
      <c r="CC32" s="33">
        <f t="shared" ca="1" si="28"/>
        <v>8.8504797265839975E-3</v>
      </c>
      <c r="CD32" s="33">
        <f t="shared" ca="1" si="28"/>
        <v>1.1953805693162772E-2</v>
      </c>
      <c r="CE32" s="33">
        <f t="shared" ca="1" si="28"/>
        <v>1.0884204966546608E-2</v>
      </c>
      <c r="CF32" s="33">
        <f t="shared" ca="1" si="28"/>
        <v>9.9827211570119381E-3</v>
      </c>
      <c r="CG32" s="33">
        <f t="shared" ca="1" si="28"/>
        <v>1.0023480071178578E-2</v>
      </c>
      <c r="CH32" s="33">
        <f t="shared" ca="1" si="28"/>
        <v>1.27771370031743E-2</v>
      </c>
      <c r="CI32" s="33">
        <f t="shared" ca="1" si="28"/>
        <v>1.0382004747220872E-2</v>
      </c>
      <c r="CJ32" s="33">
        <f t="shared" ca="1" si="28"/>
        <v>1.0455203135677497E-2</v>
      </c>
      <c r="CK32" s="33">
        <f t="shared" ca="1" si="29"/>
        <v>1.1795438052320927E-2</v>
      </c>
      <c r="CL32" s="33">
        <f t="shared" ca="1" si="29"/>
        <v>1.186648891185076E-2</v>
      </c>
      <c r="CM32" s="33">
        <f t="shared" ca="1" si="29"/>
        <v>1.2619639312910573E-2</v>
      </c>
      <c r="CN32" s="33">
        <f t="shared" ca="1" si="29"/>
        <v>1.0264946253593017E-2</v>
      </c>
      <c r="CO32" s="33">
        <f t="shared" ca="1" si="29"/>
        <v>1.0661452391477843E-2</v>
      </c>
      <c r="CP32" s="33">
        <f t="shared" ca="1" si="29"/>
        <v>1.0313271802407445E-2</v>
      </c>
      <c r="CQ32" s="33">
        <f t="shared" ca="1" si="29"/>
        <v>9.0317202892854862E-3</v>
      </c>
      <c r="CR32" s="33">
        <f t="shared" ca="1" si="29"/>
        <v>1.4083049695218168E-2</v>
      </c>
      <c r="CS32" s="33">
        <f t="shared" ca="1" si="29"/>
        <v>1.2549930358051792E-2</v>
      </c>
      <c r="CT32" s="33">
        <f t="shared" ca="1" si="29"/>
        <v>1.1815615187558966E-2</v>
      </c>
      <c r="CU32" s="33">
        <f t="shared" ca="1" si="30"/>
        <v>1.1088529393551034E-2</v>
      </c>
      <c r="CV32" s="33">
        <f t="shared" ca="1" si="30"/>
        <v>1.0158293890410617E-2</v>
      </c>
      <c r="CW32" s="33">
        <f t="shared" ca="1" si="30"/>
        <v>1.0347554884507063E-2</v>
      </c>
      <c r="CX32" s="33">
        <f t="shared" ca="1" si="30"/>
        <v>9.208101597716711E-3</v>
      </c>
      <c r="CY32" s="33">
        <f t="shared" ca="1" si="30"/>
        <v>9.2448633723507811E-3</v>
      </c>
      <c r="CZ32" s="33">
        <f t="shared" ca="1" si="30"/>
        <v>1.011845115348505E-2</v>
      </c>
      <c r="DA32" s="33">
        <f t="shared" ca="1" si="30"/>
        <v>1.410032181760954E-2</v>
      </c>
      <c r="DB32" s="33">
        <f t="shared" ca="1" si="30"/>
        <v>1.0431878036232649E-2</v>
      </c>
      <c r="DC32" s="33">
        <f t="shared" ca="1" si="30"/>
        <v>9.8603193832371722E-3</v>
      </c>
      <c r="DD32" s="33">
        <f t="shared" ca="1" si="30"/>
        <v>1.0859482364467874E-2</v>
      </c>
      <c r="DE32" s="33">
        <f t="shared" ca="1" si="31"/>
        <v>1.0576321553387048E-2</v>
      </c>
      <c r="DF32" s="33">
        <f t="shared" ca="1" si="31"/>
        <v>1.0959669597371897E-2</v>
      </c>
      <c r="DG32" s="33">
        <f t="shared" ca="1" si="31"/>
        <v>1.3022986463309823E-2</v>
      </c>
      <c r="DH32" s="33">
        <f t="shared" ca="1" si="31"/>
        <v>1.2385882274916516E-2</v>
      </c>
      <c r="DI32" s="33">
        <f t="shared" ca="1" si="31"/>
        <v>1.1769627925918836E-2</v>
      </c>
      <c r="DJ32" s="33">
        <f t="shared" ca="1" si="31"/>
        <v>1.0453897519742439E-2</v>
      </c>
      <c r="DK32" s="33">
        <f t="shared" ca="1" si="31"/>
        <v>8.7684555572401339E-3</v>
      </c>
      <c r="DL32" s="33">
        <f t="shared" ca="1" si="31"/>
        <v>1.0523046197891699E-2</v>
      </c>
      <c r="DM32" s="33">
        <f t="shared" ca="1" si="31"/>
        <v>1.0925713476294062E-2</v>
      </c>
      <c r="DN32" s="33">
        <f t="shared" ca="1" si="31"/>
        <v>1.2095914341556798E-2</v>
      </c>
      <c r="DO32" s="12"/>
      <c r="DP32" s="12"/>
      <c r="DQ32" s="12"/>
    </row>
    <row r="33" spans="1:121" x14ac:dyDescent="0.2">
      <c r="A33" t="s">
        <v>36</v>
      </c>
      <c r="I33" s="32">
        <v>45413</v>
      </c>
      <c r="J33" s="33">
        <f t="shared" ca="1" si="0"/>
        <v>1.3289084146512408E-2</v>
      </c>
      <c r="K33" s="9">
        <v>2320.4999999999995</v>
      </c>
      <c r="L33" s="9">
        <f t="shared" ca="1" si="11"/>
        <v>64263.131326151626</v>
      </c>
      <c r="N33" s="6">
        <v>29</v>
      </c>
      <c r="O33" s="5">
        <v>3.9501543159690189</v>
      </c>
      <c r="P33" s="9">
        <v>684827.32029525854</v>
      </c>
      <c r="R33" s="32">
        <v>45413</v>
      </c>
      <c r="S33" s="33">
        <f t="shared" ca="1" si="22"/>
        <v>1.1040441372361287E-2</v>
      </c>
      <c r="T33" s="33">
        <f t="shared" ca="1" si="22"/>
        <v>1.1853529156755879E-2</v>
      </c>
      <c r="U33" s="33">
        <f t="shared" ca="1" si="22"/>
        <v>1.2090765768319233E-2</v>
      </c>
      <c r="V33" s="33">
        <f t="shared" ca="1" si="22"/>
        <v>9.5743636722861042E-3</v>
      </c>
      <c r="W33" s="33">
        <f t="shared" ca="1" si="22"/>
        <v>1.0304391685502604E-2</v>
      </c>
      <c r="X33" s="33">
        <f t="shared" ca="1" si="22"/>
        <v>1.2787204645809378E-2</v>
      </c>
      <c r="Y33" s="33">
        <f t="shared" ca="1" si="22"/>
        <v>1.0532669551201641E-2</v>
      </c>
      <c r="Z33" s="33">
        <f t="shared" ca="1" si="22"/>
        <v>9.595296477808277E-3</v>
      </c>
      <c r="AA33" s="33">
        <f t="shared" ca="1" si="22"/>
        <v>1.2689710446232044E-2</v>
      </c>
      <c r="AB33" s="33">
        <f t="shared" ca="1" si="22"/>
        <v>1.291512727557345E-2</v>
      </c>
      <c r="AC33" s="33">
        <f t="shared" ca="1" si="23"/>
        <v>1.0659683705197121E-2</v>
      </c>
      <c r="AD33" s="33">
        <f t="shared" ca="1" si="23"/>
        <v>9.7702420277304414E-3</v>
      </c>
      <c r="AE33" s="33">
        <f t="shared" ca="1" si="23"/>
        <v>9.3108137604615993E-3</v>
      </c>
      <c r="AF33" s="33">
        <f t="shared" ca="1" si="23"/>
        <v>1.175587971882629E-2</v>
      </c>
      <c r="AG33" s="33">
        <f t="shared" ca="1" si="23"/>
        <v>9.9651301161998301E-3</v>
      </c>
      <c r="AH33" s="33">
        <f t="shared" ca="1" si="23"/>
        <v>1.0931199272959644E-2</v>
      </c>
      <c r="AI33" s="33">
        <f t="shared" ca="1" si="23"/>
        <v>1.2035289933509493E-2</v>
      </c>
      <c r="AJ33" s="33">
        <f t="shared" ca="1" si="23"/>
        <v>1.0824394591205077E-2</v>
      </c>
      <c r="AK33" s="33">
        <f t="shared" ca="1" si="23"/>
        <v>1.1655742177070581E-2</v>
      </c>
      <c r="AL33" s="33">
        <f t="shared" ca="1" si="23"/>
        <v>1.1013172313222311E-2</v>
      </c>
      <c r="AM33" s="33">
        <f t="shared" ca="1" si="24"/>
        <v>1.0286758796824568E-2</v>
      </c>
      <c r="AN33" s="33">
        <f t="shared" ca="1" si="24"/>
        <v>1.076603568642929E-2</v>
      </c>
      <c r="AO33" s="33">
        <f t="shared" ca="1" si="24"/>
        <v>1.2359670536569951E-2</v>
      </c>
      <c r="AP33" s="33">
        <f t="shared" ca="1" si="24"/>
        <v>9.7455207836005617E-3</v>
      </c>
      <c r="AQ33" s="33">
        <f t="shared" ca="1" si="24"/>
        <v>1.2449647024613692E-2</v>
      </c>
      <c r="AR33" s="33">
        <f t="shared" ca="1" si="24"/>
        <v>1.0070107711619501E-2</v>
      </c>
      <c r="AS33" s="33">
        <f t="shared" ca="1" si="24"/>
        <v>1.1078685892987539E-2</v>
      </c>
      <c r="AT33" s="33">
        <f t="shared" ca="1" si="24"/>
        <v>1.2964662418756736E-2</v>
      </c>
      <c r="AU33" s="33">
        <f t="shared" ca="1" si="24"/>
        <v>1.0950448054425521E-2</v>
      </c>
      <c r="AV33" s="33">
        <f t="shared" ca="1" si="24"/>
        <v>1.181604006666071E-2</v>
      </c>
      <c r="AW33" s="33">
        <f t="shared" ca="1" si="25"/>
        <v>1.2309452209869622E-2</v>
      </c>
      <c r="AX33" s="33">
        <f t="shared" ca="1" si="25"/>
        <v>9.9423826719722275E-3</v>
      </c>
      <c r="AY33" s="33">
        <f t="shared" ca="1" si="25"/>
        <v>1.6260781692593075E-2</v>
      </c>
      <c r="AZ33" s="33">
        <f t="shared" ca="1" si="25"/>
        <v>1.2074065078030169E-2</v>
      </c>
      <c r="BA33" s="33">
        <f t="shared" ca="1" si="25"/>
        <v>1.1231493209170091E-2</v>
      </c>
      <c r="BB33" s="33">
        <f t="shared" ca="1" si="25"/>
        <v>1.0055642819506622E-2</v>
      </c>
      <c r="BC33" s="33">
        <f t="shared" ca="1" si="25"/>
        <v>9.020195221416092E-3</v>
      </c>
      <c r="BD33" s="33">
        <f t="shared" ca="1" si="25"/>
        <v>1.1800461142811136E-2</v>
      </c>
      <c r="BE33" s="33">
        <f t="shared" ca="1" si="25"/>
        <v>1.3235400525862018E-2</v>
      </c>
      <c r="BF33" s="33">
        <f t="shared" ca="1" si="25"/>
        <v>1.2907380492126065E-2</v>
      </c>
      <c r="BG33" s="33">
        <f t="shared" ca="1" si="26"/>
        <v>1.0903774802923797E-2</v>
      </c>
      <c r="BH33" s="33">
        <f t="shared" ca="1" si="26"/>
        <v>1.2128184014604818E-2</v>
      </c>
      <c r="BI33" s="33">
        <f t="shared" ca="1" si="26"/>
        <v>1.1392367642360976E-2</v>
      </c>
      <c r="BJ33" s="33">
        <f t="shared" ca="1" si="26"/>
        <v>1.1920091177816927E-2</v>
      </c>
      <c r="BK33" s="33">
        <f t="shared" ca="1" si="26"/>
        <v>1.1018158603244389E-2</v>
      </c>
      <c r="BL33" s="33">
        <f t="shared" ca="1" si="26"/>
        <v>9.866502300816293E-3</v>
      </c>
      <c r="BM33" s="33">
        <f t="shared" ca="1" si="26"/>
        <v>7.833141188857376E-3</v>
      </c>
      <c r="BN33" s="33">
        <f t="shared" ca="1" si="26"/>
        <v>1.0343144582568178E-2</v>
      </c>
      <c r="BO33" s="33">
        <f t="shared" ca="1" si="26"/>
        <v>1.1279127106845626E-2</v>
      </c>
      <c r="BP33" s="33">
        <f t="shared" ca="1" si="26"/>
        <v>1.2155746423701711E-2</v>
      </c>
      <c r="BQ33" s="33">
        <f t="shared" ca="1" si="27"/>
        <v>1.2151054416196813E-2</v>
      </c>
      <c r="BR33" s="33">
        <f t="shared" ca="1" si="27"/>
        <v>9.6204008865009173E-3</v>
      </c>
      <c r="BS33" s="33">
        <f t="shared" ca="1" si="27"/>
        <v>1.3420810616681338E-2</v>
      </c>
      <c r="BT33" s="33">
        <f t="shared" ca="1" si="27"/>
        <v>8.4703700190635282E-3</v>
      </c>
      <c r="BU33" s="33">
        <f t="shared" ca="1" si="27"/>
        <v>7.9897339057833396E-3</v>
      </c>
      <c r="BV33" s="33">
        <f t="shared" ca="1" si="27"/>
        <v>1.2757448198373057E-2</v>
      </c>
      <c r="BW33" s="33">
        <f t="shared" ca="1" si="27"/>
        <v>1.1076822077010917E-2</v>
      </c>
      <c r="BX33" s="33">
        <f t="shared" ca="1" si="27"/>
        <v>1.282408922591965E-2</v>
      </c>
      <c r="BY33" s="33">
        <f t="shared" ca="1" si="27"/>
        <v>1.0913382385248334E-2</v>
      </c>
      <c r="BZ33" s="33">
        <f t="shared" ca="1" si="27"/>
        <v>1.3776475892203908E-2</v>
      </c>
      <c r="CA33" s="33">
        <f t="shared" ca="1" si="28"/>
        <v>1.2572999076301529E-2</v>
      </c>
      <c r="CB33" s="33">
        <f t="shared" ca="1" si="28"/>
        <v>1.1899831054799486E-2</v>
      </c>
      <c r="CC33" s="33">
        <f t="shared" ca="1" si="28"/>
        <v>9.4322512446370164E-3</v>
      </c>
      <c r="CD33" s="33">
        <f t="shared" ca="1" si="28"/>
        <v>1.1924000929601265E-2</v>
      </c>
      <c r="CE33" s="33">
        <f t="shared" ca="1" si="28"/>
        <v>1.2006928229511226E-2</v>
      </c>
      <c r="CF33" s="33">
        <f t="shared" ca="1" si="28"/>
        <v>1.1341448766058183E-2</v>
      </c>
      <c r="CG33" s="33">
        <f t="shared" ca="1" si="28"/>
        <v>1.0944055617053607E-2</v>
      </c>
      <c r="CH33" s="33">
        <f t="shared" ca="1" si="28"/>
        <v>1.2645973303129441E-2</v>
      </c>
      <c r="CI33" s="33">
        <f t="shared" ca="1" si="28"/>
        <v>8.533562847869984E-3</v>
      </c>
      <c r="CJ33" s="33">
        <f t="shared" ca="1" si="28"/>
        <v>1.1876431584233783E-2</v>
      </c>
      <c r="CK33" s="33">
        <f t="shared" ca="1" si="29"/>
        <v>1.0371450719934854E-2</v>
      </c>
      <c r="CL33" s="33">
        <f t="shared" ca="1" si="29"/>
        <v>1.044403689681158E-2</v>
      </c>
      <c r="CM33" s="33">
        <f t="shared" ca="1" si="29"/>
        <v>8.9446178060202958E-3</v>
      </c>
      <c r="CN33" s="33">
        <f t="shared" ca="1" si="29"/>
        <v>8.7277311726125621E-3</v>
      </c>
      <c r="CO33" s="33">
        <f t="shared" ca="1" si="29"/>
        <v>1.3641442708982689E-2</v>
      </c>
      <c r="CP33" s="33">
        <f t="shared" ca="1" si="29"/>
        <v>9.8085465437876378E-3</v>
      </c>
      <c r="CQ33" s="33">
        <f t="shared" ca="1" si="29"/>
        <v>1.1676581611252975E-2</v>
      </c>
      <c r="CR33" s="33">
        <f t="shared" ca="1" si="29"/>
        <v>9.0663651772484796E-3</v>
      </c>
      <c r="CS33" s="33">
        <f t="shared" ca="1" si="29"/>
        <v>1.3093646977634059E-2</v>
      </c>
      <c r="CT33" s="33">
        <f t="shared" ca="1" si="29"/>
        <v>1.1517156608504504E-2</v>
      </c>
      <c r="CU33" s="33">
        <f t="shared" ca="1" si="30"/>
        <v>1.2590956621953271E-2</v>
      </c>
      <c r="CV33" s="33">
        <f t="shared" ca="1" si="30"/>
        <v>1.1051558975012506E-2</v>
      </c>
      <c r="CW33" s="33">
        <f t="shared" ca="1" si="30"/>
        <v>1.3521731914491304E-2</v>
      </c>
      <c r="CX33" s="33">
        <f t="shared" ca="1" si="30"/>
        <v>1.0359421850017163E-2</v>
      </c>
      <c r="CY33" s="33">
        <f t="shared" ca="1" si="30"/>
        <v>1.1117251308641817E-2</v>
      </c>
      <c r="CZ33" s="33">
        <f t="shared" ca="1" si="30"/>
        <v>1.3155865074611955E-2</v>
      </c>
      <c r="DA33" s="33">
        <f t="shared" ca="1" si="30"/>
        <v>1.1526438580622815E-2</v>
      </c>
      <c r="DB33" s="33">
        <f t="shared" ca="1" si="30"/>
        <v>1.2097479670356666E-2</v>
      </c>
      <c r="DC33" s="33">
        <f t="shared" ca="1" si="30"/>
        <v>1.1084814086373952E-2</v>
      </c>
      <c r="DD33" s="33">
        <f t="shared" ca="1" si="30"/>
        <v>1.2640705005296788E-2</v>
      </c>
      <c r="DE33" s="33">
        <f t="shared" ca="1" si="31"/>
        <v>1.1172163681272029E-2</v>
      </c>
      <c r="DF33" s="33">
        <f t="shared" ca="1" si="31"/>
        <v>9.8594549707518402E-3</v>
      </c>
      <c r="DG33" s="33">
        <f t="shared" ca="1" si="31"/>
        <v>9.2294619587237892E-3</v>
      </c>
      <c r="DH33" s="33">
        <f t="shared" ca="1" si="31"/>
        <v>1.0467914341502658E-2</v>
      </c>
      <c r="DI33" s="33">
        <f t="shared" ca="1" si="31"/>
        <v>1.2849112333217725E-2</v>
      </c>
      <c r="DJ33" s="33">
        <f t="shared" ca="1" si="31"/>
        <v>1.2659921399509919E-2</v>
      </c>
      <c r="DK33" s="33">
        <f t="shared" ca="1" si="31"/>
        <v>1.2484088297608399E-2</v>
      </c>
      <c r="DL33" s="33">
        <f t="shared" ca="1" si="31"/>
        <v>1.3333619362924508E-2</v>
      </c>
      <c r="DM33" s="33">
        <f t="shared" ca="1" si="31"/>
        <v>1.0336254729197688E-2</v>
      </c>
      <c r="DN33" s="33">
        <f t="shared" ca="1" si="31"/>
        <v>1.1010983728664084E-2</v>
      </c>
      <c r="DO33" s="12"/>
      <c r="DP33" s="12"/>
      <c r="DQ33" s="12"/>
    </row>
    <row r="34" spans="1:121" x14ac:dyDescent="0.2">
      <c r="A34" t="s">
        <v>34</v>
      </c>
      <c r="I34" s="32">
        <v>45444</v>
      </c>
      <c r="J34" s="33">
        <f t="shared" ca="1" si="0"/>
        <v>9.9611028775426647E-3</v>
      </c>
      <c r="K34" s="9">
        <v>2320.4999999999995</v>
      </c>
      <c r="L34" s="9">
        <f t="shared" ca="1" si="11"/>
        <v>67226.961809636079</v>
      </c>
      <c r="N34" s="6">
        <v>30</v>
      </c>
      <c r="O34" s="5">
        <v>3.7904502095522159</v>
      </c>
      <c r="P34" s="9">
        <v>671761.33326271432</v>
      </c>
      <c r="R34" s="32">
        <v>45444</v>
      </c>
      <c r="S34" s="33">
        <f t="shared" ca="1" si="22"/>
        <v>1.0352538873102335E-2</v>
      </c>
      <c r="T34" s="33">
        <f t="shared" ca="1" si="22"/>
        <v>6.8578722242060297E-3</v>
      </c>
      <c r="U34" s="33">
        <f t="shared" ca="1" si="22"/>
        <v>1.2054752103369086E-2</v>
      </c>
      <c r="V34" s="33">
        <f t="shared" ca="1" si="22"/>
        <v>9.8533307406620894E-3</v>
      </c>
      <c r="W34" s="33">
        <f t="shared" ca="1" si="22"/>
        <v>9.3992182644220164E-3</v>
      </c>
      <c r="X34" s="33">
        <f t="shared" ca="1" si="22"/>
        <v>8.9144027445809283E-3</v>
      </c>
      <c r="Y34" s="33">
        <f t="shared" ca="1" si="22"/>
        <v>1.2484505086562282E-2</v>
      </c>
      <c r="Z34" s="33">
        <f t="shared" ca="1" si="22"/>
        <v>8.3464047314647152E-3</v>
      </c>
      <c r="AA34" s="33">
        <f t="shared" ca="1" si="22"/>
        <v>1.000388278172085E-2</v>
      </c>
      <c r="AB34" s="33">
        <f t="shared" ca="1" si="22"/>
        <v>8.8415689814870264E-3</v>
      </c>
      <c r="AC34" s="33">
        <f t="shared" ca="1" si="23"/>
        <v>9.3941999821424566E-3</v>
      </c>
      <c r="AD34" s="33">
        <f t="shared" ca="1" si="23"/>
        <v>1.0296956630941606E-2</v>
      </c>
      <c r="AE34" s="33">
        <f t="shared" ca="1" si="23"/>
        <v>1.1526148294536683E-2</v>
      </c>
      <c r="AF34" s="33">
        <f t="shared" ca="1" si="23"/>
        <v>1.1288538315147778E-2</v>
      </c>
      <c r="AG34" s="33">
        <f t="shared" ca="1" si="23"/>
        <v>9.5590539975935456E-3</v>
      </c>
      <c r="AH34" s="33">
        <f t="shared" ca="1" si="23"/>
        <v>1.1047725262204247E-2</v>
      </c>
      <c r="AI34" s="33">
        <f t="shared" ca="1" si="23"/>
        <v>9.8662957420978855E-3</v>
      </c>
      <c r="AJ34" s="33">
        <f t="shared" ca="1" si="23"/>
        <v>1.1290298515003848E-2</v>
      </c>
      <c r="AK34" s="33">
        <f t="shared" ca="1" si="23"/>
        <v>1.3375987759837612E-2</v>
      </c>
      <c r="AL34" s="33">
        <f t="shared" ca="1" si="23"/>
        <v>1.0635194159551999E-2</v>
      </c>
      <c r="AM34" s="33">
        <f t="shared" ca="1" si="24"/>
        <v>1.1023862429894074E-2</v>
      </c>
      <c r="AN34" s="33">
        <f t="shared" ca="1" si="24"/>
        <v>1.2490196178265129E-2</v>
      </c>
      <c r="AO34" s="33">
        <f t="shared" ca="1" si="24"/>
        <v>1.2416412389844792E-2</v>
      </c>
      <c r="AP34" s="33">
        <f t="shared" ca="1" si="24"/>
        <v>1.0537227536322647E-2</v>
      </c>
      <c r="AQ34" s="33">
        <f t="shared" ca="1" si="24"/>
        <v>1.0694852516102703E-2</v>
      </c>
      <c r="AR34" s="33">
        <f t="shared" ca="1" si="24"/>
        <v>8.0575893414933479E-3</v>
      </c>
      <c r="AS34" s="33">
        <f t="shared" ca="1" si="24"/>
        <v>1.1366419474741592E-2</v>
      </c>
      <c r="AT34" s="33">
        <f t="shared" ca="1" si="24"/>
        <v>9.3191059037074451E-3</v>
      </c>
      <c r="AU34" s="33">
        <f t="shared" ca="1" si="24"/>
        <v>1.2392810853459729E-2</v>
      </c>
      <c r="AV34" s="33">
        <f t="shared" ca="1" si="24"/>
        <v>1.044658151015203E-2</v>
      </c>
      <c r="AW34" s="33">
        <f t="shared" ca="1" si="25"/>
        <v>8.9313691943894661E-3</v>
      </c>
      <c r="AX34" s="33">
        <f t="shared" ca="1" si="25"/>
        <v>8.9831475603708785E-3</v>
      </c>
      <c r="AY34" s="33">
        <f t="shared" ca="1" si="25"/>
        <v>1.0601541471525392E-2</v>
      </c>
      <c r="AZ34" s="33">
        <f t="shared" ca="1" si="25"/>
        <v>1.2109062495572965E-2</v>
      </c>
      <c r="BA34" s="33">
        <f t="shared" ca="1" si="25"/>
        <v>1.2933113496376564E-2</v>
      </c>
      <c r="BB34" s="33">
        <f t="shared" ca="1" si="25"/>
        <v>1.1937505067425538E-2</v>
      </c>
      <c r="BC34" s="33">
        <f t="shared" ca="1" si="25"/>
        <v>1.2774940070351353E-2</v>
      </c>
      <c r="BD34" s="33">
        <f t="shared" ca="1" si="25"/>
        <v>1.363823644787782E-2</v>
      </c>
      <c r="BE34" s="33">
        <f t="shared" ca="1" si="25"/>
        <v>1.0273586780792808E-2</v>
      </c>
      <c r="BF34" s="33">
        <f t="shared" ca="1" si="25"/>
        <v>1.0199587472957024E-2</v>
      </c>
      <c r="BG34" s="33">
        <f t="shared" ca="1" si="26"/>
        <v>1.1102638313561179E-2</v>
      </c>
      <c r="BH34" s="33">
        <f t="shared" ca="1" si="26"/>
        <v>1.1335215577338804E-2</v>
      </c>
      <c r="BI34" s="33">
        <f t="shared" ca="1" si="26"/>
        <v>1.1550277272819291E-2</v>
      </c>
      <c r="BJ34" s="33">
        <f t="shared" ca="1" si="26"/>
        <v>1.2396024219003696E-2</v>
      </c>
      <c r="BK34" s="33">
        <f t="shared" ca="1" si="26"/>
        <v>1.045921452650217E-2</v>
      </c>
      <c r="BL34" s="33">
        <f t="shared" ca="1" si="26"/>
        <v>1.049128557918793E-2</v>
      </c>
      <c r="BM34" s="33">
        <f t="shared" ca="1" si="26"/>
        <v>9.5446835815391727E-3</v>
      </c>
      <c r="BN34" s="33">
        <f t="shared" ca="1" si="26"/>
        <v>9.5387040587445616E-3</v>
      </c>
      <c r="BO34" s="33">
        <f t="shared" ca="1" si="26"/>
        <v>1.0612765374528156E-2</v>
      </c>
      <c r="BP34" s="33">
        <f t="shared" ca="1" si="26"/>
        <v>1.0863646663708367E-2</v>
      </c>
      <c r="BQ34" s="33">
        <f t="shared" ca="1" si="27"/>
        <v>1.230984374133566E-2</v>
      </c>
      <c r="BR34" s="33">
        <f t="shared" ca="1" si="27"/>
        <v>1.1928862028302884E-2</v>
      </c>
      <c r="BS34" s="33">
        <f t="shared" ca="1" si="27"/>
        <v>9.748475040416052E-3</v>
      </c>
      <c r="BT34" s="33">
        <f t="shared" ca="1" si="27"/>
        <v>1.1804292198192647E-2</v>
      </c>
      <c r="BU34" s="33">
        <f t="shared" ca="1" si="27"/>
        <v>8.8477848333768892E-3</v>
      </c>
      <c r="BV34" s="33">
        <f t="shared" ca="1" si="27"/>
        <v>1.2642417513296969E-2</v>
      </c>
      <c r="BW34" s="33">
        <f t="shared" ca="1" si="27"/>
        <v>9.372995973299398E-3</v>
      </c>
      <c r="BX34" s="33">
        <f t="shared" ca="1" si="27"/>
        <v>1.0292582566282625E-2</v>
      </c>
      <c r="BY34" s="33">
        <f t="shared" ca="1" si="27"/>
        <v>1.0276617210585402E-2</v>
      </c>
      <c r="BZ34" s="33">
        <f t="shared" ca="1" si="27"/>
        <v>1.0035930624732726E-2</v>
      </c>
      <c r="CA34" s="33">
        <f t="shared" ca="1" si="28"/>
        <v>1.1874307244821424E-2</v>
      </c>
      <c r="CB34" s="33">
        <f t="shared" ca="1" si="28"/>
        <v>1.1499774163847787E-2</v>
      </c>
      <c r="CC34" s="33">
        <f t="shared" ca="1" si="28"/>
        <v>1.2123568104214602E-2</v>
      </c>
      <c r="CD34" s="33">
        <f t="shared" ca="1" si="28"/>
        <v>1.2511908492288884E-2</v>
      </c>
      <c r="CE34" s="33">
        <f t="shared" ca="1" si="28"/>
        <v>9.8521999347714329E-3</v>
      </c>
      <c r="CF34" s="33">
        <f t="shared" ca="1" si="28"/>
        <v>1.4046206897529815E-2</v>
      </c>
      <c r="CG34" s="33">
        <f t="shared" ca="1" si="28"/>
        <v>1.2864705943751643E-2</v>
      </c>
      <c r="CH34" s="33">
        <f t="shared" ca="1" si="28"/>
        <v>1.1465212014631536E-2</v>
      </c>
      <c r="CI34" s="33">
        <f t="shared" ca="1" si="28"/>
        <v>1.0772445450730543E-2</v>
      </c>
      <c r="CJ34" s="33">
        <f t="shared" ca="1" si="28"/>
        <v>1.0701625683867382E-2</v>
      </c>
      <c r="CK34" s="33">
        <f t="shared" ca="1" si="29"/>
        <v>9.8210146112591105E-3</v>
      </c>
      <c r="CL34" s="33">
        <f t="shared" ca="1" si="29"/>
        <v>1.1406190186969907E-2</v>
      </c>
      <c r="CM34" s="33">
        <f t="shared" ca="1" si="29"/>
        <v>1.082423316203103E-2</v>
      </c>
      <c r="CN34" s="33">
        <f t="shared" ca="1" si="29"/>
        <v>1.091744447258047E-2</v>
      </c>
      <c r="CO34" s="33">
        <f t="shared" ca="1" si="29"/>
        <v>9.4545270410526551E-3</v>
      </c>
      <c r="CP34" s="33">
        <f t="shared" ca="1" si="29"/>
        <v>1.0871346887343871E-2</v>
      </c>
      <c r="CQ34" s="33">
        <f t="shared" ca="1" si="29"/>
        <v>1.5023934315633983E-2</v>
      </c>
      <c r="CR34" s="33">
        <f t="shared" ca="1" si="29"/>
        <v>1.1550020687726148E-2</v>
      </c>
      <c r="CS34" s="33">
        <f t="shared" ca="1" si="29"/>
        <v>1.1132747862509342E-2</v>
      </c>
      <c r="CT34" s="33">
        <f t="shared" ca="1" si="29"/>
        <v>1.147735064033205E-2</v>
      </c>
      <c r="CU34" s="33">
        <f t="shared" ca="1" si="30"/>
        <v>1.2069324911611818E-2</v>
      </c>
      <c r="CV34" s="33">
        <f t="shared" ca="1" si="30"/>
        <v>1.1509865107059916E-2</v>
      </c>
      <c r="CW34" s="33">
        <f t="shared" ca="1" si="30"/>
        <v>1.0724892089296353E-2</v>
      </c>
      <c r="CX34" s="33">
        <f t="shared" ca="1" si="30"/>
        <v>9.2794781294833865E-3</v>
      </c>
      <c r="CY34" s="33">
        <f t="shared" ca="1" si="30"/>
        <v>1.1881711787332785E-2</v>
      </c>
      <c r="CZ34" s="33">
        <f t="shared" ca="1" si="30"/>
        <v>9.4044124470034213E-3</v>
      </c>
      <c r="DA34" s="33">
        <f t="shared" ca="1" si="30"/>
        <v>1.03150883066013E-2</v>
      </c>
      <c r="DB34" s="33">
        <f t="shared" ca="1" si="30"/>
        <v>1.1086150760542228E-2</v>
      </c>
      <c r="DC34" s="33">
        <f t="shared" ca="1" si="30"/>
        <v>1.0373817072881335E-2</v>
      </c>
      <c r="DD34" s="33">
        <f t="shared" ca="1" si="30"/>
        <v>1.1733373170294131E-2</v>
      </c>
      <c r="DE34" s="33">
        <f t="shared" ca="1" si="31"/>
        <v>1.2569431933882916E-2</v>
      </c>
      <c r="DF34" s="33">
        <f t="shared" ca="1" si="31"/>
        <v>1.0023909886268592E-2</v>
      </c>
      <c r="DG34" s="33">
        <f t="shared" ca="1" si="31"/>
        <v>1.1149977929539643E-2</v>
      </c>
      <c r="DH34" s="33">
        <f t="shared" ca="1" si="31"/>
        <v>1.1282266628142397E-2</v>
      </c>
      <c r="DI34" s="33">
        <f t="shared" ca="1" si="31"/>
        <v>1.1726457529953382E-2</v>
      </c>
      <c r="DJ34" s="33">
        <f t="shared" ca="1" si="31"/>
        <v>1.0838371729044794E-2</v>
      </c>
      <c r="DK34" s="33">
        <f t="shared" ca="1" si="31"/>
        <v>1.1184868173850771E-2</v>
      </c>
      <c r="DL34" s="33">
        <f t="shared" ca="1" si="31"/>
        <v>1.3702850382432519E-2</v>
      </c>
      <c r="DM34" s="33">
        <f t="shared" ca="1" si="31"/>
        <v>1.0288009651437564E-2</v>
      </c>
      <c r="DN34" s="33">
        <f t="shared" ca="1" si="31"/>
        <v>1.0957669522251866E-2</v>
      </c>
      <c r="DO34" s="12"/>
      <c r="DP34" s="12"/>
      <c r="DQ34" s="12"/>
    </row>
    <row r="35" spans="1:121" x14ac:dyDescent="0.2">
      <c r="A35" t="s">
        <v>25</v>
      </c>
      <c r="B35" t="s">
        <v>26</v>
      </c>
      <c r="C35" t="s">
        <v>27</v>
      </c>
      <c r="I35" s="32">
        <v>45474</v>
      </c>
      <c r="J35" s="33">
        <f t="shared" ca="1" si="0"/>
        <v>1.0116518611168126E-2</v>
      </c>
      <c r="K35" s="9">
        <v>2320.4999999999995</v>
      </c>
      <c r="L35" s="9">
        <f t="shared" ca="1" si="11"/>
        <v>70231.016386458359</v>
      </c>
      <c r="N35" s="6">
        <v>31</v>
      </c>
      <c r="O35" s="5">
        <v>3.8342515262743908</v>
      </c>
      <c r="P35" s="9">
        <v>672576.96853532048</v>
      </c>
      <c r="R35" s="32">
        <v>45474</v>
      </c>
      <c r="S35" s="33">
        <f t="shared" ref="S35:AB44" ca="1" si="32">_xlfn.NORM.INV(RAND(),$A$52,$B$45)</f>
        <v>1.4142717991944689E-2</v>
      </c>
      <c r="T35" s="33">
        <f t="shared" ca="1" si="32"/>
        <v>1.1204465802971554E-2</v>
      </c>
      <c r="U35" s="33">
        <f t="shared" ca="1" si="32"/>
        <v>1.1298845890448378E-2</v>
      </c>
      <c r="V35" s="33">
        <f t="shared" ca="1" si="32"/>
        <v>1.4255121858193241E-2</v>
      </c>
      <c r="W35" s="33">
        <f t="shared" ca="1" si="32"/>
        <v>1.3334053485504453E-2</v>
      </c>
      <c r="X35" s="33">
        <f t="shared" ca="1" si="32"/>
        <v>1.2506652890200264E-2</v>
      </c>
      <c r="Y35" s="33">
        <f t="shared" ca="1" si="32"/>
        <v>9.7152025605586109E-3</v>
      </c>
      <c r="Z35" s="33">
        <f t="shared" ca="1" si="32"/>
        <v>1.4064479938328172E-2</v>
      </c>
      <c r="AA35" s="33">
        <f t="shared" ca="1" si="32"/>
        <v>1.2072159433751131E-2</v>
      </c>
      <c r="AB35" s="33">
        <f t="shared" ca="1" si="32"/>
        <v>1.1663403499538042E-2</v>
      </c>
      <c r="AC35" s="33">
        <f t="shared" ref="AC35:AL44" ca="1" si="33">_xlfn.NORM.INV(RAND(),$A$52,$B$45)</f>
        <v>8.8445443092299101E-3</v>
      </c>
      <c r="AD35" s="33">
        <f t="shared" ca="1" si="33"/>
        <v>1.1883316277711218E-2</v>
      </c>
      <c r="AE35" s="33">
        <f t="shared" ca="1" si="33"/>
        <v>1.2307726627548497E-2</v>
      </c>
      <c r="AF35" s="33">
        <f t="shared" ca="1" si="33"/>
        <v>1.0331402000166997E-2</v>
      </c>
      <c r="AG35" s="33">
        <f t="shared" ca="1" si="33"/>
        <v>1.2369615281893721E-2</v>
      </c>
      <c r="AH35" s="33">
        <f t="shared" ca="1" si="33"/>
        <v>1.165204784566636E-2</v>
      </c>
      <c r="AI35" s="33">
        <f t="shared" ca="1" si="33"/>
        <v>1.1084112144807068E-2</v>
      </c>
      <c r="AJ35" s="33">
        <f t="shared" ca="1" si="33"/>
        <v>1.0767878971704111E-2</v>
      </c>
      <c r="AK35" s="33">
        <f t="shared" ca="1" si="33"/>
        <v>1.1242739495837836E-2</v>
      </c>
      <c r="AL35" s="33">
        <f t="shared" ca="1" si="33"/>
        <v>1.1221215407599973E-2</v>
      </c>
      <c r="AM35" s="33">
        <f t="shared" ref="AM35:AV44" ca="1" si="34">_xlfn.NORM.INV(RAND(),$A$52,$B$45)</f>
        <v>1.0632219750882589E-2</v>
      </c>
      <c r="AN35" s="33">
        <f t="shared" ca="1" si="34"/>
        <v>9.8067481137182975E-3</v>
      </c>
      <c r="AO35" s="33">
        <f t="shared" ca="1" si="34"/>
        <v>9.6653829987239422E-3</v>
      </c>
      <c r="AP35" s="33">
        <f t="shared" ca="1" si="34"/>
        <v>1.1664945107263527E-2</v>
      </c>
      <c r="AQ35" s="33">
        <f t="shared" ca="1" si="34"/>
        <v>1.3175070880102311E-2</v>
      </c>
      <c r="AR35" s="33">
        <f t="shared" ca="1" si="34"/>
        <v>1.0662724225653154E-2</v>
      </c>
      <c r="AS35" s="33">
        <f t="shared" ca="1" si="34"/>
        <v>1.0137059066742145E-2</v>
      </c>
      <c r="AT35" s="33">
        <f t="shared" ca="1" si="34"/>
        <v>1.2250820679202577E-2</v>
      </c>
      <c r="AU35" s="33">
        <f t="shared" ca="1" si="34"/>
        <v>1.1075756481391209E-2</v>
      </c>
      <c r="AV35" s="33">
        <f t="shared" ca="1" si="34"/>
        <v>9.135871991019286E-3</v>
      </c>
      <c r="AW35" s="33">
        <f t="shared" ref="AW35:BF44" ca="1" si="35">_xlfn.NORM.INV(RAND(),$A$52,$B$45)</f>
        <v>1.0241464856918207E-2</v>
      </c>
      <c r="AX35" s="33">
        <f t="shared" ca="1" si="35"/>
        <v>1.2953317031213187E-2</v>
      </c>
      <c r="AY35" s="33">
        <f t="shared" ca="1" si="35"/>
        <v>1.1391275761804825E-2</v>
      </c>
      <c r="AZ35" s="33">
        <f t="shared" ca="1" si="35"/>
        <v>1.3785950524807798E-2</v>
      </c>
      <c r="BA35" s="33">
        <f t="shared" ca="1" si="35"/>
        <v>1.2997568951322038E-2</v>
      </c>
      <c r="BB35" s="33">
        <f t="shared" ca="1" si="35"/>
        <v>9.2162366202856762E-3</v>
      </c>
      <c r="BC35" s="33">
        <f t="shared" ca="1" si="35"/>
        <v>1.148462227333779E-2</v>
      </c>
      <c r="BD35" s="33">
        <f t="shared" ca="1" si="35"/>
        <v>1.0396383267467309E-2</v>
      </c>
      <c r="BE35" s="33">
        <f t="shared" ca="1" si="35"/>
        <v>1.1644576989785424E-2</v>
      </c>
      <c r="BF35" s="33">
        <f t="shared" ca="1" si="35"/>
        <v>1.1152273959204578E-2</v>
      </c>
      <c r="BG35" s="33">
        <f t="shared" ref="BG35:BP44" ca="1" si="36">_xlfn.NORM.INV(RAND(),$A$52,$B$45)</f>
        <v>1.2820891574561332E-2</v>
      </c>
      <c r="BH35" s="33">
        <f t="shared" ca="1" si="36"/>
        <v>9.3999218320939722E-3</v>
      </c>
      <c r="BI35" s="33">
        <f t="shared" ca="1" si="36"/>
        <v>1.1706250333147244E-2</v>
      </c>
      <c r="BJ35" s="33">
        <f t="shared" ca="1" si="36"/>
        <v>1.2075610097584552E-2</v>
      </c>
      <c r="BK35" s="33">
        <f t="shared" ca="1" si="36"/>
        <v>9.2824468491565192E-3</v>
      </c>
      <c r="BL35" s="33">
        <f t="shared" ca="1" si="36"/>
        <v>1.2745640528527807E-2</v>
      </c>
      <c r="BM35" s="33">
        <f t="shared" ca="1" si="36"/>
        <v>1.4500330821746647E-2</v>
      </c>
      <c r="BN35" s="33">
        <f t="shared" ca="1" si="36"/>
        <v>1.0300971216108554E-2</v>
      </c>
      <c r="BO35" s="33">
        <f t="shared" ca="1" si="36"/>
        <v>1.0718727681942234E-2</v>
      </c>
      <c r="BP35" s="33">
        <f t="shared" ca="1" si="36"/>
        <v>1.4700375830746203E-2</v>
      </c>
      <c r="BQ35" s="33">
        <f t="shared" ref="BQ35:BZ44" ca="1" si="37">_xlfn.NORM.INV(RAND(),$A$52,$B$45)</f>
        <v>1.4694621182496244E-2</v>
      </c>
      <c r="BR35" s="33">
        <f t="shared" ca="1" si="37"/>
        <v>1.1505492634109223E-2</v>
      </c>
      <c r="BS35" s="33">
        <f t="shared" ca="1" si="37"/>
        <v>1.0770217353285112E-2</v>
      </c>
      <c r="BT35" s="33">
        <f t="shared" ca="1" si="37"/>
        <v>1.0183761609360563E-2</v>
      </c>
      <c r="BU35" s="33">
        <f t="shared" ca="1" si="37"/>
        <v>1.3209570887571381E-2</v>
      </c>
      <c r="BV35" s="33">
        <f t="shared" ca="1" si="37"/>
        <v>1.1481130964966555E-2</v>
      </c>
      <c r="BW35" s="33">
        <f t="shared" ca="1" si="37"/>
        <v>1.2673268471864924E-2</v>
      </c>
      <c r="BX35" s="33">
        <f t="shared" ca="1" si="37"/>
        <v>1.2099619935610711E-2</v>
      </c>
      <c r="BY35" s="33">
        <f t="shared" ca="1" si="37"/>
        <v>8.3864639634371359E-3</v>
      </c>
      <c r="BZ35" s="33">
        <f t="shared" ca="1" si="37"/>
        <v>1.0375947106333097E-2</v>
      </c>
      <c r="CA35" s="33">
        <f t="shared" ref="CA35:CJ44" ca="1" si="38">_xlfn.NORM.INV(RAND(),$A$52,$B$45)</f>
        <v>1.1177076026047124E-2</v>
      </c>
      <c r="CB35" s="33">
        <f t="shared" ca="1" si="38"/>
        <v>1.1895694623816426E-2</v>
      </c>
      <c r="CC35" s="33">
        <f t="shared" ca="1" si="38"/>
        <v>1.1144363209064307E-2</v>
      </c>
      <c r="CD35" s="33">
        <f t="shared" ca="1" si="38"/>
        <v>1.2727368750556982E-2</v>
      </c>
      <c r="CE35" s="33">
        <f t="shared" ca="1" si="38"/>
        <v>1.2913785105957153E-2</v>
      </c>
      <c r="CF35" s="33">
        <f t="shared" ca="1" si="38"/>
        <v>1.0692548590013801E-2</v>
      </c>
      <c r="CG35" s="33">
        <f t="shared" ca="1" si="38"/>
        <v>1.0850284913607986E-2</v>
      </c>
      <c r="CH35" s="33">
        <f t="shared" ca="1" si="38"/>
        <v>1.1648316696522314E-2</v>
      </c>
      <c r="CI35" s="33">
        <f t="shared" ca="1" si="38"/>
        <v>1.3884829898670443E-2</v>
      </c>
      <c r="CJ35" s="33">
        <f t="shared" ca="1" si="38"/>
        <v>1.0280645004872293E-2</v>
      </c>
      <c r="CK35" s="33">
        <f t="shared" ref="CK35:CT44" ca="1" si="39">_xlfn.NORM.INV(RAND(),$A$52,$B$45)</f>
        <v>1.2819600279249721E-2</v>
      </c>
      <c r="CL35" s="33">
        <f t="shared" ca="1" si="39"/>
        <v>1.3354720104634175E-2</v>
      </c>
      <c r="CM35" s="33">
        <f t="shared" ca="1" si="39"/>
        <v>1.2824817821863439E-2</v>
      </c>
      <c r="CN35" s="33">
        <f t="shared" ca="1" si="39"/>
        <v>1.1842751229833753E-2</v>
      </c>
      <c r="CO35" s="33">
        <f t="shared" ca="1" si="39"/>
        <v>1.3247286771458991E-2</v>
      </c>
      <c r="CP35" s="33">
        <f t="shared" ca="1" si="39"/>
        <v>1.311180068821283E-2</v>
      </c>
      <c r="CQ35" s="33">
        <f t="shared" ca="1" si="39"/>
        <v>1.1380473250593791E-2</v>
      </c>
      <c r="CR35" s="33">
        <f t="shared" ca="1" si="39"/>
        <v>1.3342224075609727E-2</v>
      </c>
      <c r="CS35" s="33">
        <f t="shared" ca="1" si="39"/>
        <v>1.0159457651172602E-2</v>
      </c>
      <c r="CT35" s="33">
        <f t="shared" ca="1" si="39"/>
        <v>1.4411242125346583E-2</v>
      </c>
      <c r="CU35" s="33">
        <f t="shared" ref="CU35:DD44" ca="1" si="40">_xlfn.NORM.INV(RAND(),$A$52,$B$45)</f>
        <v>1.0874736882265524E-2</v>
      </c>
      <c r="CV35" s="33">
        <f t="shared" ca="1" si="40"/>
        <v>1.0222748351775399E-2</v>
      </c>
      <c r="CW35" s="33">
        <f t="shared" ca="1" si="40"/>
        <v>1.031999072603668E-2</v>
      </c>
      <c r="CX35" s="33">
        <f t="shared" ca="1" si="40"/>
        <v>9.8645819976703759E-3</v>
      </c>
      <c r="CY35" s="33">
        <f t="shared" ca="1" si="40"/>
        <v>1.1893148876939649E-2</v>
      </c>
      <c r="CZ35" s="33">
        <f t="shared" ca="1" si="40"/>
        <v>1.2304703392037814E-2</v>
      </c>
      <c r="DA35" s="33">
        <f t="shared" ca="1" si="40"/>
        <v>1.0484908617329806E-2</v>
      </c>
      <c r="DB35" s="33">
        <f t="shared" ca="1" si="40"/>
        <v>1.1851956068734237E-2</v>
      </c>
      <c r="DC35" s="33">
        <f t="shared" ca="1" si="40"/>
        <v>1.0033707557334676E-2</v>
      </c>
      <c r="DD35" s="33">
        <f t="shared" ca="1" si="40"/>
        <v>1.0555695660529196E-2</v>
      </c>
      <c r="DE35" s="33">
        <f t="shared" ref="DE35:DN44" ca="1" si="41">_xlfn.NORM.INV(RAND(),$A$52,$B$45)</f>
        <v>9.6161030468187979E-3</v>
      </c>
      <c r="DF35" s="33">
        <f t="shared" ca="1" si="41"/>
        <v>1.0655283398257696E-2</v>
      </c>
      <c r="DG35" s="33">
        <f t="shared" ca="1" si="41"/>
        <v>1.0103215366281159E-2</v>
      </c>
      <c r="DH35" s="33">
        <f t="shared" ca="1" si="41"/>
        <v>1.1660903443238344E-2</v>
      </c>
      <c r="DI35" s="33">
        <f t="shared" ca="1" si="41"/>
        <v>1.1726821211566282E-2</v>
      </c>
      <c r="DJ35" s="33">
        <f t="shared" ca="1" si="41"/>
        <v>1.0117843142859961E-2</v>
      </c>
      <c r="DK35" s="33">
        <f t="shared" ca="1" si="41"/>
        <v>1.3351175373860588E-2</v>
      </c>
      <c r="DL35" s="33">
        <f t="shared" ca="1" si="41"/>
        <v>1.095493268923955E-2</v>
      </c>
      <c r="DM35" s="33">
        <f t="shared" ca="1" si="41"/>
        <v>9.6229424536103426E-3</v>
      </c>
      <c r="DN35" s="33">
        <f t="shared" ca="1" si="41"/>
        <v>1.1105829778406927E-2</v>
      </c>
      <c r="DO35" s="12"/>
      <c r="DP35" s="12"/>
      <c r="DQ35" s="12"/>
    </row>
    <row r="36" spans="1:121" x14ac:dyDescent="0.2">
      <c r="A36">
        <v>2.2323080498089797E-2</v>
      </c>
      <c r="B36">
        <v>3.8553252910227425E-3</v>
      </c>
      <c r="C36">
        <v>1.0613470850257507E-2</v>
      </c>
      <c r="I36" s="32">
        <v>45505</v>
      </c>
      <c r="J36" s="33">
        <f t="shared" ca="1" si="0"/>
        <v>1.097640988263507E-2</v>
      </c>
      <c r="K36" s="9">
        <v>2320.4999999999995</v>
      </c>
      <c r="L36" s="9">
        <f t="shared" ca="1" si="11"/>
        <v>73326.647102618357</v>
      </c>
      <c r="N36" s="6">
        <v>32</v>
      </c>
      <c r="O36" s="5">
        <v>3.8744156313364067</v>
      </c>
      <c r="P36" s="9">
        <v>681037.05644217192</v>
      </c>
      <c r="R36" s="32">
        <v>45505</v>
      </c>
      <c r="S36" s="33">
        <f t="shared" ca="1" si="32"/>
        <v>9.8371711926987047E-3</v>
      </c>
      <c r="T36" s="33">
        <f t="shared" ca="1" si="32"/>
        <v>8.8808410088521798E-3</v>
      </c>
      <c r="U36" s="33">
        <f t="shared" ca="1" si="32"/>
        <v>1.2306698485137352E-2</v>
      </c>
      <c r="V36" s="33">
        <f t="shared" ca="1" si="32"/>
        <v>1.191286666926393E-2</v>
      </c>
      <c r="W36" s="33">
        <f t="shared" ca="1" si="32"/>
        <v>1.1276724935987231E-2</v>
      </c>
      <c r="X36" s="33">
        <f t="shared" ca="1" si="32"/>
        <v>1.2617348227442074E-2</v>
      </c>
      <c r="Y36" s="33">
        <f t="shared" ca="1" si="32"/>
        <v>1.117417397953758E-2</v>
      </c>
      <c r="Z36" s="33">
        <f t="shared" ca="1" si="32"/>
        <v>1.1357077773655801E-2</v>
      </c>
      <c r="AA36" s="33">
        <f t="shared" ca="1" si="32"/>
        <v>9.3845444755619907E-3</v>
      </c>
      <c r="AB36" s="33">
        <f t="shared" ca="1" si="32"/>
        <v>1.1574766142522242E-2</v>
      </c>
      <c r="AC36" s="33">
        <f t="shared" ca="1" si="33"/>
        <v>1.2643853327042981E-2</v>
      </c>
      <c r="AD36" s="33">
        <f t="shared" ca="1" si="33"/>
        <v>1.1681967039990353E-2</v>
      </c>
      <c r="AE36" s="33">
        <f t="shared" ca="1" si="33"/>
        <v>1.2427573117732689E-2</v>
      </c>
      <c r="AF36" s="33">
        <f t="shared" ca="1" si="33"/>
        <v>1.1633817719739674E-2</v>
      </c>
      <c r="AG36" s="33">
        <f t="shared" ca="1" si="33"/>
        <v>9.3169353631715798E-3</v>
      </c>
      <c r="AH36" s="33">
        <f t="shared" ca="1" si="33"/>
        <v>1.1738823994208978E-2</v>
      </c>
      <c r="AI36" s="33">
        <f t="shared" ca="1" si="33"/>
        <v>8.8087002259917783E-3</v>
      </c>
      <c r="AJ36" s="33">
        <f t="shared" ca="1" si="33"/>
        <v>1.1255635646182696E-2</v>
      </c>
      <c r="AK36" s="33">
        <f t="shared" ca="1" si="33"/>
        <v>8.2376985806508693E-3</v>
      </c>
      <c r="AL36" s="33">
        <f t="shared" ca="1" si="33"/>
        <v>1.0556231949548227E-2</v>
      </c>
      <c r="AM36" s="33">
        <f t="shared" ca="1" si="34"/>
        <v>1.0434304511770576E-2</v>
      </c>
      <c r="AN36" s="33">
        <f t="shared" ca="1" si="34"/>
        <v>1.0975785068896475E-2</v>
      </c>
      <c r="AO36" s="33">
        <f t="shared" ca="1" si="34"/>
        <v>1.1855266816546296E-2</v>
      </c>
      <c r="AP36" s="33">
        <f t="shared" ca="1" si="34"/>
        <v>1.0060286008659205E-2</v>
      </c>
      <c r="AQ36" s="33">
        <f t="shared" ca="1" si="34"/>
        <v>1.2187181727314794E-2</v>
      </c>
      <c r="AR36" s="33">
        <f t="shared" ca="1" si="34"/>
        <v>1.2920881052313428E-2</v>
      </c>
      <c r="AS36" s="33">
        <f t="shared" ca="1" si="34"/>
        <v>1.0550632183917169E-2</v>
      </c>
      <c r="AT36" s="33">
        <f t="shared" ca="1" si="34"/>
        <v>1.2038214204047566E-2</v>
      </c>
      <c r="AU36" s="33">
        <f t="shared" ca="1" si="34"/>
        <v>1.1642126548678352E-2</v>
      </c>
      <c r="AV36" s="33">
        <f t="shared" ca="1" si="34"/>
        <v>1.2179446035745537E-2</v>
      </c>
      <c r="AW36" s="33">
        <f t="shared" ca="1" si="35"/>
        <v>1.2354406242006304E-2</v>
      </c>
      <c r="AX36" s="33">
        <f t="shared" ca="1" si="35"/>
        <v>1.0960929838716217E-2</v>
      </c>
      <c r="AY36" s="33">
        <f t="shared" ca="1" si="35"/>
        <v>1.3563092345160305E-2</v>
      </c>
      <c r="AZ36" s="33">
        <f t="shared" ca="1" si="35"/>
        <v>1.4252088475394777E-2</v>
      </c>
      <c r="BA36" s="33">
        <f t="shared" ca="1" si="35"/>
        <v>1.0221756855443534E-2</v>
      </c>
      <c r="BB36" s="33">
        <f t="shared" ca="1" si="35"/>
        <v>1.1343105512157821E-2</v>
      </c>
      <c r="BC36" s="33">
        <f t="shared" ca="1" si="35"/>
        <v>9.7829633601396147E-3</v>
      </c>
      <c r="BD36" s="33">
        <f t="shared" ca="1" si="35"/>
        <v>8.5793947795133937E-3</v>
      </c>
      <c r="BE36" s="33">
        <f t="shared" ca="1" si="35"/>
        <v>1.0652058642982215E-2</v>
      </c>
      <c r="BF36" s="33">
        <f t="shared" ca="1" si="35"/>
        <v>1.0710205483802937E-2</v>
      </c>
      <c r="BG36" s="33">
        <f t="shared" ca="1" si="36"/>
        <v>1.2518110236603711E-2</v>
      </c>
      <c r="BH36" s="33">
        <f t="shared" ca="1" si="36"/>
        <v>1.1047998739017845E-2</v>
      </c>
      <c r="BI36" s="33">
        <f t="shared" ca="1" si="36"/>
        <v>1.2251461293962398E-2</v>
      </c>
      <c r="BJ36" s="33">
        <f t="shared" ca="1" si="36"/>
        <v>1.2036843732052147E-2</v>
      </c>
      <c r="BK36" s="33">
        <f t="shared" ca="1" si="36"/>
        <v>1.0489572663319097E-2</v>
      </c>
      <c r="BL36" s="33">
        <f t="shared" ca="1" si="36"/>
        <v>1.1918323630766546E-2</v>
      </c>
      <c r="BM36" s="33">
        <f t="shared" ca="1" si="36"/>
        <v>1.0051034757449253E-2</v>
      </c>
      <c r="BN36" s="33">
        <f t="shared" ca="1" si="36"/>
        <v>1.194680210132076E-2</v>
      </c>
      <c r="BO36" s="33">
        <f t="shared" ca="1" si="36"/>
        <v>1.285712573122718E-2</v>
      </c>
      <c r="BP36" s="33">
        <f t="shared" ca="1" si="36"/>
        <v>1.148301821026038E-2</v>
      </c>
      <c r="BQ36" s="33">
        <f t="shared" ca="1" si="37"/>
        <v>1.190847792642028E-2</v>
      </c>
      <c r="BR36" s="33">
        <f t="shared" ca="1" si="37"/>
        <v>9.5775910090689989E-3</v>
      </c>
      <c r="BS36" s="33">
        <f t="shared" ca="1" si="37"/>
        <v>1.1268150552981748E-2</v>
      </c>
      <c r="BT36" s="33">
        <f t="shared" ca="1" si="37"/>
        <v>1.2453538436352898E-2</v>
      </c>
      <c r="BU36" s="33">
        <f t="shared" ca="1" si="37"/>
        <v>1.0985167716972494E-2</v>
      </c>
      <c r="BV36" s="33">
        <f t="shared" ca="1" si="37"/>
        <v>1.0939444303837541E-2</v>
      </c>
      <c r="BW36" s="33">
        <f t="shared" ca="1" si="37"/>
        <v>9.0695218325648128E-3</v>
      </c>
      <c r="BX36" s="33">
        <f t="shared" ca="1" si="37"/>
        <v>1.013582491985689E-2</v>
      </c>
      <c r="BY36" s="33">
        <f t="shared" ca="1" si="37"/>
        <v>1.1655311519213585E-2</v>
      </c>
      <c r="BZ36" s="33">
        <f t="shared" ca="1" si="37"/>
        <v>1.4673749532306719E-2</v>
      </c>
      <c r="CA36" s="33">
        <f t="shared" ca="1" si="38"/>
        <v>1.1764563585357619E-2</v>
      </c>
      <c r="CB36" s="33">
        <f t="shared" ca="1" si="38"/>
        <v>1.1325059399058122E-2</v>
      </c>
      <c r="CC36" s="33">
        <f t="shared" ca="1" si="38"/>
        <v>1.1880026086439795E-2</v>
      </c>
      <c r="CD36" s="33">
        <f t="shared" ca="1" si="38"/>
        <v>1.1392515549639489E-2</v>
      </c>
      <c r="CE36" s="33">
        <f t="shared" ca="1" si="38"/>
        <v>1.5583880959475526E-2</v>
      </c>
      <c r="CF36" s="33">
        <f t="shared" ca="1" si="38"/>
        <v>1.040335322439474E-2</v>
      </c>
      <c r="CG36" s="33">
        <f t="shared" ca="1" si="38"/>
        <v>1.0392950163550817E-2</v>
      </c>
      <c r="CH36" s="33">
        <f t="shared" ca="1" si="38"/>
        <v>1.0625893321994857E-2</v>
      </c>
      <c r="CI36" s="33">
        <f t="shared" ca="1" si="38"/>
        <v>9.9285077618943632E-3</v>
      </c>
      <c r="CJ36" s="33">
        <f t="shared" ca="1" si="38"/>
        <v>1.0176260404310638E-2</v>
      </c>
      <c r="CK36" s="33">
        <f t="shared" ca="1" si="39"/>
        <v>1.0832504495110815E-2</v>
      </c>
      <c r="CL36" s="33">
        <f t="shared" ca="1" si="39"/>
        <v>1.0800391981906805E-2</v>
      </c>
      <c r="CM36" s="33">
        <f t="shared" ca="1" si="39"/>
        <v>1.0827107863550848E-2</v>
      </c>
      <c r="CN36" s="33">
        <f t="shared" ca="1" si="39"/>
        <v>1.1889424548289373E-2</v>
      </c>
      <c r="CO36" s="33">
        <f t="shared" ca="1" si="39"/>
        <v>1.2190453395121537E-2</v>
      </c>
      <c r="CP36" s="33">
        <f t="shared" ca="1" si="39"/>
        <v>1.2956249684018718E-2</v>
      </c>
      <c r="CQ36" s="33">
        <f t="shared" ca="1" si="39"/>
        <v>1.2279457936644948E-2</v>
      </c>
      <c r="CR36" s="33">
        <f t="shared" ca="1" si="39"/>
        <v>1.0596580055901327E-2</v>
      </c>
      <c r="CS36" s="33">
        <f t="shared" ca="1" si="39"/>
        <v>1.329586559540176E-2</v>
      </c>
      <c r="CT36" s="33">
        <f t="shared" ca="1" si="39"/>
        <v>1.0195089315898052E-2</v>
      </c>
      <c r="CU36" s="33">
        <f t="shared" ca="1" si="40"/>
        <v>1.1535490245755464E-2</v>
      </c>
      <c r="CV36" s="33">
        <f t="shared" ca="1" si="40"/>
        <v>8.9121625727865972E-3</v>
      </c>
      <c r="CW36" s="33">
        <f t="shared" ca="1" si="40"/>
        <v>1.1532506428555326E-2</v>
      </c>
      <c r="CX36" s="33">
        <f t="shared" ca="1" si="40"/>
        <v>1.0376220494108529E-2</v>
      </c>
      <c r="CY36" s="33">
        <f t="shared" ca="1" si="40"/>
        <v>1.1655169560639011E-2</v>
      </c>
      <c r="CZ36" s="33">
        <f t="shared" ca="1" si="40"/>
        <v>1.1287061837663755E-2</v>
      </c>
      <c r="DA36" s="33">
        <f t="shared" ca="1" si="40"/>
        <v>1.284885076410691E-2</v>
      </c>
      <c r="DB36" s="33">
        <f t="shared" ca="1" si="40"/>
        <v>1.2599699615383193E-2</v>
      </c>
      <c r="DC36" s="33">
        <f t="shared" ca="1" si="40"/>
        <v>1.0399791725866216E-2</v>
      </c>
      <c r="DD36" s="33">
        <f t="shared" ca="1" si="40"/>
        <v>1.2533318825800086E-2</v>
      </c>
      <c r="DE36" s="33">
        <f t="shared" ca="1" si="41"/>
        <v>1.0903033769850379E-2</v>
      </c>
      <c r="DF36" s="33">
        <f t="shared" ca="1" si="41"/>
        <v>1.0221293176647016E-2</v>
      </c>
      <c r="DG36" s="33">
        <f t="shared" ca="1" si="41"/>
        <v>1.2620876840009307E-2</v>
      </c>
      <c r="DH36" s="33">
        <f t="shared" ca="1" si="41"/>
        <v>9.3836568164355049E-3</v>
      </c>
      <c r="DI36" s="33">
        <f t="shared" ca="1" si="41"/>
        <v>1.2241039416294629E-2</v>
      </c>
      <c r="DJ36" s="33">
        <f t="shared" ca="1" si="41"/>
        <v>1.2409573725626415E-2</v>
      </c>
      <c r="DK36" s="33">
        <f t="shared" ca="1" si="41"/>
        <v>1.2374677319972542E-2</v>
      </c>
      <c r="DL36" s="33">
        <f t="shared" ca="1" si="41"/>
        <v>1.0294720184962993E-2</v>
      </c>
      <c r="DM36" s="33">
        <f t="shared" ca="1" si="41"/>
        <v>1.0180915632722273E-2</v>
      </c>
      <c r="DN36" s="33">
        <f t="shared" ca="1" si="41"/>
        <v>1.0257472155252035E-2</v>
      </c>
      <c r="DO36" s="12"/>
      <c r="DP36" s="12"/>
      <c r="DQ36" s="12"/>
    </row>
    <row r="37" spans="1:121" x14ac:dyDescent="0.2">
      <c r="I37" s="32">
        <v>45536</v>
      </c>
      <c r="J37" s="33">
        <f t="shared" ref="J37:J68" ca="1" si="42">_xlfn.NORM.INV(RAND(),$A$52,$B$45)</f>
        <v>1.2009539806014383E-2</v>
      </c>
      <c r="K37" s="9">
        <v>2320.4999999999995</v>
      </c>
      <c r="L37" s="9">
        <f t="shared" ca="1" si="11"/>
        <v>76533.075538219622</v>
      </c>
      <c r="N37" s="6">
        <v>33</v>
      </c>
      <c r="O37" s="5">
        <v>4.0010634155237819</v>
      </c>
      <c r="P37" s="9">
        <v>693592.5281369423</v>
      </c>
      <c r="R37" s="32">
        <v>45536</v>
      </c>
      <c r="S37" s="33">
        <f t="shared" ca="1" si="32"/>
        <v>1.1751659787343159E-2</v>
      </c>
      <c r="T37" s="33">
        <f t="shared" ca="1" si="32"/>
        <v>1.0122701811926284E-2</v>
      </c>
      <c r="U37" s="33">
        <f t="shared" ca="1" si="32"/>
        <v>1.1431369191891931E-2</v>
      </c>
      <c r="V37" s="33">
        <f t="shared" ca="1" si="32"/>
        <v>1.0072715673356648E-2</v>
      </c>
      <c r="W37" s="33">
        <f t="shared" ca="1" si="32"/>
        <v>1.1298057665138726E-2</v>
      </c>
      <c r="X37" s="33">
        <f t="shared" ca="1" si="32"/>
        <v>1.2852054611983743E-2</v>
      </c>
      <c r="Y37" s="33">
        <f t="shared" ca="1" si="32"/>
        <v>1.2629432163339661E-2</v>
      </c>
      <c r="Z37" s="33">
        <f t="shared" ca="1" si="32"/>
        <v>8.1501304750269329E-3</v>
      </c>
      <c r="AA37" s="33">
        <f t="shared" ca="1" si="32"/>
        <v>8.6320421915152823E-3</v>
      </c>
      <c r="AB37" s="33">
        <f t="shared" ca="1" si="32"/>
        <v>1.1797465509624197E-2</v>
      </c>
      <c r="AC37" s="33">
        <f t="shared" ca="1" si="33"/>
        <v>1.127422469474362E-2</v>
      </c>
      <c r="AD37" s="33">
        <f t="shared" ca="1" si="33"/>
        <v>1.0067353554683592E-2</v>
      </c>
      <c r="AE37" s="33">
        <f t="shared" ca="1" si="33"/>
        <v>1.0742367004496505E-2</v>
      </c>
      <c r="AF37" s="33">
        <f t="shared" ca="1" si="33"/>
        <v>9.031787358273223E-3</v>
      </c>
      <c r="AG37" s="33">
        <f t="shared" ca="1" si="33"/>
        <v>7.996125553133511E-3</v>
      </c>
      <c r="AH37" s="33">
        <f t="shared" ca="1" si="33"/>
        <v>1.2099658495209475E-2</v>
      </c>
      <c r="AI37" s="33">
        <f t="shared" ca="1" si="33"/>
        <v>1.0133687644400983E-2</v>
      </c>
      <c r="AJ37" s="33">
        <f t="shared" ca="1" si="33"/>
        <v>1.3787230742373806E-2</v>
      </c>
      <c r="AK37" s="33">
        <f t="shared" ca="1" si="33"/>
        <v>1.1800722872172053E-2</v>
      </c>
      <c r="AL37" s="33">
        <f t="shared" ca="1" si="33"/>
        <v>1.1839185605115866E-2</v>
      </c>
      <c r="AM37" s="33">
        <f t="shared" ca="1" si="34"/>
        <v>1.209665007294646E-2</v>
      </c>
      <c r="AN37" s="33">
        <f t="shared" ca="1" si="34"/>
        <v>1.1715734485419703E-2</v>
      </c>
      <c r="AO37" s="33">
        <f t="shared" ca="1" si="34"/>
        <v>1.2361611819427354E-2</v>
      </c>
      <c r="AP37" s="33">
        <f t="shared" ca="1" si="34"/>
        <v>1.1636677827119368E-2</v>
      </c>
      <c r="AQ37" s="33">
        <f t="shared" ca="1" si="34"/>
        <v>1.0553790079965776E-2</v>
      </c>
      <c r="AR37" s="33">
        <f t="shared" ca="1" si="34"/>
        <v>1.040874703433794E-2</v>
      </c>
      <c r="AS37" s="33">
        <f t="shared" ca="1" si="34"/>
        <v>1.3747157117098171E-2</v>
      </c>
      <c r="AT37" s="33">
        <f t="shared" ca="1" si="34"/>
        <v>1.0802782856679728E-2</v>
      </c>
      <c r="AU37" s="33">
        <f t="shared" ca="1" si="34"/>
        <v>1.1778070508479845E-2</v>
      </c>
      <c r="AV37" s="33">
        <f t="shared" ca="1" si="34"/>
        <v>8.2607977721996934E-3</v>
      </c>
      <c r="AW37" s="33">
        <f t="shared" ca="1" si="35"/>
        <v>1.1654300463476413E-2</v>
      </c>
      <c r="AX37" s="33">
        <f t="shared" ca="1" si="35"/>
        <v>1.1230049140912548E-2</v>
      </c>
      <c r="AY37" s="33">
        <f t="shared" ca="1" si="35"/>
        <v>1.0364653459799358E-2</v>
      </c>
      <c r="AZ37" s="33">
        <f t="shared" ca="1" si="35"/>
        <v>1.1035268543259596E-2</v>
      </c>
      <c r="BA37" s="33">
        <f t="shared" ca="1" si="35"/>
        <v>1.0281594303856632E-2</v>
      </c>
      <c r="BB37" s="33">
        <f t="shared" ca="1" si="35"/>
        <v>1.1528495297378103E-2</v>
      </c>
      <c r="BC37" s="33">
        <f t="shared" ca="1" si="35"/>
        <v>1.0506240877209779E-2</v>
      </c>
      <c r="BD37" s="33">
        <f t="shared" ca="1" si="35"/>
        <v>9.2523929587326019E-3</v>
      </c>
      <c r="BE37" s="33">
        <f t="shared" ca="1" si="35"/>
        <v>1.375215815366557E-2</v>
      </c>
      <c r="BF37" s="33">
        <f t="shared" ca="1" si="35"/>
        <v>1.1282533375951026E-2</v>
      </c>
      <c r="BG37" s="33">
        <f t="shared" ca="1" si="36"/>
        <v>1.1609037453363133E-2</v>
      </c>
      <c r="BH37" s="33">
        <f t="shared" ca="1" si="36"/>
        <v>1.1889567272817246E-2</v>
      </c>
      <c r="BI37" s="33">
        <f t="shared" ca="1" si="36"/>
        <v>9.7993796146702197E-3</v>
      </c>
      <c r="BJ37" s="33">
        <f t="shared" ca="1" si="36"/>
        <v>1.1261795674251266E-2</v>
      </c>
      <c r="BK37" s="33">
        <f t="shared" ca="1" si="36"/>
        <v>7.4321261157311129E-3</v>
      </c>
      <c r="BL37" s="33">
        <f t="shared" ca="1" si="36"/>
        <v>1.0049502562405411E-2</v>
      </c>
      <c r="BM37" s="33">
        <f t="shared" ca="1" si="36"/>
        <v>9.0978982242191885E-3</v>
      </c>
      <c r="BN37" s="33">
        <f t="shared" ca="1" si="36"/>
        <v>1.2153257055584732E-2</v>
      </c>
      <c r="BO37" s="33">
        <f t="shared" ca="1" si="36"/>
        <v>1.1759530857300532E-2</v>
      </c>
      <c r="BP37" s="33">
        <f t="shared" ca="1" si="36"/>
        <v>7.9345610025367483E-3</v>
      </c>
      <c r="BQ37" s="33">
        <f t="shared" ca="1" si="37"/>
        <v>1.214989499911002E-2</v>
      </c>
      <c r="BR37" s="33">
        <f t="shared" ca="1" si="37"/>
        <v>1.1514879466376157E-2</v>
      </c>
      <c r="BS37" s="33">
        <f t="shared" ca="1" si="37"/>
        <v>1.1498829511311461E-2</v>
      </c>
      <c r="BT37" s="33">
        <f t="shared" ca="1" si="37"/>
        <v>1.1367672965288265E-2</v>
      </c>
      <c r="BU37" s="33">
        <f t="shared" ca="1" si="37"/>
        <v>9.9796459653850641E-3</v>
      </c>
      <c r="BV37" s="33">
        <f t="shared" ca="1" si="37"/>
        <v>9.8645264365151888E-3</v>
      </c>
      <c r="BW37" s="33">
        <f t="shared" ca="1" si="37"/>
        <v>1.1445285874901089E-2</v>
      </c>
      <c r="BX37" s="33">
        <f t="shared" ca="1" si="37"/>
        <v>8.889174586702308E-3</v>
      </c>
      <c r="BY37" s="33">
        <f t="shared" ca="1" si="37"/>
        <v>1.0619982387490496E-2</v>
      </c>
      <c r="BZ37" s="33">
        <f t="shared" ca="1" si="37"/>
        <v>1.1395422146418397E-2</v>
      </c>
      <c r="CA37" s="33">
        <f t="shared" ca="1" si="38"/>
        <v>1.0359994234518916E-2</v>
      </c>
      <c r="CB37" s="33">
        <f t="shared" ca="1" si="38"/>
        <v>1.1439478558476915E-2</v>
      </c>
      <c r="CC37" s="33">
        <f t="shared" ca="1" si="38"/>
        <v>1.2903928156981482E-2</v>
      </c>
      <c r="CD37" s="33">
        <f t="shared" ca="1" si="38"/>
        <v>1.1240599427438389E-2</v>
      </c>
      <c r="CE37" s="33">
        <f t="shared" ca="1" si="38"/>
        <v>1.1615651549797728E-2</v>
      </c>
      <c r="CF37" s="33">
        <f t="shared" ca="1" si="38"/>
        <v>8.4561857762014553E-3</v>
      </c>
      <c r="CG37" s="33">
        <f t="shared" ca="1" si="38"/>
        <v>8.0102974287767914E-3</v>
      </c>
      <c r="CH37" s="33">
        <f t="shared" ca="1" si="38"/>
        <v>1.1293705472761267E-2</v>
      </c>
      <c r="CI37" s="33">
        <f t="shared" ca="1" si="38"/>
        <v>1.3395963926540175E-2</v>
      </c>
      <c r="CJ37" s="33">
        <f t="shared" ca="1" si="38"/>
        <v>1.25526025039662E-2</v>
      </c>
      <c r="CK37" s="33">
        <f t="shared" ca="1" si="39"/>
        <v>1.4312497026350804E-2</v>
      </c>
      <c r="CL37" s="33">
        <f t="shared" ca="1" si="39"/>
        <v>1.0311250701852868E-2</v>
      </c>
      <c r="CM37" s="33">
        <f t="shared" ca="1" si="39"/>
        <v>9.5535777521163871E-3</v>
      </c>
      <c r="CN37" s="33">
        <f t="shared" ca="1" si="39"/>
        <v>1.1075932782012802E-2</v>
      </c>
      <c r="CO37" s="33">
        <f t="shared" ca="1" si="39"/>
        <v>1.2723977956563463E-2</v>
      </c>
      <c r="CP37" s="33">
        <f t="shared" ca="1" si="39"/>
        <v>1.2108396785940471E-2</v>
      </c>
      <c r="CQ37" s="33">
        <f t="shared" ca="1" si="39"/>
        <v>9.7763421841229551E-3</v>
      </c>
      <c r="CR37" s="33">
        <f t="shared" ca="1" si="39"/>
        <v>1.0902144286437754E-2</v>
      </c>
      <c r="CS37" s="33">
        <f t="shared" ca="1" si="39"/>
        <v>1.1413008964245306E-2</v>
      </c>
      <c r="CT37" s="33">
        <f t="shared" ca="1" si="39"/>
        <v>1.1515150051431349E-2</v>
      </c>
      <c r="CU37" s="33">
        <f t="shared" ca="1" si="40"/>
        <v>1.1080546373332553E-2</v>
      </c>
      <c r="CV37" s="33">
        <f t="shared" ca="1" si="40"/>
        <v>9.4430039005675981E-3</v>
      </c>
      <c r="CW37" s="33">
        <f t="shared" ca="1" si="40"/>
        <v>1.3470635820522691E-2</v>
      </c>
      <c r="CX37" s="33">
        <f t="shared" ca="1" si="40"/>
        <v>1.0272051983593974E-2</v>
      </c>
      <c r="CY37" s="33">
        <f t="shared" ca="1" si="40"/>
        <v>1.2649559456480049E-2</v>
      </c>
      <c r="CZ37" s="33">
        <f t="shared" ca="1" si="40"/>
        <v>9.0857315827732651E-3</v>
      </c>
      <c r="DA37" s="33">
        <f t="shared" ca="1" si="40"/>
        <v>1.0227898284558612E-2</v>
      </c>
      <c r="DB37" s="33">
        <f t="shared" ca="1" si="40"/>
        <v>8.4727994134097609E-3</v>
      </c>
      <c r="DC37" s="33">
        <f t="shared" ca="1" si="40"/>
        <v>1.3499119243471814E-2</v>
      </c>
      <c r="DD37" s="33">
        <f t="shared" ca="1" si="40"/>
        <v>9.8600722838695157E-3</v>
      </c>
      <c r="DE37" s="33">
        <f t="shared" ca="1" si="41"/>
        <v>1.3722372179829356E-2</v>
      </c>
      <c r="DF37" s="33">
        <f t="shared" ca="1" si="41"/>
        <v>1.2021976159072356E-2</v>
      </c>
      <c r="DG37" s="33">
        <f t="shared" ca="1" si="41"/>
        <v>1.0519584829707945E-2</v>
      </c>
      <c r="DH37" s="33">
        <f t="shared" ca="1" si="41"/>
        <v>1.1987462745486066E-2</v>
      </c>
      <c r="DI37" s="33">
        <f t="shared" ca="1" si="41"/>
        <v>1.1012924098832378E-2</v>
      </c>
      <c r="DJ37" s="33">
        <f t="shared" ca="1" si="41"/>
        <v>1.0952765518690694E-2</v>
      </c>
      <c r="DK37" s="33">
        <f t="shared" ca="1" si="41"/>
        <v>1.0764447253766456E-2</v>
      </c>
      <c r="DL37" s="33">
        <f t="shared" ca="1" si="41"/>
        <v>1.1657568151881197E-2</v>
      </c>
      <c r="DM37" s="33">
        <f t="shared" ca="1" si="41"/>
        <v>1.1388755079288146E-2</v>
      </c>
      <c r="DN37" s="33">
        <f t="shared" ca="1" si="41"/>
        <v>1.1183854036920177E-2</v>
      </c>
      <c r="DO37" s="12"/>
      <c r="DP37" s="12"/>
      <c r="DQ37" s="12"/>
    </row>
    <row r="38" spans="1:121" x14ac:dyDescent="0.2">
      <c r="A38" t="s">
        <v>28</v>
      </c>
      <c r="I38" s="32">
        <v>45566</v>
      </c>
      <c r="J38" s="33">
        <f t="shared" ca="1" si="42"/>
        <v>1.3605354875704067E-2</v>
      </c>
      <c r="K38" s="9">
        <v>2320.4999999999995</v>
      </c>
      <c r="L38" s="9">
        <f t="shared" ca="1" si="11"/>
        <v>79901.950777598977</v>
      </c>
      <c r="N38" s="6">
        <v>34</v>
      </c>
      <c r="O38" s="5">
        <v>3.9674659763407822</v>
      </c>
      <c r="P38" s="9">
        <v>687125.94480744132</v>
      </c>
      <c r="R38" s="32">
        <v>45566</v>
      </c>
      <c r="S38" s="33">
        <f t="shared" ca="1" si="32"/>
        <v>1.1202499046308909E-2</v>
      </c>
      <c r="T38" s="33">
        <f t="shared" ca="1" si="32"/>
        <v>1.4706314984872531E-2</v>
      </c>
      <c r="U38" s="33">
        <f t="shared" ca="1" si="32"/>
        <v>1.1153011318551098E-2</v>
      </c>
      <c r="V38" s="33">
        <f t="shared" ca="1" si="32"/>
        <v>8.8901981039199544E-3</v>
      </c>
      <c r="W38" s="33">
        <f t="shared" ca="1" si="32"/>
        <v>8.8803793015688262E-3</v>
      </c>
      <c r="X38" s="33">
        <f t="shared" ca="1" si="32"/>
        <v>1.076758621741195E-2</v>
      </c>
      <c r="Y38" s="33">
        <f t="shared" ca="1" si="32"/>
        <v>1.3046452692261621E-2</v>
      </c>
      <c r="Z38" s="33">
        <f t="shared" ca="1" si="32"/>
        <v>1.100042460521858E-2</v>
      </c>
      <c r="AA38" s="33">
        <f t="shared" ca="1" si="32"/>
        <v>1.2038058455832619E-2</v>
      </c>
      <c r="AB38" s="33">
        <f t="shared" ca="1" si="32"/>
        <v>1.216677468263014E-2</v>
      </c>
      <c r="AC38" s="33">
        <f t="shared" ca="1" si="33"/>
        <v>1.0668114728027802E-2</v>
      </c>
      <c r="AD38" s="33">
        <f t="shared" ca="1" si="33"/>
        <v>1.0286405489808095E-2</v>
      </c>
      <c r="AE38" s="33">
        <f t="shared" ca="1" si="33"/>
        <v>1.1415431374716603E-2</v>
      </c>
      <c r="AF38" s="33">
        <f t="shared" ca="1" si="33"/>
        <v>1.2790637372578665E-2</v>
      </c>
      <c r="AG38" s="33">
        <f t="shared" ca="1" si="33"/>
        <v>1.0787862190217734E-2</v>
      </c>
      <c r="AH38" s="33">
        <f t="shared" ca="1" si="33"/>
        <v>1.0469766614782938E-2</v>
      </c>
      <c r="AI38" s="33">
        <f t="shared" ca="1" si="33"/>
        <v>1.0654751592956879E-2</v>
      </c>
      <c r="AJ38" s="33">
        <f t="shared" ca="1" si="33"/>
        <v>1.1711114837277433E-2</v>
      </c>
      <c r="AK38" s="33">
        <f t="shared" ca="1" si="33"/>
        <v>1.3390618627431836E-2</v>
      </c>
      <c r="AL38" s="33">
        <f t="shared" ca="1" si="33"/>
        <v>1.0855368117717394E-2</v>
      </c>
      <c r="AM38" s="33">
        <f t="shared" ca="1" si="34"/>
        <v>1.213966872223541E-2</v>
      </c>
      <c r="AN38" s="33">
        <f t="shared" ca="1" si="34"/>
        <v>1.1457928512927191E-2</v>
      </c>
      <c r="AO38" s="33">
        <f t="shared" ca="1" si="34"/>
        <v>1.1335750966503974E-2</v>
      </c>
      <c r="AP38" s="33">
        <f t="shared" ca="1" si="34"/>
        <v>1.403622576112489E-2</v>
      </c>
      <c r="AQ38" s="33">
        <f t="shared" ca="1" si="34"/>
        <v>1.3407042095976979E-2</v>
      </c>
      <c r="AR38" s="33">
        <f t="shared" ca="1" si="34"/>
        <v>1.2950991223680826E-2</v>
      </c>
      <c r="AS38" s="33">
        <f t="shared" ca="1" si="34"/>
        <v>1.315855171224325E-2</v>
      </c>
      <c r="AT38" s="33">
        <f t="shared" ca="1" si="34"/>
        <v>1.2806432422410027E-2</v>
      </c>
      <c r="AU38" s="33">
        <f t="shared" ca="1" si="34"/>
        <v>9.3018674795090246E-3</v>
      </c>
      <c r="AV38" s="33">
        <f t="shared" ca="1" si="34"/>
        <v>1.281074548769684E-2</v>
      </c>
      <c r="AW38" s="33">
        <f t="shared" ca="1" si="35"/>
        <v>1.283886896937071E-2</v>
      </c>
      <c r="AX38" s="33">
        <f t="shared" ca="1" si="35"/>
        <v>1.0155958505447324E-2</v>
      </c>
      <c r="AY38" s="33">
        <f t="shared" ca="1" si="35"/>
        <v>1.128290323671435E-2</v>
      </c>
      <c r="AZ38" s="33">
        <f t="shared" ca="1" si="35"/>
        <v>1.0705238080839546E-2</v>
      </c>
      <c r="BA38" s="33">
        <f t="shared" ca="1" si="35"/>
        <v>1.3196935986986697E-2</v>
      </c>
      <c r="BB38" s="33">
        <f t="shared" ca="1" si="35"/>
        <v>9.6715488988018423E-3</v>
      </c>
      <c r="BC38" s="33">
        <f t="shared" ca="1" si="35"/>
        <v>1.3949237337001418E-2</v>
      </c>
      <c r="BD38" s="33">
        <f t="shared" ca="1" si="35"/>
        <v>1.0001288247650434E-2</v>
      </c>
      <c r="BE38" s="33">
        <f t="shared" ca="1" si="35"/>
        <v>8.9886295309753641E-3</v>
      </c>
      <c r="BF38" s="33">
        <f t="shared" ca="1" si="35"/>
        <v>1.3784392680829698E-2</v>
      </c>
      <c r="BG38" s="33">
        <f t="shared" ca="1" si="36"/>
        <v>9.7953273603155356E-3</v>
      </c>
      <c r="BH38" s="33">
        <f t="shared" ca="1" si="36"/>
        <v>1.0500122039179334E-2</v>
      </c>
      <c r="BI38" s="33">
        <f t="shared" ca="1" si="36"/>
        <v>1.0053750592783987E-2</v>
      </c>
      <c r="BJ38" s="33">
        <f t="shared" ca="1" si="36"/>
        <v>1.139320783648025E-2</v>
      </c>
      <c r="BK38" s="33">
        <f t="shared" ca="1" si="36"/>
        <v>1.2075384504674071E-2</v>
      </c>
      <c r="BL38" s="33">
        <f t="shared" ca="1" si="36"/>
        <v>1.208784523880055E-2</v>
      </c>
      <c r="BM38" s="33">
        <f t="shared" ca="1" si="36"/>
        <v>9.996366184454035E-3</v>
      </c>
      <c r="BN38" s="33">
        <f t="shared" ca="1" si="36"/>
        <v>1.3353878680359824E-2</v>
      </c>
      <c r="BO38" s="33">
        <f t="shared" ca="1" si="36"/>
        <v>7.8615561855412096E-3</v>
      </c>
      <c r="BP38" s="33">
        <f t="shared" ca="1" si="36"/>
        <v>1.1684993358578984E-2</v>
      </c>
      <c r="BQ38" s="33">
        <f t="shared" ca="1" si="37"/>
        <v>1.0476637643788202E-2</v>
      </c>
      <c r="BR38" s="33">
        <f t="shared" ca="1" si="37"/>
        <v>1.0394303815767336E-2</v>
      </c>
      <c r="BS38" s="33">
        <f t="shared" ca="1" si="37"/>
        <v>1.1543894385440722E-2</v>
      </c>
      <c r="BT38" s="33">
        <f t="shared" ca="1" si="37"/>
        <v>9.8466669634283948E-3</v>
      </c>
      <c r="BU38" s="33">
        <f t="shared" ca="1" si="37"/>
        <v>1.1040298405496377E-2</v>
      </c>
      <c r="BV38" s="33">
        <f t="shared" ca="1" si="37"/>
        <v>1.0840227032087105E-2</v>
      </c>
      <c r="BW38" s="33">
        <f t="shared" ca="1" si="37"/>
        <v>1.1056796487670047E-2</v>
      </c>
      <c r="BX38" s="33">
        <f t="shared" ca="1" si="37"/>
        <v>1.0201991685824297E-2</v>
      </c>
      <c r="BY38" s="33">
        <f t="shared" ca="1" si="37"/>
        <v>1.1589114572886359E-2</v>
      </c>
      <c r="BZ38" s="33">
        <f t="shared" ca="1" si="37"/>
        <v>1.3403551172684318E-2</v>
      </c>
      <c r="CA38" s="33">
        <f t="shared" ca="1" si="38"/>
        <v>1.2613311362879253E-2</v>
      </c>
      <c r="CB38" s="33">
        <f t="shared" ca="1" si="38"/>
        <v>1.0297216546446671E-2</v>
      </c>
      <c r="CC38" s="33">
        <f t="shared" ca="1" si="38"/>
        <v>1.0793144138849712E-2</v>
      </c>
      <c r="CD38" s="33">
        <f t="shared" ca="1" si="38"/>
        <v>9.2395752555081041E-3</v>
      </c>
      <c r="CE38" s="33">
        <f t="shared" ca="1" si="38"/>
        <v>9.6717855860915282E-3</v>
      </c>
      <c r="CF38" s="33">
        <f t="shared" ca="1" si="38"/>
        <v>1.047888317711812E-2</v>
      </c>
      <c r="CG38" s="33">
        <f t="shared" ca="1" si="38"/>
        <v>1.0840072088663794E-2</v>
      </c>
      <c r="CH38" s="33">
        <f t="shared" ca="1" si="38"/>
        <v>8.8335799474791466E-3</v>
      </c>
      <c r="CI38" s="33">
        <f t="shared" ca="1" si="38"/>
        <v>1.130487726267853E-2</v>
      </c>
      <c r="CJ38" s="33">
        <f t="shared" ca="1" si="38"/>
        <v>1.4642918260274466E-2</v>
      </c>
      <c r="CK38" s="33">
        <f t="shared" ca="1" si="39"/>
        <v>1.0760947568777214E-2</v>
      </c>
      <c r="CL38" s="33">
        <f t="shared" ca="1" si="39"/>
        <v>9.4567131280487611E-3</v>
      </c>
      <c r="CM38" s="33">
        <f t="shared" ca="1" si="39"/>
        <v>1.3156791481798585E-2</v>
      </c>
      <c r="CN38" s="33">
        <f t="shared" ca="1" si="39"/>
        <v>1.5299126185802014E-2</v>
      </c>
      <c r="CO38" s="33">
        <f t="shared" ca="1" si="39"/>
        <v>1.1244634313527539E-2</v>
      </c>
      <c r="CP38" s="33">
        <f t="shared" ca="1" si="39"/>
        <v>1.1045949012555609E-2</v>
      </c>
      <c r="CQ38" s="33">
        <f t="shared" ca="1" si="39"/>
        <v>1.1552345096056727E-2</v>
      </c>
      <c r="CR38" s="33">
        <f t="shared" ca="1" si="39"/>
        <v>1.0580737025738017E-2</v>
      </c>
      <c r="CS38" s="33">
        <f t="shared" ca="1" si="39"/>
        <v>1.1456354121512382E-2</v>
      </c>
      <c r="CT38" s="33">
        <f t="shared" ca="1" si="39"/>
        <v>8.8603399753841607E-3</v>
      </c>
      <c r="CU38" s="33">
        <f t="shared" ca="1" si="40"/>
        <v>1.0432287121561115E-2</v>
      </c>
      <c r="CV38" s="33">
        <f t="shared" ca="1" si="40"/>
        <v>9.8014838695560484E-3</v>
      </c>
      <c r="CW38" s="33">
        <f t="shared" ca="1" si="40"/>
        <v>1.154988438769197E-2</v>
      </c>
      <c r="CX38" s="33">
        <f t="shared" ca="1" si="40"/>
        <v>1.2151648400169773E-2</v>
      </c>
      <c r="CY38" s="33">
        <f t="shared" ca="1" si="40"/>
        <v>1.2913888930914229E-2</v>
      </c>
      <c r="CZ38" s="33">
        <f t="shared" ca="1" si="40"/>
        <v>1.2201407395785966E-2</v>
      </c>
      <c r="DA38" s="33">
        <f t="shared" ca="1" si="40"/>
        <v>1.1992376765179402E-2</v>
      </c>
      <c r="DB38" s="33">
        <f t="shared" ca="1" si="40"/>
        <v>1.0867300739896765E-2</v>
      </c>
      <c r="DC38" s="33">
        <f t="shared" ca="1" si="40"/>
        <v>7.9756992490160467E-3</v>
      </c>
      <c r="DD38" s="33">
        <f t="shared" ca="1" si="40"/>
        <v>9.7011814494990557E-3</v>
      </c>
      <c r="DE38" s="33">
        <f t="shared" ca="1" si="41"/>
        <v>1.0398959828112673E-2</v>
      </c>
      <c r="DF38" s="33">
        <f t="shared" ca="1" si="41"/>
        <v>1.0316441874512645E-2</v>
      </c>
      <c r="DG38" s="33">
        <f t="shared" ca="1" si="41"/>
        <v>1.2091892453703273E-2</v>
      </c>
      <c r="DH38" s="33">
        <f t="shared" ca="1" si="41"/>
        <v>9.5561388316342012E-3</v>
      </c>
      <c r="DI38" s="33">
        <f t="shared" ca="1" si="41"/>
        <v>1.3341068745563636E-2</v>
      </c>
      <c r="DJ38" s="33">
        <f t="shared" ca="1" si="41"/>
        <v>1.0202626565931627E-2</v>
      </c>
      <c r="DK38" s="33">
        <f t="shared" ca="1" si="41"/>
        <v>1.2144250282908553E-2</v>
      </c>
      <c r="DL38" s="33">
        <f t="shared" ca="1" si="41"/>
        <v>9.5340621565173627E-3</v>
      </c>
      <c r="DM38" s="33">
        <f t="shared" ca="1" si="41"/>
        <v>1.1199587316282117E-2</v>
      </c>
      <c r="DN38" s="33">
        <f t="shared" ca="1" si="41"/>
        <v>8.4791497288137577E-3</v>
      </c>
      <c r="DO38" s="12"/>
      <c r="DP38" s="12"/>
      <c r="DQ38" s="12"/>
    </row>
    <row r="39" spans="1:121" x14ac:dyDescent="0.2">
      <c r="B39" t="s">
        <v>25</v>
      </c>
      <c r="C39" t="s">
        <v>26</v>
      </c>
      <c r="D39" t="s">
        <v>27</v>
      </c>
      <c r="I39" s="32">
        <v>45597</v>
      </c>
      <c r="J39" s="33">
        <f t="shared" ca="1" si="42"/>
        <v>1.2260802281153328E-2</v>
      </c>
      <c r="K39" s="9">
        <v>2320.4999999999995</v>
      </c>
      <c r="L39" s="9">
        <f t="shared" ca="1" si="11"/>
        <v>83208.143139535343</v>
      </c>
      <c r="N39" s="6">
        <v>35</v>
      </c>
      <c r="O39" s="5">
        <v>3.9149028291934385</v>
      </c>
      <c r="P39" s="9">
        <v>686896.83953430003</v>
      </c>
      <c r="R39" s="32">
        <v>45597</v>
      </c>
      <c r="S39" s="33">
        <f t="shared" ca="1" si="32"/>
        <v>1.0019976261189209E-2</v>
      </c>
      <c r="T39" s="33">
        <f t="shared" ca="1" si="32"/>
        <v>9.908570017129156E-3</v>
      </c>
      <c r="U39" s="33">
        <f t="shared" ca="1" si="32"/>
        <v>1.0071581515168957E-2</v>
      </c>
      <c r="V39" s="33">
        <f t="shared" ca="1" si="32"/>
        <v>1.2997084105018852E-2</v>
      </c>
      <c r="W39" s="33">
        <f t="shared" ca="1" si="32"/>
        <v>1.2337948988779669E-2</v>
      </c>
      <c r="X39" s="33">
        <f t="shared" ca="1" si="32"/>
        <v>1.2249124703371719E-2</v>
      </c>
      <c r="Y39" s="33">
        <f t="shared" ca="1" si="32"/>
        <v>1.1209810654157123E-2</v>
      </c>
      <c r="Z39" s="33">
        <f t="shared" ca="1" si="32"/>
        <v>1.1669684355165228E-2</v>
      </c>
      <c r="AA39" s="33">
        <f t="shared" ca="1" si="32"/>
        <v>1.0117148253724024E-2</v>
      </c>
      <c r="AB39" s="33">
        <f t="shared" ca="1" si="32"/>
        <v>1.0951428437661915E-2</v>
      </c>
      <c r="AC39" s="33">
        <f t="shared" ca="1" si="33"/>
        <v>1.4340536466216535E-2</v>
      </c>
      <c r="AD39" s="33">
        <f t="shared" ca="1" si="33"/>
        <v>1.1660179696356963E-2</v>
      </c>
      <c r="AE39" s="33">
        <f t="shared" ca="1" si="33"/>
        <v>1.4902716001241958E-2</v>
      </c>
      <c r="AF39" s="33">
        <f t="shared" ca="1" si="33"/>
        <v>1.0474964586778667E-2</v>
      </c>
      <c r="AG39" s="33">
        <f t="shared" ca="1" si="33"/>
        <v>1.1413594248753975E-2</v>
      </c>
      <c r="AH39" s="33">
        <f t="shared" ca="1" si="33"/>
        <v>8.3215883993998756E-3</v>
      </c>
      <c r="AI39" s="33">
        <f t="shared" ca="1" si="33"/>
        <v>1.4154904627383981E-2</v>
      </c>
      <c r="AJ39" s="33">
        <f t="shared" ca="1" si="33"/>
        <v>1.1258078179461553E-2</v>
      </c>
      <c r="AK39" s="33">
        <f t="shared" ca="1" si="33"/>
        <v>9.3444725315169758E-3</v>
      </c>
      <c r="AL39" s="33">
        <f t="shared" ca="1" si="33"/>
        <v>1.08829474191376E-2</v>
      </c>
      <c r="AM39" s="33">
        <f t="shared" ca="1" si="34"/>
        <v>9.8791976435636218E-3</v>
      </c>
      <c r="AN39" s="33">
        <f t="shared" ca="1" si="34"/>
        <v>1.2048135682061929E-2</v>
      </c>
      <c r="AO39" s="33">
        <f t="shared" ca="1" si="34"/>
        <v>1.0775684854551413E-2</v>
      </c>
      <c r="AP39" s="33">
        <f t="shared" ca="1" si="34"/>
        <v>9.8014081446650084E-3</v>
      </c>
      <c r="AQ39" s="33">
        <f t="shared" ca="1" si="34"/>
        <v>1.2249674268750567E-2</v>
      </c>
      <c r="AR39" s="33">
        <f t="shared" ca="1" si="34"/>
        <v>1.1817077875574494E-2</v>
      </c>
      <c r="AS39" s="33">
        <f t="shared" ca="1" si="34"/>
        <v>1.3277351072841776E-2</v>
      </c>
      <c r="AT39" s="33">
        <f t="shared" ca="1" si="34"/>
        <v>1.0979389057558617E-2</v>
      </c>
      <c r="AU39" s="33">
        <f t="shared" ca="1" si="34"/>
        <v>9.1416183548001743E-3</v>
      </c>
      <c r="AV39" s="33">
        <f t="shared" ca="1" si="34"/>
        <v>9.6971099019456074E-3</v>
      </c>
      <c r="AW39" s="33">
        <f t="shared" ca="1" si="35"/>
        <v>1.043817582263191E-2</v>
      </c>
      <c r="AX39" s="33">
        <f t="shared" ca="1" si="35"/>
        <v>7.7691374305589945E-3</v>
      </c>
      <c r="AY39" s="33">
        <f t="shared" ca="1" si="35"/>
        <v>9.7124658688036627E-3</v>
      </c>
      <c r="AZ39" s="33">
        <f t="shared" ca="1" si="35"/>
        <v>1.1328453117195682E-2</v>
      </c>
      <c r="BA39" s="33">
        <f t="shared" ca="1" si="35"/>
        <v>1.2285229132223938E-2</v>
      </c>
      <c r="BB39" s="33">
        <f t="shared" ca="1" si="35"/>
        <v>1.0572720644026744E-2</v>
      </c>
      <c r="BC39" s="33">
        <f t="shared" ca="1" si="35"/>
        <v>9.3601314864026897E-3</v>
      </c>
      <c r="BD39" s="33">
        <f t="shared" ca="1" si="35"/>
        <v>1.0338299411464294E-2</v>
      </c>
      <c r="BE39" s="33">
        <f t="shared" ca="1" si="35"/>
        <v>1.0961587863652996E-2</v>
      </c>
      <c r="BF39" s="33">
        <f t="shared" ca="1" si="35"/>
        <v>1.1763340545712564E-2</v>
      </c>
      <c r="BG39" s="33">
        <f t="shared" ca="1" si="36"/>
        <v>1.0335603244080371E-2</v>
      </c>
      <c r="BH39" s="33">
        <f t="shared" ca="1" si="36"/>
        <v>6.8735570072335668E-3</v>
      </c>
      <c r="BI39" s="33">
        <f t="shared" ca="1" si="36"/>
        <v>9.7232387831789301E-3</v>
      </c>
      <c r="BJ39" s="33">
        <f t="shared" ca="1" si="36"/>
        <v>1.1429161220824517E-2</v>
      </c>
      <c r="BK39" s="33">
        <f t="shared" ca="1" si="36"/>
        <v>1.0489812503945132E-2</v>
      </c>
      <c r="BL39" s="33">
        <f t="shared" ca="1" si="36"/>
        <v>1.0765236519499784E-2</v>
      </c>
      <c r="BM39" s="33">
        <f t="shared" ca="1" si="36"/>
        <v>9.7128236149802948E-3</v>
      </c>
      <c r="BN39" s="33">
        <f t="shared" ca="1" si="36"/>
        <v>1.2679895280686138E-2</v>
      </c>
      <c r="BO39" s="33">
        <f t="shared" ca="1" si="36"/>
        <v>1.1914551682785711E-2</v>
      </c>
      <c r="BP39" s="33">
        <f t="shared" ca="1" si="36"/>
        <v>1.1493735996542786E-2</v>
      </c>
      <c r="BQ39" s="33">
        <f t="shared" ca="1" si="37"/>
        <v>1.1952486737336303E-2</v>
      </c>
      <c r="BR39" s="33">
        <f t="shared" ca="1" si="37"/>
        <v>1.1315571378037759E-2</v>
      </c>
      <c r="BS39" s="33">
        <f t="shared" ca="1" si="37"/>
        <v>1.1977469221317753E-2</v>
      </c>
      <c r="BT39" s="33">
        <f t="shared" ca="1" si="37"/>
        <v>1.0766391886664946E-2</v>
      </c>
      <c r="BU39" s="33">
        <f t="shared" ca="1" si="37"/>
        <v>1.4267416745330429E-2</v>
      </c>
      <c r="BV39" s="33">
        <f t="shared" ca="1" si="37"/>
        <v>1.0630006330943758E-2</v>
      </c>
      <c r="BW39" s="33">
        <f t="shared" ca="1" si="37"/>
        <v>1.1639702068740121E-2</v>
      </c>
      <c r="BX39" s="33">
        <f t="shared" ca="1" si="37"/>
        <v>9.7255801517536853E-3</v>
      </c>
      <c r="BY39" s="33">
        <f t="shared" ca="1" si="37"/>
        <v>1.0640251609060408E-2</v>
      </c>
      <c r="BZ39" s="33">
        <f t="shared" ca="1" si="37"/>
        <v>1.3858203353462138E-2</v>
      </c>
      <c r="CA39" s="33">
        <f t="shared" ca="1" si="38"/>
        <v>1.000006428296873E-2</v>
      </c>
      <c r="CB39" s="33">
        <f t="shared" ca="1" si="38"/>
        <v>1.0317282069771993E-2</v>
      </c>
      <c r="CC39" s="33">
        <f t="shared" ca="1" si="38"/>
        <v>1.2581509489338167E-2</v>
      </c>
      <c r="CD39" s="33">
        <f t="shared" ca="1" si="38"/>
        <v>1.2397401569540582E-2</v>
      </c>
      <c r="CE39" s="33">
        <f t="shared" ca="1" si="38"/>
        <v>1.1491880983389578E-2</v>
      </c>
      <c r="CF39" s="33">
        <f t="shared" ca="1" si="38"/>
        <v>1.2347864308879413E-2</v>
      </c>
      <c r="CG39" s="33">
        <f t="shared" ca="1" si="38"/>
        <v>1.1067251919467665E-2</v>
      </c>
      <c r="CH39" s="33">
        <f t="shared" ca="1" si="38"/>
        <v>8.9942431265307449E-3</v>
      </c>
      <c r="CI39" s="33">
        <f t="shared" ca="1" si="38"/>
        <v>1.2969781261811548E-2</v>
      </c>
      <c r="CJ39" s="33">
        <f t="shared" ca="1" si="38"/>
        <v>1.2639038209475477E-2</v>
      </c>
      <c r="CK39" s="33">
        <f t="shared" ca="1" si="39"/>
        <v>1.1905535525198054E-2</v>
      </c>
      <c r="CL39" s="33">
        <f t="shared" ca="1" si="39"/>
        <v>1.1693556971952944E-2</v>
      </c>
      <c r="CM39" s="33">
        <f t="shared" ca="1" si="39"/>
        <v>1.3037159702599688E-2</v>
      </c>
      <c r="CN39" s="33">
        <f t="shared" ca="1" si="39"/>
        <v>1.1310447259679097E-2</v>
      </c>
      <c r="CO39" s="33">
        <f t="shared" ca="1" si="39"/>
        <v>1.0210920705227573E-2</v>
      </c>
      <c r="CP39" s="33">
        <f t="shared" ca="1" si="39"/>
        <v>1.2739951629370114E-2</v>
      </c>
      <c r="CQ39" s="33">
        <f t="shared" ca="1" si="39"/>
        <v>1.0546501706676651E-2</v>
      </c>
      <c r="CR39" s="33">
        <f t="shared" ca="1" si="39"/>
        <v>1.43714605680067E-2</v>
      </c>
      <c r="CS39" s="33">
        <f t="shared" ca="1" si="39"/>
        <v>1.2825087102122185E-2</v>
      </c>
      <c r="CT39" s="33">
        <f t="shared" ca="1" si="39"/>
        <v>1.1307587134462642E-2</v>
      </c>
      <c r="CU39" s="33">
        <f t="shared" ca="1" si="40"/>
        <v>1.1449964685429876E-2</v>
      </c>
      <c r="CV39" s="33">
        <f t="shared" ca="1" si="40"/>
        <v>1.2806991760772553E-2</v>
      </c>
      <c r="CW39" s="33">
        <f t="shared" ca="1" si="40"/>
        <v>1.2632936972094866E-2</v>
      </c>
      <c r="CX39" s="33">
        <f t="shared" ca="1" si="40"/>
        <v>1.1877246625051368E-2</v>
      </c>
      <c r="CY39" s="33">
        <f t="shared" ca="1" si="40"/>
        <v>1.1732601333834436E-2</v>
      </c>
      <c r="CZ39" s="33">
        <f t="shared" ca="1" si="40"/>
        <v>1.2132690752105751E-2</v>
      </c>
      <c r="DA39" s="33">
        <f t="shared" ca="1" si="40"/>
        <v>1.1126358209461331E-2</v>
      </c>
      <c r="DB39" s="33">
        <f t="shared" ca="1" si="40"/>
        <v>1.00482816087628E-2</v>
      </c>
      <c r="DC39" s="33">
        <f t="shared" ca="1" si="40"/>
        <v>1.1103172147923366E-2</v>
      </c>
      <c r="DD39" s="33">
        <f t="shared" ca="1" si="40"/>
        <v>1.1017720961316433E-2</v>
      </c>
      <c r="DE39" s="33">
        <f t="shared" ca="1" si="41"/>
        <v>1.0307168140758466E-2</v>
      </c>
      <c r="DF39" s="33">
        <f t="shared" ca="1" si="41"/>
        <v>9.2783362407070948E-3</v>
      </c>
      <c r="DG39" s="33">
        <f t="shared" ca="1" si="41"/>
        <v>1.2240553556172665E-2</v>
      </c>
      <c r="DH39" s="33">
        <f t="shared" ca="1" si="41"/>
        <v>1.1492688650658944E-2</v>
      </c>
      <c r="DI39" s="33">
        <f t="shared" ca="1" si="41"/>
        <v>1.4125516848669388E-2</v>
      </c>
      <c r="DJ39" s="33">
        <f t="shared" ca="1" si="41"/>
        <v>1.1938423102185979E-2</v>
      </c>
      <c r="DK39" s="33">
        <f t="shared" ca="1" si="41"/>
        <v>1.2458595158413034E-2</v>
      </c>
      <c r="DL39" s="33">
        <f t="shared" ca="1" si="41"/>
        <v>1.0780716381880188E-2</v>
      </c>
      <c r="DM39" s="33">
        <f t="shared" ca="1" si="41"/>
        <v>1.1937060659938397E-2</v>
      </c>
      <c r="DN39" s="33">
        <f t="shared" ca="1" si="41"/>
        <v>9.1933811991530695E-3</v>
      </c>
      <c r="DO39" s="12"/>
      <c r="DP39" s="12"/>
      <c r="DQ39" s="12"/>
    </row>
    <row r="40" spans="1:121" x14ac:dyDescent="0.2">
      <c r="A40" t="s">
        <v>25</v>
      </c>
      <c r="B40">
        <v>3.5218300000000001E-3</v>
      </c>
      <c r="I40" s="32">
        <v>45627</v>
      </c>
      <c r="J40" s="33">
        <f t="shared" ca="1" si="42"/>
        <v>1.2838464540413475E-2</v>
      </c>
      <c r="K40" s="9">
        <v>2320.4999999999995</v>
      </c>
      <c r="L40" s="9">
        <f t="shared" ca="1" si="11"/>
        <v>86603.7948153178</v>
      </c>
      <c r="N40" s="6">
        <v>36</v>
      </c>
      <c r="O40" s="5">
        <v>3.9598223932682588</v>
      </c>
      <c r="P40" s="9">
        <v>688858.75410479552</v>
      </c>
      <c r="R40" s="32">
        <v>45627</v>
      </c>
      <c r="S40" s="33">
        <f t="shared" ca="1" si="32"/>
        <v>7.4741769706092379E-3</v>
      </c>
      <c r="T40" s="33">
        <f t="shared" ca="1" si="32"/>
        <v>1.099159734622698E-2</v>
      </c>
      <c r="U40" s="33">
        <f t="shared" ca="1" si="32"/>
        <v>1.1987051982545198E-2</v>
      </c>
      <c r="V40" s="33">
        <f t="shared" ca="1" si="32"/>
        <v>1.0966669994931339E-2</v>
      </c>
      <c r="W40" s="33">
        <f t="shared" ca="1" si="32"/>
        <v>9.746234482553363E-3</v>
      </c>
      <c r="X40" s="33">
        <f t="shared" ca="1" si="32"/>
        <v>8.4459356834355945E-3</v>
      </c>
      <c r="Y40" s="33">
        <f t="shared" ca="1" si="32"/>
        <v>1.2843656384776929E-2</v>
      </c>
      <c r="Z40" s="33">
        <f t="shared" ca="1" si="32"/>
        <v>1.1197513232419687E-2</v>
      </c>
      <c r="AA40" s="33">
        <f t="shared" ca="1" si="32"/>
        <v>1.3810703582917158E-2</v>
      </c>
      <c r="AB40" s="33">
        <f t="shared" ca="1" si="32"/>
        <v>1.2974072876653493E-2</v>
      </c>
      <c r="AC40" s="33">
        <f t="shared" ca="1" si="33"/>
        <v>1.1583151467861661E-2</v>
      </c>
      <c r="AD40" s="33">
        <f t="shared" ca="1" si="33"/>
        <v>1.0179715428479646E-2</v>
      </c>
      <c r="AE40" s="33">
        <f t="shared" ca="1" si="33"/>
        <v>1.0303639671986243E-2</v>
      </c>
      <c r="AF40" s="33">
        <f t="shared" ca="1" si="33"/>
        <v>1.1008654357192758E-2</v>
      </c>
      <c r="AG40" s="33">
        <f t="shared" ca="1" si="33"/>
        <v>8.3855412403327952E-3</v>
      </c>
      <c r="AH40" s="33">
        <f t="shared" ca="1" si="33"/>
        <v>1.0567701321529442E-2</v>
      </c>
      <c r="AI40" s="33">
        <f t="shared" ca="1" si="33"/>
        <v>1.3045600811225945E-2</v>
      </c>
      <c r="AJ40" s="33">
        <f t="shared" ca="1" si="33"/>
        <v>1.1549698163213334E-2</v>
      </c>
      <c r="AK40" s="33">
        <f t="shared" ca="1" si="33"/>
        <v>1.2108632413507904E-2</v>
      </c>
      <c r="AL40" s="33">
        <f t="shared" ca="1" si="33"/>
        <v>1.0863136059578954E-2</v>
      </c>
      <c r="AM40" s="33">
        <f t="shared" ca="1" si="34"/>
        <v>1.0812562796211225E-2</v>
      </c>
      <c r="AN40" s="33">
        <f t="shared" ca="1" si="34"/>
        <v>1.1381281079526689E-2</v>
      </c>
      <c r="AO40" s="33">
        <f t="shared" ca="1" si="34"/>
        <v>1.0169415472554105E-2</v>
      </c>
      <c r="AP40" s="33">
        <f t="shared" ca="1" si="34"/>
        <v>1.1120329601095E-2</v>
      </c>
      <c r="AQ40" s="33">
        <f t="shared" ca="1" si="34"/>
        <v>1.2211168838802116E-2</v>
      </c>
      <c r="AR40" s="33">
        <f t="shared" ca="1" si="34"/>
        <v>1.0922992692725838E-2</v>
      </c>
      <c r="AS40" s="33">
        <f t="shared" ca="1" si="34"/>
        <v>1.1589986488001372E-2</v>
      </c>
      <c r="AT40" s="33">
        <f t="shared" ca="1" si="34"/>
        <v>1.0938179835986855E-2</v>
      </c>
      <c r="AU40" s="33">
        <f t="shared" ca="1" si="34"/>
        <v>1.1960200793033008E-2</v>
      </c>
      <c r="AV40" s="33">
        <f t="shared" ca="1" si="34"/>
        <v>1.3438024760259739E-2</v>
      </c>
      <c r="AW40" s="33">
        <f t="shared" ca="1" si="35"/>
        <v>1.3319168107737646E-2</v>
      </c>
      <c r="AX40" s="33">
        <f t="shared" ca="1" si="35"/>
        <v>1.1977410111604294E-2</v>
      </c>
      <c r="AY40" s="33">
        <f t="shared" ca="1" si="35"/>
        <v>1.0500094845812482E-2</v>
      </c>
      <c r="AZ40" s="33">
        <f t="shared" ca="1" si="35"/>
        <v>1.3728100944059827E-2</v>
      </c>
      <c r="BA40" s="33">
        <f t="shared" ca="1" si="35"/>
        <v>9.9499584876537959E-3</v>
      </c>
      <c r="BB40" s="33">
        <f t="shared" ca="1" si="35"/>
        <v>1.0439957410534316E-2</v>
      </c>
      <c r="BC40" s="33">
        <f t="shared" ca="1" si="35"/>
        <v>1.1773785820183213E-2</v>
      </c>
      <c r="BD40" s="33">
        <f t="shared" ca="1" si="35"/>
        <v>1.1640719900329846E-2</v>
      </c>
      <c r="BE40" s="33">
        <f t="shared" ca="1" si="35"/>
        <v>1.183791679344124E-2</v>
      </c>
      <c r="BF40" s="33">
        <f t="shared" ca="1" si="35"/>
        <v>1.2499870122118248E-2</v>
      </c>
      <c r="BG40" s="33">
        <f t="shared" ca="1" si="36"/>
        <v>1.1726424892319747E-2</v>
      </c>
      <c r="BH40" s="33">
        <f t="shared" ca="1" si="36"/>
        <v>9.8014156963509916E-3</v>
      </c>
      <c r="BI40" s="33">
        <f t="shared" ca="1" si="36"/>
        <v>1.1020297763265132E-2</v>
      </c>
      <c r="BJ40" s="33">
        <f t="shared" ca="1" si="36"/>
        <v>1.363489311607952E-2</v>
      </c>
      <c r="BK40" s="33">
        <f t="shared" ca="1" si="36"/>
        <v>1.2259031628162826E-2</v>
      </c>
      <c r="BL40" s="33">
        <f t="shared" ca="1" si="36"/>
        <v>1.1468992979622093E-2</v>
      </c>
      <c r="BM40" s="33">
        <f t="shared" ca="1" si="36"/>
        <v>7.5296192906636307E-3</v>
      </c>
      <c r="BN40" s="33">
        <f t="shared" ca="1" si="36"/>
        <v>1.1106044925596073E-2</v>
      </c>
      <c r="BO40" s="33">
        <f t="shared" ca="1" si="36"/>
        <v>1.1196449213835639E-2</v>
      </c>
      <c r="BP40" s="33">
        <f t="shared" ca="1" si="36"/>
        <v>1.1422768953955355E-2</v>
      </c>
      <c r="BQ40" s="33">
        <f t="shared" ca="1" si="37"/>
        <v>1.1065651039856558E-2</v>
      </c>
      <c r="BR40" s="33">
        <f t="shared" ca="1" si="37"/>
        <v>7.3885536446637425E-3</v>
      </c>
      <c r="BS40" s="33">
        <f t="shared" ca="1" si="37"/>
        <v>1.0165644408416667E-2</v>
      </c>
      <c r="BT40" s="33">
        <f t="shared" ca="1" si="37"/>
        <v>1.5276428596023978E-2</v>
      </c>
      <c r="BU40" s="33">
        <f t="shared" ca="1" si="37"/>
        <v>1.1442642910361612E-2</v>
      </c>
      <c r="BV40" s="33">
        <f t="shared" ca="1" si="37"/>
        <v>1.0535251620432368E-2</v>
      </c>
      <c r="BW40" s="33">
        <f t="shared" ca="1" si="37"/>
        <v>1.2878502036975874E-2</v>
      </c>
      <c r="BX40" s="33">
        <f t="shared" ca="1" si="37"/>
        <v>1.0179637790511214E-2</v>
      </c>
      <c r="BY40" s="33">
        <f t="shared" ca="1" si="37"/>
        <v>1.2435530340456699E-2</v>
      </c>
      <c r="BZ40" s="33">
        <f t="shared" ca="1" si="37"/>
        <v>1.0581053001841813E-2</v>
      </c>
      <c r="CA40" s="33">
        <f t="shared" ca="1" si="38"/>
        <v>1.0301467797238766E-2</v>
      </c>
      <c r="CB40" s="33">
        <f t="shared" ca="1" si="38"/>
        <v>1.2201166414269386E-2</v>
      </c>
      <c r="CC40" s="33">
        <f t="shared" ca="1" si="38"/>
        <v>1.1430769825816462E-2</v>
      </c>
      <c r="CD40" s="33">
        <f t="shared" ca="1" si="38"/>
        <v>8.9706650409084338E-3</v>
      </c>
      <c r="CE40" s="33">
        <f t="shared" ca="1" si="38"/>
        <v>1.087482783852272E-2</v>
      </c>
      <c r="CF40" s="33">
        <f t="shared" ca="1" si="38"/>
        <v>1.1222749983935049E-2</v>
      </c>
      <c r="CG40" s="33">
        <f t="shared" ca="1" si="38"/>
        <v>1.0979109288929027E-2</v>
      </c>
      <c r="CH40" s="33">
        <f t="shared" ca="1" si="38"/>
        <v>1.3430330050376737E-2</v>
      </c>
      <c r="CI40" s="33">
        <f t="shared" ca="1" si="38"/>
        <v>1.2994454508086764E-2</v>
      </c>
      <c r="CJ40" s="33">
        <f t="shared" ca="1" si="38"/>
        <v>1.3390966063314349E-2</v>
      </c>
      <c r="CK40" s="33">
        <f t="shared" ca="1" si="39"/>
        <v>9.9131645997905665E-3</v>
      </c>
      <c r="CL40" s="33">
        <f t="shared" ca="1" si="39"/>
        <v>1.0292982126375015E-2</v>
      </c>
      <c r="CM40" s="33">
        <f t="shared" ca="1" si="39"/>
        <v>1.3641377878293726E-2</v>
      </c>
      <c r="CN40" s="33">
        <f t="shared" ca="1" si="39"/>
        <v>1.2788517916612797E-2</v>
      </c>
      <c r="CO40" s="33">
        <f t="shared" ca="1" si="39"/>
        <v>1.1331498386624629E-2</v>
      </c>
      <c r="CP40" s="33">
        <f t="shared" ca="1" si="39"/>
        <v>1.135468650039188E-2</v>
      </c>
      <c r="CQ40" s="33">
        <f t="shared" ca="1" si="39"/>
        <v>1.2082609369676416E-2</v>
      </c>
      <c r="CR40" s="33">
        <f t="shared" ca="1" si="39"/>
        <v>9.0815832444301088E-3</v>
      </c>
      <c r="CS40" s="33">
        <f t="shared" ca="1" si="39"/>
        <v>1.2030800476498705E-2</v>
      </c>
      <c r="CT40" s="33">
        <f t="shared" ca="1" si="39"/>
        <v>9.7951289529964267E-3</v>
      </c>
      <c r="CU40" s="33">
        <f t="shared" ca="1" si="40"/>
        <v>1.162998150663884E-2</v>
      </c>
      <c r="CV40" s="33">
        <f t="shared" ca="1" si="40"/>
        <v>1.0383021725509051E-2</v>
      </c>
      <c r="CW40" s="33">
        <f t="shared" ca="1" si="40"/>
        <v>1.1437552974192439E-2</v>
      </c>
      <c r="CX40" s="33">
        <f t="shared" ca="1" si="40"/>
        <v>8.4233071129730351E-3</v>
      </c>
      <c r="CY40" s="33">
        <f t="shared" ca="1" si="40"/>
        <v>1.331060909700984E-2</v>
      </c>
      <c r="CZ40" s="33">
        <f t="shared" ca="1" si="40"/>
        <v>1.1171576850779973E-2</v>
      </c>
      <c r="DA40" s="33">
        <f t="shared" ca="1" si="40"/>
        <v>1.0241659924131116E-2</v>
      </c>
      <c r="DB40" s="33">
        <f t="shared" ca="1" si="40"/>
        <v>1.0138420078816775E-2</v>
      </c>
      <c r="DC40" s="33">
        <f t="shared" ca="1" si="40"/>
        <v>9.1642300816561825E-3</v>
      </c>
      <c r="DD40" s="33">
        <f t="shared" ca="1" si="40"/>
        <v>9.0115888829584486E-3</v>
      </c>
      <c r="DE40" s="33">
        <f t="shared" ca="1" si="41"/>
        <v>1.1158875213395442E-2</v>
      </c>
      <c r="DF40" s="33">
        <f t="shared" ca="1" si="41"/>
        <v>1.1823059540454681E-2</v>
      </c>
      <c r="DG40" s="33">
        <f t="shared" ca="1" si="41"/>
        <v>1.0697969264699562E-2</v>
      </c>
      <c r="DH40" s="33">
        <f t="shared" ca="1" si="41"/>
        <v>1.0402646258135884E-2</v>
      </c>
      <c r="DI40" s="33">
        <f t="shared" ca="1" si="41"/>
        <v>1.0410835504073807E-2</v>
      </c>
      <c r="DJ40" s="33">
        <f t="shared" ca="1" si="41"/>
        <v>1.1321083095585608E-2</v>
      </c>
      <c r="DK40" s="33">
        <f t="shared" ca="1" si="41"/>
        <v>1.3439851022209286E-2</v>
      </c>
      <c r="DL40" s="33">
        <f t="shared" ca="1" si="41"/>
        <v>1.1354187640888257E-2</v>
      </c>
      <c r="DM40" s="33">
        <f t="shared" ca="1" si="41"/>
        <v>9.8058316352403873E-3</v>
      </c>
      <c r="DN40" s="33">
        <f t="shared" ca="1" si="41"/>
        <v>1.0841321403898829E-2</v>
      </c>
      <c r="DO40" s="12"/>
      <c r="DP40" s="12"/>
      <c r="DQ40" s="12"/>
    </row>
    <row r="41" spans="1:121" x14ac:dyDescent="0.2">
      <c r="A41" t="s">
        <v>26</v>
      </c>
      <c r="B41">
        <v>5.8770999999999997E-4</v>
      </c>
      <c r="C41">
        <v>2.4835500000000002E-3</v>
      </c>
      <c r="I41" s="32">
        <v>45658</v>
      </c>
      <c r="J41" s="33">
        <f t="shared" ca="1" si="42"/>
        <v>1.2289679781911214E-2</v>
      </c>
      <c r="K41" s="9">
        <v>2320.4999999999995</v>
      </c>
      <c r="L41" s="9">
        <f t="shared" ca="1" si="11"/>
        <v>89995.194751453106</v>
      </c>
      <c r="N41" s="6">
        <v>37</v>
      </c>
      <c r="O41" s="5">
        <v>3.9102739447229071</v>
      </c>
      <c r="P41" s="9">
        <v>683619.6497091623</v>
      </c>
      <c r="R41" s="32">
        <v>45658</v>
      </c>
      <c r="S41" s="33">
        <f t="shared" ca="1" si="32"/>
        <v>9.3063406559640276E-3</v>
      </c>
      <c r="T41" s="33">
        <f t="shared" ca="1" si="32"/>
        <v>1.0913541872365595E-2</v>
      </c>
      <c r="U41" s="33">
        <f t="shared" ca="1" si="32"/>
        <v>9.1104031674791447E-3</v>
      </c>
      <c r="V41" s="33">
        <f t="shared" ca="1" si="32"/>
        <v>1.0214443854113757E-2</v>
      </c>
      <c r="W41" s="33">
        <f t="shared" ca="1" si="32"/>
        <v>1.2669560524447232E-2</v>
      </c>
      <c r="X41" s="33">
        <f t="shared" ca="1" si="32"/>
        <v>1.6121935678650952E-2</v>
      </c>
      <c r="Y41" s="33">
        <f t="shared" ca="1" si="32"/>
        <v>9.4563746118865623E-3</v>
      </c>
      <c r="Z41" s="33">
        <f t="shared" ca="1" si="32"/>
        <v>1.0709876959461049E-2</v>
      </c>
      <c r="AA41" s="33">
        <f t="shared" ca="1" si="32"/>
        <v>1.0025339076125944E-2</v>
      </c>
      <c r="AB41" s="33">
        <f t="shared" ca="1" si="32"/>
        <v>1.1176551201296247E-2</v>
      </c>
      <c r="AC41" s="33">
        <f t="shared" ca="1" si="33"/>
        <v>1.1033796300126414E-2</v>
      </c>
      <c r="AD41" s="33">
        <f t="shared" ca="1" si="33"/>
        <v>1.2054651446336296E-2</v>
      </c>
      <c r="AE41" s="33">
        <f t="shared" ca="1" si="33"/>
        <v>1.1962986042041547E-2</v>
      </c>
      <c r="AF41" s="33">
        <f t="shared" ca="1" si="33"/>
        <v>9.6366573151273997E-3</v>
      </c>
      <c r="AG41" s="33">
        <f t="shared" ca="1" si="33"/>
        <v>1.0341291765759342E-2</v>
      </c>
      <c r="AH41" s="33">
        <f t="shared" ca="1" si="33"/>
        <v>8.4658261631762651E-3</v>
      </c>
      <c r="AI41" s="33">
        <f t="shared" ca="1" si="33"/>
        <v>7.8053733686881495E-3</v>
      </c>
      <c r="AJ41" s="33">
        <f t="shared" ca="1" si="33"/>
        <v>1.3518876681163501E-2</v>
      </c>
      <c r="AK41" s="33">
        <f t="shared" ca="1" si="33"/>
        <v>1.0995247340260495E-2</v>
      </c>
      <c r="AL41" s="33">
        <f t="shared" ca="1" si="33"/>
        <v>1.1898331821604116E-2</v>
      </c>
      <c r="AM41" s="33">
        <f t="shared" ca="1" si="34"/>
        <v>1.3012448221099249E-2</v>
      </c>
      <c r="AN41" s="33">
        <f t="shared" ca="1" si="34"/>
        <v>1.3853393674912094E-2</v>
      </c>
      <c r="AO41" s="33">
        <f t="shared" ca="1" si="34"/>
        <v>1.1844571261450269E-2</v>
      </c>
      <c r="AP41" s="33">
        <f t="shared" ca="1" si="34"/>
        <v>1.283852945867991E-2</v>
      </c>
      <c r="AQ41" s="33">
        <f t="shared" ca="1" si="34"/>
        <v>9.5794979223008097E-3</v>
      </c>
      <c r="AR41" s="33">
        <f t="shared" ca="1" si="34"/>
        <v>1.1716264666428737E-2</v>
      </c>
      <c r="AS41" s="33">
        <f t="shared" ca="1" si="34"/>
        <v>1.0024270455759959E-2</v>
      </c>
      <c r="AT41" s="33">
        <f t="shared" ca="1" si="34"/>
        <v>1.3719927948838374E-2</v>
      </c>
      <c r="AU41" s="33">
        <f t="shared" ca="1" si="34"/>
        <v>1.1990867856207219E-2</v>
      </c>
      <c r="AV41" s="33">
        <f t="shared" ca="1" si="34"/>
        <v>1.41473014167805E-2</v>
      </c>
      <c r="AW41" s="33">
        <f t="shared" ca="1" si="35"/>
        <v>1.3001024457213279E-2</v>
      </c>
      <c r="AX41" s="33">
        <f t="shared" ca="1" si="35"/>
        <v>9.3017640365878115E-3</v>
      </c>
      <c r="AY41" s="33">
        <f t="shared" ca="1" si="35"/>
        <v>1.0608118462997971E-2</v>
      </c>
      <c r="AZ41" s="33">
        <f t="shared" ca="1" si="35"/>
        <v>6.970365381333811E-3</v>
      </c>
      <c r="BA41" s="33">
        <f t="shared" ca="1" si="35"/>
        <v>9.9959235654561458E-3</v>
      </c>
      <c r="BB41" s="33">
        <f t="shared" ca="1" si="35"/>
        <v>1.1339042766115503E-2</v>
      </c>
      <c r="BC41" s="33">
        <f t="shared" ca="1" si="35"/>
        <v>1.1821965879339782E-2</v>
      </c>
      <c r="BD41" s="33">
        <f t="shared" ca="1" si="35"/>
        <v>1.1118587086897029E-2</v>
      </c>
      <c r="BE41" s="33">
        <f t="shared" ca="1" si="35"/>
        <v>1.3202694017742317E-2</v>
      </c>
      <c r="BF41" s="33">
        <f t="shared" ca="1" si="35"/>
        <v>1.1833943889215588E-2</v>
      </c>
      <c r="BG41" s="33">
        <f t="shared" ca="1" si="36"/>
        <v>1.2614687293438773E-2</v>
      </c>
      <c r="BH41" s="33">
        <f t="shared" ca="1" si="36"/>
        <v>1.1401393519404253E-2</v>
      </c>
      <c r="BI41" s="33">
        <f t="shared" ca="1" si="36"/>
        <v>1.1329011355711212E-2</v>
      </c>
      <c r="BJ41" s="33">
        <f t="shared" ca="1" si="36"/>
        <v>1.0891413465043704E-2</v>
      </c>
      <c r="BK41" s="33">
        <f t="shared" ca="1" si="36"/>
        <v>9.006523555578386E-3</v>
      </c>
      <c r="BL41" s="33">
        <f t="shared" ca="1" si="36"/>
        <v>7.772670767517675E-3</v>
      </c>
      <c r="BM41" s="33">
        <f t="shared" ca="1" si="36"/>
        <v>1.2909937094447377E-2</v>
      </c>
      <c r="BN41" s="33">
        <f t="shared" ca="1" si="36"/>
        <v>1.2900698951122653E-2</v>
      </c>
      <c r="BO41" s="33">
        <f t="shared" ca="1" si="36"/>
        <v>9.5588430944787053E-3</v>
      </c>
      <c r="BP41" s="33">
        <f t="shared" ca="1" si="36"/>
        <v>1.331317772630068E-2</v>
      </c>
      <c r="BQ41" s="33">
        <f t="shared" ca="1" si="37"/>
        <v>1.3071737249266933E-2</v>
      </c>
      <c r="BR41" s="33">
        <f t="shared" ca="1" si="37"/>
        <v>1.2688268027507141E-2</v>
      </c>
      <c r="BS41" s="33">
        <f t="shared" ca="1" si="37"/>
        <v>9.5322873311335238E-3</v>
      </c>
      <c r="BT41" s="33">
        <f t="shared" ca="1" si="37"/>
        <v>1.0151660696240489E-2</v>
      </c>
      <c r="BU41" s="33">
        <f t="shared" ca="1" si="37"/>
        <v>1.4501452997005211E-2</v>
      </c>
      <c r="BV41" s="33">
        <f t="shared" ca="1" si="37"/>
        <v>1.4136850712425791E-2</v>
      </c>
      <c r="BW41" s="33">
        <f t="shared" ca="1" si="37"/>
        <v>1.2316078630531462E-2</v>
      </c>
      <c r="BX41" s="33">
        <f t="shared" ca="1" si="37"/>
        <v>1.2521826025787905E-2</v>
      </c>
      <c r="BY41" s="33">
        <f t="shared" ca="1" si="37"/>
        <v>1.3787441778541732E-2</v>
      </c>
      <c r="BZ41" s="33">
        <f t="shared" ca="1" si="37"/>
        <v>1.147951707390308E-2</v>
      </c>
      <c r="CA41" s="33">
        <f t="shared" ca="1" si="38"/>
        <v>1.3371942618934289E-2</v>
      </c>
      <c r="CB41" s="33">
        <f t="shared" ca="1" si="38"/>
        <v>1.0600986503246274E-2</v>
      </c>
      <c r="CC41" s="33">
        <f t="shared" ca="1" si="38"/>
        <v>9.1971063946821394E-3</v>
      </c>
      <c r="CD41" s="33">
        <f t="shared" ca="1" si="38"/>
        <v>1.2176596666174749E-2</v>
      </c>
      <c r="CE41" s="33">
        <f t="shared" ca="1" si="38"/>
        <v>9.298799457445852E-3</v>
      </c>
      <c r="CF41" s="33">
        <f t="shared" ca="1" si="38"/>
        <v>8.3754540380001664E-3</v>
      </c>
      <c r="CG41" s="33">
        <f t="shared" ca="1" si="38"/>
        <v>1.0419245937673386E-2</v>
      </c>
      <c r="CH41" s="33">
        <f t="shared" ca="1" si="38"/>
        <v>1.2129445211217477E-2</v>
      </c>
      <c r="CI41" s="33">
        <f t="shared" ca="1" si="38"/>
        <v>1.1425708740099952E-2</v>
      </c>
      <c r="CJ41" s="33">
        <f t="shared" ca="1" si="38"/>
        <v>9.311102218201325E-3</v>
      </c>
      <c r="CK41" s="33">
        <f t="shared" ca="1" si="39"/>
        <v>1.4835497040577416E-2</v>
      </c>
      <c r="CL41" s="33">
        <f t="shared" ca="1" si="39"/>
        <v>1.3307887543849897E-2</v>
      </c>
      <c r="CM41" s="33">
        <f t="shared" ca="1" si="39"/>
        <v>1.154548180261622E-2</v>
      </c>
      <c r="CN41" s="33">
        <f t="shared" ca="1" si="39"/>
        <v>1.4735719289574855E-2</v>
      </c>
      <c r="CO41" s="33">
        <f t="shared" ca="1" si="39"/>
        <v>1.2831450721447278E-2</v>
      </c>
      <c r="CP41" s="33">
        <f t="shared" ca="1" si="39"/>
        <v>9.6532410716649274E-3</v>
      </c>
      <c r="CQ41" s="33">
        <f t="shared" ca="1" si="39"/>
        <v>1.0637739360238955E-2</v>
      </c>
      <c r="CR41" s="33">
        <f t="shared" ca="1" si="39"/>
        <v>1.1506252092819644E-2</v>
      </c>
      <c r="CS41" s="33">
        <f t="shared" ca="1" si="39"/>
        <v>7.4945281623376523E-3</v>
      </c>
      <c r="CT41" s="33">
        <f t="shared" ca="1" si="39"/>
        <v>1.1123802442412203E-2</v>
      </c>
      <c r="CU41" s="33">
        <f t="shared" ca="1" si="40"/>
        <v>9.9512610866369575E-3</v>
      </c>
      <c r="CV41" s="33">
        <f t="shared" ca="1" si="40"/>
        <v>1.2666546981831464E-2</v>
      </c>
      <c r="CW41" s="33">
        <f t="shared" ca="1" si="40"/>
        <v>1.0875556151931542E-2</v>
      </c>
      <c r="CX41" s="33">
        <f t="shared" ca="1" si="40"/>
        <v>1.0496645783538879E-2</v>
      </c>
      <c r="CY41" s="33">
        <f t="shared" ca="1" si="40"/>
        <v>1.1561493067869672E-2</v>
      </c>
      <c r="CZ41" s="33">
        <f t="shared" ca="1" si="40"/>
        <v>1.2223458876297966E-2</v>
      </c>
      <c r="DA41" s="33">
        <f t="shared" ca="1" si="40"/>
        <v>1.1717229082398055E-2</v>
      </c>
      <c r="DB41" s="33">
        <f t="shared" ca="1" si="40"/>
        <v>1.2355261185055913E-2</v>
      </c>
      <c r="DC41" s="33">
        <f t="shared" ca="1" si="40"/>
        <v>9.1098101402175644E-3</v>
      </c>
      <c r="DD41" s="33">
        <f t="shared" ca="1" si="40"/>
        <v>1.3365058584983592E-2</v>
      </c>
      <c r="DE41" s="33">
        <f t="shared" ca="1" si="41"/>
        <v>1.2965555901338651E-2</v>
      </c>
      <c r="DF41" s="33">
        <f t="shared" ca="1" si="41"/>
        <v>8.2150827695748642E-3</v>
      </c>
      <c r="DG41" s="33">
        <f t="shared" ca="1" si="41"/>
        <v>1.2489429668356632E-2</v>
      </c>
      <c r="DH41" s="33">
        <f t="shared" ca="1" si="41"/>
        <v>8.977494776051545E-3</v>
      </c>
      <c r="DI41" s="33">
        <f t="shared" ca="1" si="41"/>
        <v>1.4336823669348485E-2</v>
      </c>
      <c r="DJ41" s="33">
        <f t="shared" ca="1" si="41"/>
        <v>1.1817004369408435E-2</v>
      </c>
      <c r="DK41" s="33">
        <f t="shared" ca="1" si="41"/>
        <v>1.4286714030213251E-2</v>
      </c>
      <c r="DL41" s="33">
        <f t="shared" ca="1" si="41"/>
        <v>8.9059090145161557E-3</v>
      </c>
      <c r="DM41" s="33">
        <f t="shared" ca="1" si="41"/>
        <v>1.2877237136100851E-2</v>
      </c>
      <c r="DN41" s="33">
        <f t="shared" ca="1" si="41"/>
        <v>8.8476842228851511E-3</v>
      </c>
      <c r="DO41" s="12"/>
      <c r="DP41" s="12"/>
      <c r="DQ41" s="12"/>
    </row>
    <row r="42" spans="1:121" x14ac:dyDescent="0.2">
      <c r="A42" t="s">
        <v>27</v>
      </c>
      <c r="B42">
        <v>1.3694E-4</v>
      </c>
      <c r="C42">
        <v>5.5542999999999999E-4</v>
      </c>
      <c r="D42">
        <v>5.6044900000000002E-3</v>
      </c>
      <c r="I42" s="32">
        <v>45689</v>
      </c>
      <c r="J42" s="33">
        <f t="shared" ca="1" si="42"/>
        <v>1.2882537188506626E-2</v>
      </c>
      <c r="K42" s="9">
        <v>2413.3199999999997</v>
      </c>
      <c r="L42" s="9">
        <f t="shared" ca="1" si="11"/>
        <v>93575.381156861607</v>
      </c>
      <c r="N42" s="6">
        <v>38</v>
      </c>
      <c r="O42" s="5">
        <v>3.8672917366739341</v>
      </c>
      <c r="P42" s="9">
        <v>680985.81607862667</v>
      </c>
      <c r="R42" s="32">
        <v>45689</v>
      </c>
      <c r="S42" s="33">
        <f t="shared" ca="1" si="32"/>
        <v>8.1895333748765974E-3</v>
      </c>
      <c r="T42" s="33">
        <f t="shared" ca="1" si="32"/>
        <v>1.3979189120248228E-2</v>
      </c>
      <c r="U42" s="33">
        <f t="shared" ca="1" si="32"/>
        <v>1.0134055244447434E-2</v>
      </c>
      <c r="V42" s="33">
        <f t="shared" ca="1" si="32"/>
        <v>1.0571640343841353E-2</v>
      </c>
      <c r="W42" s="33">
        <f t="shared" ca="1" si="32"/>
        <v>1.1408595784869403E-2</v>
      </c>
      <c r="X42" s="33">
        <f t="shared" ca="1" si="32"/>
        <v>1.1721871804024689E-2</v>
      </c>
      <c r="Y42" s="33">
        <f t="shared" ca="1" si="32"/>
        <v>1.1885867118575023E-2</v>
      </c>
      <c r="Z42" s="33">
        <f t="shared" ca="1" si="32"/>
        <v>1.1391020409839468E-2</v>
      </c>
      <c r="AA42" s="33">
        <f t="shared" ca="1" si="32"/>
        <v>1.0768683049239005E-2</v>
      </c>
      <c r="AB42" s="33">
        <f t="shared" ca="1" si="32"/>
        <v>1.2007652100792967E-2</v>
      </c>
      <c r="AC42" s="33">
        <f t="shared" ca="1" si="33"/>
        <v>1.1375522511206762E-2</v>
      </c>
      <c r="AD42" s="33">
        <f t="shared" ca="1" si="33"/>
        <v>1.1339470459777404E-2</v>
      </c>
      <c r="AE42" s="33">
        <f t="shared" ca="1" si="33"/>
        <v>8.3370323912441667E-3</v>
      </c>
      <c r="AF42" s="33">
        <f t="shared" ca="1" si="33"/>
        <v>9.0223954712134215E-3</v>
      </c>
      <c r="AG42" s="33">
        <f t="shared" ca="1" si="33"/>
        <v>1.3599118831727236E-2</v>
      </c>
      <c r="AH42" s="33">
        <f t="shared" ca="1" si="33"/>
        <v>1.0586623845609504E-2</v>
      </c>
      <c r="AI42" s="33">
        <f t="shared" ca="1" si="33"/>
        <v>1.124305202903471E-2</v>
      </c>
      <c r="AJ42" s="33">
        <f t="shared" ca="1" si="33"/>
        <v>1.101024051502718E-2</v>
      </c>
      <c r="AK42" s="33">
        <f t="shared" ca="1" si="33"/>
        <v>1.0262930187265019E-2</v>
      </c>
      <c r="AL42" s="33">
        <f t="shared" ca="1" si="33"/>
        <v>1.120919722033047E-2</v>
      </c>
      <c r="AM42" s="33">
        <f t="shared" ca="1" si="34"/>
        <v>1.1798428066232025E-2</v>
      </c>
      <c r="AN42" s="33">
        <f t="shared" ca="1" si="34"/>
        <v>1.1690566597218037E-2</v>
      </c>
      <c r="AO42" s="33">
        <f t="shared" ca="1" si="34"/>
        <v>7.2553000515079092E-3</v>
      </c>
      <c r="AP42" s="33">
        <f t="shared" ca="1" si="34"/>
        <v>1.3545279263799535E-2</v>
      </c>
      <c r="AQ42" s="33">
        <f t="shared" ca="1" si="34"/>
        <v>1.1064507545265542E-2</v>
      </c>
      <c r="AR42" s="33">
        <f t="shared" ca="1" si="34"/>
        <v>1.2982469148402738E-2</v>
      </c>
      <c r="AS42" s="33">
        <f t="shared" ca="1" si="34"/>
        <v>7.7526595865685484E-3</v>
      </c>
      <c r="AT42" s="33">
        <f t="shared" ca="1" si="34"/>
        <v>1.2500062869621541E-2</v>
      </c>
      <c r="AU42" s="33">
        <f t="shared" ca="1" si="34"/>
        <v>1.1008811539565467E-2</v>
      </c>
      <c r="AV42" s="33">
        <f t="shared" ca="1" si="34"/>
        <v>1.1657237271988197E-2</v>
      </c>
      <c r="AW42" s="33">
        <f t="shared" ca="1" si="35"/>
        <v>1.2325291149052085E-2</v>
      </c>
      <c r="AX42" s="33">
        <f t="shared" ca="1" si="35"/>
        <v>1.4278009657104036E-2</v>
      </c>
      <c r="AY42" s="33">
        <f t="shared" ca="1" si="35"/>
        <v>1.2590218125956783E-2</v>
      </c>
      <c r="AZ42" s="33">
        <f t="shared" ca="1" si="35"/>
        <v>1.0189463808357394E-2</v>
      </c>
      <c r="BA42" s="33">
        <f t="shared" ca="1" si="35"/>
        <v>1.2951240521119515E-2</v>
      </c>
      <c r="BB42" s="33">
        <f t="shared" ca="1" si="35"/>
        <v>1.0148516705229741E-2</v>
      </c>
      <c r="BC42" s="33">
        <f t="shared" ca="1" si="35"/>
        <v>1.3658529054711654E-2</v>
      </c>
      <c r="BD42" s="33">
        <f t="shared" ca="1" si="35"/>
        <v>1.3266757162659194E-2</v>
      </c>
      <c r="BE42" s="33">
        <f t="shared" ca="1" si="35"/>
        <v>1.1676955195658832E-2</v>
      </c>
      <c r="BF42" s="33">
        <f t="shared" ca="1" si="35"/>
        <v>9.3065756733450838E-3</v>
      </c>
      <c r="BG42" s="33">
        <f t="shared" ca="1" si="36"/>
        <v>1.0834395322710426E-2</v>
      </c>
      <c r="BH42" s="33">
        <f t="shared" ca="1" si="36"/>
        <v>1.2108245682965606E-2</v>
      </c>
      <c r="BI42" s="33">
        <f t="shared" ca="1" si="36"/>
        <v>1.1648630058729069E-2</v>
      </c>
      <c r="BJ42" s="33">
        <f t="shared" ca="1" si="36"/>
        <v>1.3830992578769043E-2</v>
      </c>
      <c r="BK42" s="33">
        <f t="shared" ca="1" si="36"/>
        <v>1.2438710336413358E-2</v>
      </c>
      <c r="BL42" s="33">
        <f t="shared" ca="1" si="36"/>
        <v>1.2374323370528573E-2</v>
      </c>
      <c r="BM42" s="33">
        <f t="shared" ca="1" si="36"/>
        <v>1.0919879055835495E-2</v>
      </c>
      <c r="BN42" s="33">
        <f t="shared" ca="1" si="36"/>
        <v>9.4913735056198958E-3</v>
      </c>
      <c r="BO42" s="33">
        <f t="shared" ca="1" si="36"/>
        <v>1.1383990933531962E-2</v>
      </c>
      <c r="BP42" s="33">
        <f t="shared" ca="1" si="36"/>
        <v>1.3022945149176646E-2</v>
      </c>
      <c r="BQ42" s="33">
        <f t="shared" ca="1" si="37"/>
        <v>1.0329690613283237E-2</v>
      </c>
      <c r="BR42" s="33">
        <f t="shared" ca="1" si="37"/>
        <v>1.1531563830675053E-2</v>
      </c>
      <c r="BS42" s="33">
        <f t="shared" ca="1" si="37"/>
        <v>9.1124940547429052E-3</v>
      </c>
      <c r="BT42" s="33">
        <f t="shared" ca="1" si="37"/>
        <v>1.0404253066409236E-2</v>
      </c>
      <c r="BU42" s="33">
        <f t="shared" ca="1" si="37"/>
        <v>9.3849309267824404E-3</v>
      </c>
      <c r="BV42" s="33">
        <f t="shared" ca="1" si="37"/>
        <v>1.0898924803878784E-2</v>
      </c>
      <c r="BW42" s="33">
        <f t="shared" ca="1" si="37"/>
        <v>1.0672240224159645E-2</v>
      </c>
      <c r="BX42" s="33">
        <f t="shared" ca="1" si="37"/>
        <v>1.1658560349289759E-2</v>
      </c>
      <c r="BY42" s="33">
        <f t="shared" ca="1" si="37"/>
        <v>1.1897234852865441E-2</v>
      </c>
      <c r="BZ42" s="33">
        <f t="shared" ca="1" si="37"/>
        <v>1.055802018428041E-2</v>
      </c>
      <c r="CA42" s="33">
        <f t="shared" ca="1" si="38"/>
        <v>1.1405806233405508E-2</v>
      </c>
      <c r="CB42" s="33">
        <f t="shared" ca="1" si="38"/>
        <v>1.0667864147347056E-2</v>
      </c>
      <c r="CC42" s="33">
        <f t="shared" ca="1" si="38"/>
        <v>1.3263107722257708E-2</v>
      </c>
      <c r="CD42" s="33">
        <f t="shared" ca="1" si="38"/>
        <v>8.6478959265417349E-3</v>
      </c>
      <c r="CE42" s="33">
        <f t="shared" ca="1" si="38"/>
        <v>9.9983700964384557E-3</v>
      </c>
      <c r="CF42" s="33">
        <f t="shared" ca="1" si="38"/>
        <v>1.0934705776511882E-2</v>
      </c>
      <c r="CG42" s="33">
        <f t="shared" ca="1" si="38"/>
        <v>1.2119470717167777E-2</v>
      </c>
      <c r="CH42" s="33">
        <f t="shared" ca="1" si="38"/>
        <v>1.1435961224390187E-2</v>
      </c>
      <c r="CI42" s="33">
        <f t="shared" ca="1" si="38"/>
        <v>1.1169646806788527E-2</v>
      </c>
      <c r="CJ42" s="33">
        <f t="shared" ca="1" si="38"/>
        <v>1.1697836388275797E-2</v>
      </c>
      <c r="CK42" s="33">
        <f t="shared" ca="1" si="39"/>
        <v>1.2550826110056595E-2</v>
      </c>
      <c r="CL42" s="33">
        <f t="shared" ca="1" si="39"/>
        <v>1.109202838637106E-2</v>
      </c>
      <c r="CM42" s="33">
        <f t="shared" ca="1" si="39"/>
        <v>1.0901924787151069E-2</v>
      </c>
      <c r="CN42" s="33">
        <f t="shared" ca="1" si="39"/>
        <v>1.137281864393894E-2</v>
      </c>
      <c r="CO42" s="33">
        <f t="shared" ca="1" si="39"/>
        <v>1.3046437633321639E-2</v>
      </c>
      <c r="CP42" s="33">
        <f t="shared" ca="1" si="39"/>
        <v>1.1505605674794686E-2</v>
      </c>
      <c r="CQ42" s="33">
        <f t="shared" ca="1" si="39"/>
        <v>1.0481464610237579E-2</v>
      </c>
      <c r="CR42" s="33">
        <f t="shared" ca="1" si="39"/>
        <v>1.0558479616715018E-2</v>
      </c>
      <c r="CS42" s="33">
        <f t="shared" ca="1" si="39"/>
        <v>8.402061450915866E-3</v>
      </c>
      <c r="CT42" s="33">
        <f t="shared" ca="1" si="39"/>
        <v>1.1980868682127187E-2</v>
      </c>
      <c r="CU42" s="33">
        <f t="shared" ca="1" si="40"/>
        <v>1.0816650649039477E-2</v>
      </c>
      <c r="CV42" s="33">
        <f t="shared" ca="1" si="40"/>
        <v>1.029181489636396E-2</v>
      </c>
      <c r="CW42" s="33">
        <f t="shared" ca="1" si="40"/>
        <v>1.074460484540943E-2</v>
      </c>
      <c r="CX42" s="33">
        <f t="shared" ca="1" si="40"/>
        <v>1.2696337477306198E-2</v>
      </c>
      <c r="CY42" s="33">
        <f t="shared" ca="1" si="40"/>
        <v>1.1483845235295687E-2</v>
      </c>
      <c r="CZ42" s="33">
        <f t="shared" ca="1" si="40"/>
        <v>1.1484852457962352E-2</v>
      </c>
      <c r="DA42" s="33">
        <f t="shared" ca="1" si="40"/>
        <v>1.2555446520953462E-2</v>
      </c>
      <c r="DB42" s="33">
        <f t="shared" ca="1" si="40"/>
        <v>8.8483644356961745E-3</v>
      </c>
      <c r="DC42" s="33">
        <f t="shared" ca="1" si="40"/>
        <v>1.1875553795888351E-2</v>
      </c>
      <c r="DD42" s="33">
        <f t="shared" ca="1" si="40"/>
        <v>1.0792810145658742E-2</v>
      </c>
      <c r="DE42" s="33">
        <f t="shared" ca="1" si="41"/>
        <v>1.2003457706654891E-2</v>
      </c>
      <c r="DF42" s="33">
        <f t="shared" ca="1" si="41"/>
        <v>1.0177079306682676E-2</v>
      </c>
      <c r="DG42" s="33">
        <f t="shared" ca="1" si="41"/>
        <v>8.8869994768971568E-3</v>
      </c>
      <c r="DH42" s="33">
        <f t="shared" ca="1" si="41"/>
        <v>1.1775147474239118E-2</v>
      </c>
      <c r="DI42" s="33">
        <f t="shared" ca="1" si="41"/>
        <v>1.055227379886523E-2</v>
      </c>
      <c r="DJ42" s="33">
        <f t="shared" ca="1" si="41"/>
        <v>1.2276501794246506E-2</v>
      </c>
      <c r="DK42" s="33">
        <f t="shared" ca="1" si="41"/>
        <v>1.0439707390742646E-2</v>
      </c>
      <c r="DL42" s="33">
        <f t="shared" ca="1" si="41"/>
        <v>1.1395939632251927E-2</v>
      </c>
      <c r="DM42" s="33">
        <f t="shared" ca="1" si="41"/>
        <v>9.4317232210931815E-3</v>
      </c>
      <c r="DN42" s="33">
        <f t="shared" ca="1" si="41"/>
        <v>1.0694454914003684E-2</v>
      </c>
      <c r="DO42" s="12"/>
      <c r="DP42" s="12"/>
      <c r="DQ42" s="12"/>
    </row>
    <row r="43" spans="1:121" x14ac:dyDescent="0.2">
      <c r="I43" s="32">
        <v>45717</v>
      </c>
      <c r="J43" s="33">
        <f t="shared" ca="1" si="42"/>
        <v>1.1468209607173447E-2</v>
      </c>
      <c r="K43" s="9">
        <v>2413.3199999999997</v>
      </c>
      <c r="L43" s="9">
        <f t="shared" ca="1" si="11"/>
        <v>97068.020342066942</v>
      </c>
      <c r="N43" s="6">
        <v>39</v>
      </c>
      <c r="O43" s="5">
        <v>3.9099735173215739</v>
      </c>
      <c r="P43" s="9">
        <v>682010.47523354751</v>
      </c>
      <c r="R43" s="32">
        <v>45717</v>
      </c>
      <c r="S43" s="33">
        <f t="shared" ca="1" si="32"/>
        <v>9.1534431556382287E-3</v>
      </c>
      <c r="T43" s="33">
        <f t="shared" ca="1" si="32"/>
        <v>1.0688844163367888E-2</v>
      </c>
      <c r="U43" s="33">
        <f t="shared" ca="1" si="32"/>
        <v>1.1995126347087163E-2</v>
      </c>
      <c r="V43" s="33">
        <f t="shared" ca="1" si="32"/>
        <v>1.2319701129586328E-2</v>
      </c>
      <c r="W43" s="33">
        <f t="shared" ca="1" si="32"/>
        <v>1.2127164063663565E-2</v>
      </c>
      <c r="X43" s="33">
        <f t="shared" ca="1" si="32"/>
        <v>1.2702029407943492E-2</v>
      </c>
      <c r="Y43" s="33">
        <f t="shared" ca="1" si="32"/>
        <v>1.1759073014673205E-2</v>
      </c>
      <c r="Z43" s="33">
        <f t="shared" ca="1" si="32"/>
        <v>8.2520590509990097E-3</v>
      </c>
      <c r="AA43" s="33">
        <f t="shared" ca="1" si="32"/>
        <v>1.3417438459432015E-2</v>
      </c>
      <c r="AB43" s="33">
        <f t="shared" ca="1" si="32"/>
        <v>1.119538786947105E-2</v>
      </c>
      <c r="AC43" s="33">
        <f t="shared" ca="1" si="33"/>
        <v>1.5014272801659593E-2</v>
      </c>
      <c r="AD43" s="33">
        <f t="shared" ca="1" si="33"/>
        <v>1.042601605045476E-2</v>
      </c>
      <c r="AE43" s="33">
        <f t="shared" ca="1" si="33"/>
        <v>1.1778110255941712E-2</v>
      </c>
      <c r="AF43" s="33">
        <f t="shared" ca="1" si="33"/>
        <v>1.1252482423732411E-2</v>
      </c>
      <c r="AG43" s="33">
        <f t="shared" ca="1" si="33"/>
        <v>9.6234549398141085E-3</v>
      </c>
      <c r="AH43" s="33">
        <f t="shared" ca="1" si="33"/>
        <v>9.657513290568364E-3</v>
      </c>
      <c r="AI43" s="33">
        <f t="shared" ca="1" si="33"/>
        <v>1.0791332398366662E-2</v>
      </c>
      <c r="AJ43" s="33">
        <f t="shared" ca="1" si="33"/>
        <v>1.2059684126105186E-2</v>
      </c>
      <c r="AK43" s="33">
        <f t="shared" ca="1" si="33"/>
        <v>1.1570491826708672E-2</v>
      </c>
      <c r="AL43" s="33">
        <f t="shared" ca="1" si="33"/>
        <v>1.2901618706709268E-2</v>
      </c>
      <c r="AM43" s="33">
        <f t="shared" ca="1" si="34"/>
        <v>1.3133033820912715E-2</v>
      </c>
      <c r="AN43" s="33">
        <f t="shared" ca="1" si="34"/>
        <v>1.2429660275437996E-2</v>
      </c>
      <c r="AO43" s="33">
        <f t="shared" ca="1" si="34"/>
        <v>1.0250813634642328E-2</v>
      </c>
      <c r="AP43" s="33">
        <f t="shared" ca="1" si="34"/>
        <v>1.0135914524246874E-2</v>
      </c>
      <c r="AQ43" s="33">
        <f t="shared" ca="1" si="34"/>
        <v>1.0608173144926956E-2</v>
      </c>
      <c r="AR43" s="33">
        <f t="shared" ca="1" si="34"/>
        <v>1.1519589953528519E-2</v>
      </c>
      <c r="AS43" s="33">
        <f t="shared" ca="1" si="34"/>
        <v>1.0059446021007633E-2</v>
      </c>
      <c r="AT43" s="33">
        <f t="shared" ca="1" si="34"/>
        <v>1.3791428933453947E-2</v>
      </c>
      <c r="AU43" s="33">
        <f t="shared" ca="1" si="34"/>
        <v>1.038821602082444E-2</v>
      </c>
      <c r="AV43" s="33">
        <f t="shared" ca="1" si="34"/>
        <v>1.2075456084226339E-2</v>
      </c>
      <c r="AW43" s="33">
        <f t="shared" ca="1" si="35"/>
        <v>1.2303745192130807E-2</v>
      </c>
      <c r="AX43" s="33">
        <f t="shared" ca="1" si="35"/>
        <v>9.9057332348670007E-3</v>
      </c>
      <c r="AY43" s="33">
        <f t="shared" ca="1" si="35"/>
        <v>1.3592310044954689E-2</v>
      </c>
      <c r="AZ43" s="33">
        <f t="shared" ca="1" si="35"/>
        <v>1.031811525194205E-2</v>
      </c>
      <c r="BA43" s="33">
        <f t="shared" ca="1" si="35"/>
        <v>1.0792526153335664E-2</v>
      </c>
      <c r="BB43" s="33">
        <f t="shared" ca="1" si="35"/>
        <v>1.2054916945388875E-2</v>
      </c>
      <c r="BC43" s="33">
        <f t="shared" ca="1" si="35"/>
        <v>1.394797252468831E-2</v>
      </c>
      <c r="BD43" s="33">
        <f t="shared" ca="1" si="35"/>
        <v>9.1374071394894341E-3</v>
      </c>
      <c r="BE43" s="33">
        <f t="shared" ca="1" si="35"/>
        <v>1.2175667789091059E-2</v>
      </c>
      <c r="BF43" s="33">
        <f t="shared" ca="1" si="35"/>
        <v>1.4441678024576013E-2</v>
      </c>
      <c r="BG43" s="33">
        <f t="shared" ca="1" si="36"/>
        <v>1.2463484115676094E-2</v>
      </c>
      <c r="BH43" s="33">
        <f t="shared" ca="1" si="36"/>
        <v>1.2519679732016526E-2</v>
      </c>
      <c r="BI43" s="33">
        <f t="shared" ca="1" si="36"/>
        <v>1.0408563818911547E-2</v>
      </c>
      <c r="BJ43" s="33">
        <f t="shared" ca="1" si="36"/>
        <v>8.0017350661186898E-3</v>
      </c>
      <c r="BK43" s="33">
        <f t="shared" ca="1" si="36"/>
        <v>1.1862874158211049E-2</v>
      </c>
      <c r="BL43" s="33">
        <f t="shared" ca="1" si="36"/>
        <v>1.1497540330032224E-2</v>
      </c>
      <c r="BM43" s="33">
        <f t="shared" ca="1" si="36"/>
        <v>1.1960858517380176E-2</v>
      </c>
      <c r="BN43" s="33">
        <f t="shared" ca="1" si="36"/>
        <v>1.268998114090061E-2</v>
      </c>
      <c r="BO43" s="33">
        <f t="shared" ca="1" si="36"/>
        <v>1.2333494613362613E-2</v>
      </c>
      <c r="BP43" s="33">
        <f t="shared" ca="1" si="36"/>
        <v>1.0002543826121863E-2</v>
      </c>
      <c r="BQ43" s="33">
        <f t="shared" ca="1" si="37"/>
        <v>1.2109839954544821E-2</v>
      </c>
      <c r="BR43" s="33">
        <f t="shared" ca="1" si="37"/>
        <v>1.2048532432404242E-2</v>
      </c>
      <c r="BS43" s="33">
        <f t="shared" ca="1" si="37"/>
        <v>1.1108865678774747E-2</v>
      </c>
      <c r="BT43" s="33">
        <f t="shared" ca="1" si="37"/>
        <v>1.1298453177384787E-2</v>
      </c>
      <c r="BU43" s="33">
        <f t="shared" ca="1" si="37"/>
        <v>1.2098743435971053E-2</v>
      </c>
      <c r="BV43" s="33">
        <f t="shared" ca="1" si="37"/>
        <v>1.0233339464020953E-2</v>
      </c>
      <c r="BW43" s="33">
        <f t="shared" ca="1" si="37"/>
        <v>1.0199980998635982E-2</v>
      </c>
      <c r="BX43" s="33">
        <f t="shared" ca="1" si="37"/>
        <v>9.4512994762138269E-3</v>
      </c>
      <c r="BY43" s="33">
        <f t="shared" ca="1" si="37"/>
        <v>1.2312278283955957E-2</v>
      </c>
      <c r="BZ43" s="33">
        <f t="shared" ca="1" si="37"/>
        <v>1.1173946864956187E-2</v>
      </c>
      <c r="CA43" s="33">
        <f t="shared" ca="1" si="38"/>
        <v>1.1760915481195582E-2</v>
      </c>
      <c r="CB43" s="33">
        <f t="shared" ca="1" si="38"/>
        <v>1.5340835312399879E-2</v>
      </c>
      <c r="CC43" s="33">
        <f t="shared" ca="1" si="38"/>
        <v>1.1324226230200561E-2</v>
      </c>
      <c r="CD43" s="33">
        <f t="shared" ca="1" si="38"/>
        <v>1.2131667284509947E-2</v>
      </c>
      <c r="CE43" s="33">
        <f t="shared" ca="1" si="38"/>
        <v>1.0610192448618733E-2</v>
      </c>
      <c r="CF43" s="33">
        <f t="shared" ca="1" si="38"/>
        <v>1.1362638469380635E-2</v>
      </c>
      <c r="CG43" s="33">
        <f t="shared" ca="1" si="38"/>
        <v>1.4835182466491955E-2</v>
      </c>
      <c r="CH43" s="33">
        <f t="shared" ca="1" si="38"/>
        <v>1.4774486849471847E-2</v>
      </c>
      <c r="CI43" s="33">
        <f t="shared" ca="1" si="38"/>
        <v>1.0544117293786666E-2</v>
      </c>
      <c r="CJ43" s="33">
        <f t="shared" ca="1" si="38"/>
        <v>8.735704664812962E-3</v>
      </c>
      <c r="CK43" s="33">
        <f t="shared" ca="1" si="39"/>
        <v>8.6201156299829003E-3</v>
      </c>
      <c r="CL43" s="33">
        <f t="shared" ca="1" si="39"/>
        <v>8.7361851141430098E-3</v>
      </c>
      <c r="CM43" s="33">
        <f t="shared" ca="1" si="39"/>
        <v>9.7644486086668932E-3</v>
      </c>
      <c r="CN43" s="33">
        <f t="shared" ca="1" si="39"/>
        <v>9.2039242115678922E-3</v>
      </c>
      <c r="CO43" s="33">
        <f t="shared" ca="1" si="39"/>
        <v>1.129299530746679E-2</v>
      </c>
      <c r="CP43" s="33">
        <f t="shared" ca="1" si="39"/>
        <v>8.1798170780559704E-3</v>
      </c>
      <c r="CQ43" s="33">
        <f t="shared" ca="1" si="39"/>
        <v>1.184950061121632E-2</v>
      </c>
      <c r="CR43" s="33">
        <f t="shared" ca="1" si="39"/>
        <v>1.116663277143482E-2</v>
      </c>
      <c r="CS43" s="33">
        <f t="shared" ca="1" si="39"/>
        <v>9.4281547603299997E-3</v>
      </c>
      <c r="CT43" s="33">
        <f t="shared" ca="1" si="39"/>
        <v>8.9169225319028593E-3</v>
      </c>
      <c r="CU43" s="33">
        <f t="shared" ca="1" si="40"/>
        <v>1.2028586591417006E-2</v>
      </c>
      <c r="CV43" s="33">
        <f t="shared" ca="1" si="40"/>
        <v>1.0418228730875598E-2</v>
      </c>
      <c r="CW43" s="33">
        <f t="shared" ca="1" si="40"/>
        <v>1.0927974436335131E-2</v>
      </c>
      <c r="CX43" s="33">
        <f t="shared" ca="1" si="40"/>
        <v>1.0164414272827205E-2</v>
      </c>
      <c r="CY43" s="33">
        <f t="shared" ca="1" si="40"/>
        <v>9.9892872087979489E-3</v>
      </c>
      <c r="CZ43" s="33">
        <f t="shared" ca="1" si="40"/>
        <v>1.4057101304008538E-2</v>
      </c>
      <c r="DA43" s="33">
        <f t="shared" ca="1" si="40"/>
        <v>1.2514075536098315E-2</v>
      </c>
      <c r="DB43" s="33">
        <f t="shared" ca="1" si="40"/>
        <v>1.1434921820245822E-2</v>
      </c>
      <c r="DC43" s="33">
        <f t="shared" ca="1" si="40"/>
        <v>1.2141078615708798E-2</v>
      </c>
      <c r="DD43" s="33">
        <f t="shared" ca="1" si="40"/>
        <v>1.1923492832378283E-2</v>
      </c>
      <c r="DE43" s="33">
        <f t="shared" ca="1" si="41"/>
        <v>1.0592480497980788E-2</v>
      </c>
      <c r="DF43" s="33">
        <f t="shared" ca="1" si="41"/>
        <v>9.985755114577801E-3</v>
      </c>
      <c r="DG43" s="33">
        <f t="shared" ca="1" si="41"/>
        <v>1.2531755076741723E-2</v>
      </c>
      <c r="DH43" s="33">
        <f t="shared" ca="1" si="41"/>
        <v>1.2734734616222088E-2</v>
      </c>
      <c r="DI43" s="33">
        <f t="shared" ca="1" si="41"/>
        <v>1.175682490445685E-2</v>
      </c>
      <c r="DJ43" s="33">
        <f t="shared" ca="1" si="41"/>
        <v>1.0715348408138691E-2</v>
      </c>
      <c r="DK43" s="33">
        <f t="shared" ca="1" si="41"/>
        <v>9.1761819893248393E-3</v>
      </c>
      <c r="DL43" s="33">
        <f t="shared" ca="1" si="41"/>
        <v>1.0613748692941559E-2</v>
      </c>
      <c r="DM43" s="33">
        <f t="shared" ca="1" si="41"/>
        <v>1.0365844160498018E-2</v>
      </c>
      <c r="DN43" s="33">
        <f t="shared" ca="1" si="41"/>
        <v>9.9297007388741108E-3</v>
      </c>
      <c r="DO43" s="12"/>
      <c r="DP43" s="12"/>
      <c r="DQ43" s="12"/>
    </row>
    <row r="44" spans="1:121" x14ac:dyDescent="0.2">
      <c r="A44" t="s">
        <v>31</v>
      </c>
      <c r="I44" s="32">
        <v>45748</v>
      </c>
      <c r="J44" s="33">
        <f t="shared" ca="1" si="42"/>
        <v>1.0350997533987808E-2</v>
      </c>
      <c r="K44" s="9">
        <v>2413.3199999999997</v>
      </c>
      <c r="L44" s="9">
        <f t="shared" ca="1" si="11"/>
        <v>100491.3092565402</v>
      </c>
      <c r="N44" s="6">
        <v>40</v>
      </c>
      <c r="O44" s="5">
        <v>4.0137669597891232</v>
      </c>
      <c r="P44" s="9">
        <v>696342.03357530409</v>
      </c>
      <c r="R44" s="32">
        <v>45748</v>
      </c>
      <c r="S44" s="33">
        <f t="shared" ca="1" si="32"/>
        <v>1.1475568490015459E-2</v>
      </c>
      <c r="T44" s="33">
        <f t="shared" ca="1" si="32"/>
        <v>9.7353424897239967E-3</v>
      </c>
      <c r="U44" s="33">
        <f t="shared" ca="1" si="32"/>
        <v>1.0363183468937984E-2</v>
      </c>
      <c r="V44" s="33">
        <f t="shared" ca="1" si="32"/>
        <v>1.3750923689997809E-2</v>
      </c>
      <c r="W44" s="33">
        <f t="shared" ca="1" si="32"/>
        <v>8.1764827488983345E-3</v>
      </c>
      <c r="X44" s="33">
        <f t="shared" ca="1" si="32"/>
        <v>1.1771169010033774E-2</v>
      </c>
      <c r="Y44" s="33">
        <f t="shared" ca="1" si="32"/>
        <v>1.245577014334409E-2</v>
      </c>
      <c r="Z44" s="33">
        <f t="shared" ca="1" si="32"/>
        <v>1.2493109766746419E-2</v>
      </c>
      <c r="AA44" s="33">
        <f t="shared" ca="1" si="32"/>
        <v>1.1762891877162392E-2</v>
      </c>
      <c r="AB44" s="33">
        <f t="shared" ca="1" si="32"/>
        <v>1.3739262834553706E-2</v>
      </c>
      <c r="AC44" s="33">
        <f t="shared" ca="1" si="33"/>
        <v>1.0719583001376478E-2</v>
      </c>
      <c r="AD44" s="33">
        <f t="shared" ca="1" si="33"/>
        <v>1.0452048820120737E-2</v>
      </c>
      <c r="AE44" s="33">
        <f t="shared" ca="1" si="33"/>
        <v>1.2278069848075234E-2</v>
      </c>
      <c r="AF44" s="33">
        <f t="shared" ca="1" si="33"/>
        <v>1.2388461834273312E-2</v>
      </c>
      <c r="AG44" s="33">
        <f t="shared" ca="1" si="33"/>
        <v>1.0124786749226351E-2</v>
      </c>
      <c r="AH44" s="33">
        <f t="shared" ca="1" si="33"/>
        <v>1.0690378867010969E-2</v>
      </c>
      <c r="AI44" s="33">
        <f t="shared" ca="1" si="33"/>
        <v>1.1491701107386841E-2</v>
      </c>
      <c r="AJ44" s="33">
        <f t="shared" ca="1" si="33"/>
        <v>1.1508379103719745E-2</v>
      </c>
      <c r="AK44" s="33">
        <f t="shared" ca="1" si="33"/>
        <v>1.1187061597423978E-2</v>
      </c>
      <c r="AL44" s="33">
        <f t="shared" ca="1" si="33"/>
        <v>1.0629899360802152E-2</v>
      </c>
      <c r="AM44" s="33">
        <f t="shared" ca="1" si="34"/>
        <v>1.0782811162796436E-2</v>
      </c>
      <c r="AN44" s="33">
        <f t="shared" ca="1" si="34"/>
        <v>9.5427307264384139E-3</v>
      </c>
      <c r="AO44" s="33">
        <f t="shared" ca="1" si="34"/>
        <v>1.1126407426444919E-2</v>
      </c>
      <c r="AP44" s="33">
        <f t="shared" ca="1" si="34"/>
        <v>9.128044489128467E-3</v>
      </c>
      <c r="AQ44" s="33">
        <f t="shared" ca="1" si="34"/>
        <v>1.1245478422751915E-2</v>
      </c>
      <c r="AR44" s="33">
        <f t="shared" ca="1" si="34"/>
        <v>1.3148637388022527E-2</v>
      </c>
      <c r="AS44" s="33">
        <f t="shared" ca="1" si="34"/>
        <v>1.0793453488120103E-2</v>
      </c>
      <c r="AT44" s="33">
        <f t="shared" ca="1" si="34"/>
        <v>1.0940992827902937E-2</v>
      </c>
      <c r="AU44" s="33">
        <f t="shared" ca="1" si="34"/>
        <v>9.6287354088980572E-3</v>
      </c>
      <c r="AV44" s="33">
        <f t="shared" ca="1" si="34"/>
        <v>1.2428879447106297E-2</v>
      </c>
      <c r="AW44" s="33">
        <f t="shared" ca="1" si="35"/>
        <v>1.1429557655893596E-2</v>
      </c>
      <c r="AX44" s="33">
        <f t="shared" ca="1" si="35"/>
        <v>1.3324085165028858E-2</v>
      </c>
      <c r="AY44" s="33">
        <f t="shared" ca="1" si="35"/>
        <v>1.3309645606968165E-2</v>
      </c>
      <c r="AZ44" s="33">
        <f t="shared" ca="1" si="35"/>
        <v>1.1552651481977719E-2</v>
      </c>
      <c r="BA44" s="33">
        <f t="shared" ca="1" si="35"/>
        <v>9.457086085308276E-3</v>
      </c>
      <c r="BB44" s="33">
        <f t="shared" ca="1" si="35"/>
        <v>1.0622813858915389E-2</v>
      </c>
      <c r="BC44" s="33">
        <f t="shared" ca="1" si="35"/>
        <v>9.2823587838272055E-3</v>
      </c>
      <c r="BD44" s="33">
        <f t="shared" ca="1" si="35"/>
        <v>1.1212335077336747E-2</v>
      </c>
      <c r="BE44" s="33">
        <f t="shared" ca="1" si="35"/>
        <v>1.2597907987511557E-2</v>
      </c>
      <c r="BF44" s="33">
        <f t="shared" ca="1" si="35"/>
        <v>1.1207994832747476E-2</v>
      </c>
      <c r="BG44" s="33">
        <f t="shared" ca="1" si="36"/>
        <v>1.1984452154371881E-2</v>
      </c>
      <c r="BH44" s="33">
        <f t="shared" ca="1" si="36"/>
        <v>1.0001815076219805E-2</v>
      </c>
      <c r="BI44" s="33">
        <f t="shared" ca="1" si="36"/>
        <v>1.1861860668755119E-2</v>
      </c>
      <c r="BJ44" s="33">
        <f t="shared" ca="1" si="36"/>
        <v>1.1859641100454543E-2</v>
      </c>
      <c r="BK44" s="33">
        <f t="shared" ca="1" si="36"/>
        <v>9.7779563153511974E-3</v>
      </c>
      <c r="BL44" s="33">
        <f t="shared" ca="1" si="36"/>
        <v>9.3329285645088016E-3</v>
      </c>
      <c r="BM44" s="33">
        <f t="shared" ca="1" si="36"/>
        <v>9.3492667206228775E-3</v>
      </c>
      <c r="BN44" s="33">
        <f t="shared" ca="1" si="36"/>
        <v>1.13171719783103E-2</v>
      </c>
      <c r="BO44" s="33">
        <f t="shared" ca="1" si="36"/>
        <v>1.1166966789899639E-2</v>
      </c>
      <c r="BP44" s="33">
        <f t="shared" ca="1" si="36"/>
        <v>1.0014941379001659E-2</v>
      </c>
      <c r="BQ44" s="33">
        <f t="shared" ca="1" si="37"/>
        <v>1.425343701665846E-2</v>
      </c>
      <c r="BR44" s="33">
        <f t="shared" ca="1" si="37"/>
        <v>1.0858614671441971E-2</v>
      </c>
      <c r="BS44" s="33">
        <f t="shared" ca="1" si="37"/>
        <v>1.0932117710838287E-2</v>
      </c>
      <c r="BT44" s="33">
        <f t="shared" ca="1" si="37"/>
        <v>1.0255254733331264E-2</v>
      </c>
      <c r="BU44" s="33">
        <f t="shared" ca="1" si="37"/>
        <v>1.2483361812427192E-2</v>
      </c>
      <c r="BV44" s="33">
        <f t="shared" ca="1" si="37"/>
        <v>1.3337595411179931E-2</v>
      </c>
      <c r="BW44" s="33">
        <f t="shared" ca="1" si="37"/>
        <v>1.5977829308859843E-2</v>
      </c>
      <c r="BX44" s="33">
        <f t="shared" ca="1" si="37"/>
        <v>1.2080681688373051E-2</v>
      </c>
      <c r="BY44" s="33">
        <f t="shared" ca="1" si="37"/>
        <v>1.2221111858042073E-2</v>
      </c>
      <c r="BZ44" s="33">
        <f t="shared" ca="1" si="37"/>
        <v>1.2297790419542962E-2</v>
      </c>
      <c r="CA44" s="33">
        <f t="shared" ca="1" si="38"/>
        <v>9.898148102930597E-3</v>
      </c>
      <c r="CB44" s="33">
        <f t="shared" ca="1" si="38"/>
        <v>1.2346128704925177E-2</v>
      </c>
      <c r="CC44" s="33">
        <f t="shared" ca="1" si="38"/>
        <v>1.1338905433506638E-2</v>
      </c>
      <c r="CD44" s="33">
        <f t="shared" ca="1" si="38"/>
        <v>1.2609421083356961E-2</v>
      </c>
      <c r="CE44" s="33">
        <f t="shared" ca="1" si="38"/>
        <v>1.3115742998276168E-2</v>
      </c>
      <c r="CF44" s="33">
        <f t="shared" ca="1" si="38"/>
        <v>1.0929401294749815E-2</v>
      </c>
      <c r="CG44" s="33">
        <f t="shared" ca="1" si="38"/>
        <v>1.2084052834039819E-2</v>
      </c>
      <c r="CH44" s="33">
        <f t="shared" ca="1" si="38"/>
        <v>1.2575286195522971E-2</v>
      </c>
      <c r="CI44" s="33">
        <f t="shared" ca="1" si="38"/>
        <v>1.0379675164898591E-2</v>
      </c>
      <c r="CJ44" s="33">
        <f t="shared" ca="1" si="38"/>
        <v>1.3013786898247143E-2</v>
      </c>
      <c r="CK44" s="33">
        <f t="shared" ca="1" si="39"/>
        <v>1.0239505034866085E-2</v>
      </c>
      <c r="CL44" s="33">
        <f t="shared" ca="1" si="39"/>
        <v>1.1029528304700522E-2</v>
      </c>
      <c r="CM44" s="33">
        <f t="shared" ca="1" si="39"/>
        <v>1.2000832714565779E-2</v>
      </c>
      <c r="CN44" s="33">
        <f t="shared" ca="1" si="39"/>
        <v>9.8569834530272734E-3</v>
      </c>
      <c r="CO44" s="33">
        <f t="shared" ca="1" si="39"/>
        <v>1.3168789899852327E-2</v>
      </c>
      <c r="CP44" s="33">
        <f t="shared" ca="1" si="39"/>
        <v>1.2598726474003442E-2</v>
      </c>
      <c r="CQ44" s="33">
        <f t="shared" ca="1" si="39"/>
        <v>1.2346798827532762E-2</v>
      </c>
      <c r="CR44" s="33">
        <f t="shared" ca="1" si="39"/>
        <v>1.0311953840777396E-2</v>
      </c>
      <c r="CS44" s="33">
        <f t="shared" ca="1" si="39"/>
        <v>1.1302524507611052E-2</v>
      </c>
      <c r="CT44" s="33">
        <f t="shared" ca="1" si="39"/>
        <v>1.1287451210887266E-2</v>
      </c>
      <c r="CU44" s="33">
        <f t="shared" ca="1" si="40"/>
        <v>9.9197357273698127E-3</v>
      </c>
      <c r="CV44" s="33">
        <f t="shared" ca="1" si="40"/>
        <v>9.9720984266398402E-3</v>
      </c>
      <c r="CW44" s="33">
        <f t="shared" ca="1" si="40"/>
        <v>1.2675492866736516E-2</v>
      </c>
      <c r="CX44" s="33">
        <f t="shared" ca="1" si="40"/>
        <v>1.255257806880478E-2</v>
      </c>
      <c r="CY44" s="33">
        <f t="shared" ca="1" si="40"/>
        <v>1.180362436530074E-2</v>
      </c>
      <c r="CZ44" s="33">
        <f t="shared" ca="1" si="40"/>
        <v>1.183927305233007E-2</v>
      </c>
      <c r="DA44" s="33">
        <f t="shared" ca="1" si="40"/>
        <v>9.7681172165504648E-3</v>
      </c>
      <c r="DB44" s="33">
        <f t="shared" ca="1" si="40"/>
        <v>1.1313686553230526E-2</v>
      </c>
      <c r="DC44" s="33">
        <f t="shared" ca="1" si="40"/>
        <v>9.3027149429404862E-3</v>
      </c>
      <c r="DD44" s="33">
        <f t="shared" ca="1" si="40"/>
        <v>1.1606305486447539E-2</v>
      </c>
      <c r="DE44" s="33">
        <f t="shared" ca="1" si="41"/>
        <v>1.1645430810216807E-2</v>
      </c>
      <c r="DF44" s="33">
        <f t="shared" ca="1" si="41"/>
        <v>9.2187134856265111E-3</v>
      </c>
      <c r="DG44" s="33">
        <f t="shared" ca="1" si="41"/>
        <v>1.1431232757106781E-2</v>
      </c>
      <c r="DH44" s="33">
        <f t="shared" ca="1" si="41"/>
        <v>1.1509803060035975E-2</v>
      </c>
      <c r="DI44" s="33">
        <f t="shared" ca="1" si="41"/>
        <v>1.0183188848549742E-2</v>
      </c>
      <c r="DJ44" s="33">
        <f t="shared" ca="1" si="41"/>
        <v>1.2063270523000073E-2</v>
      </c>
      <c r="DK44" s="33">
        <f t="shared" ca="1" si="41"/>
        <v>8.5847128872457053E-3</v>
      </c>
      <c r="DL44" s="33">
        <f t="shared" ca="1" si="41"/>
        <v>9.2732156791128402E-3</v>
      </c>
      <c r="DM44" s="33">
        <f t="shared" ca="1" si="41"/>
        <v>1.1952902732262183E-2</v>
      </c>
      <c r="DN44" s="33">
        <f t="shared" ca="1" si="41"/>
        <v>1.1709472750900514E-2</v>
      </c>
      <c r="DO44" s="12"/>
      <c r="DP44" s="12"/>
      <c r="DQ44" s="12"/>
    </row>
    <row r="45" spans="1:121" x14ac:dyDescent="0.2">
      <c r="A45" t="s">
        <v>32</v>
      </c>
      <c r="B45">
        <v>1.4608332657288759E-3</v>
      </c>
      <c r="I45" s="32">
        <v>45778</v>
      </c>
      <c r="J45" s="33">
        <f t="shared" ca="1" si="42"/>
        <v>1.2840123023551918E-2</v>
      </c>
      <c r="K45" s="9">
        <v>2413.3199999999997</v>
      </c>
      <c r="L45" s="9">
        <f t="shared" ca="1" si="11"/>
        <v>104203.26953863271</v>
      </c>
      <c r="N45" s="6">
        <v>41</v>
      </c>
      <c r="O45" s="5">
        <v>3.8611315076465473</v>
      </c>
      <c r="P45" s="9">
        <v>679098.43187759886</v>
      </c>
      <c r="R45" s="32">
        <v>45778</v>
      </c>
      <c r="S45" s="33">
        <f t="shared" ref="S45:AB54" ca="1" si="43">_xlfn.NORM.INV(RAND(),$A$52,$B$45)</f>
        <v>1.3423898616194811E-2</v>
      </c>
      <c r="T45" s="33">
        <f t="shared" ca="1" si="43"/>
        <v>1.0812089548128193E-2</v>
      </c>
      <c r="U45" s="33">
        <f t="shared" ca="1" si="43"/>
        <v>1.2699649928744245E-2</v>
      </c>
      <c r="V45" s="33">
        <f t="shared" ca="1" si="43"/>
        <v>1.0849734966565501E-2</v>
      </c>
      <c r="W45" s="33">
        <f t="shared" ca="1" si="43"/>
        <v>8.7460604427185736E-3</v>
      </c>
      <c r="X45" s="33">
        <f t="shared" ca="1" si="43"/>
        <v>1.1388318664997106E-2</v>
      </c>
      <c r="Y45" s="33">
        <f t="shared" ca="1" si="43"/>
        <v>1.3816299161030684E-2</v>
      </c>
      <c r="Z45" s="33">
        <f t="shared" ca="1" si="43"/>
        <v>1.2090597638570115E-2</v>
      </c>
      <c r="AA45" s="33">
        <f t="shared" ca="1" si="43"/>
        <v>1.0247026811068517E-2</v>
      </c>
      <c r="AB45" s="33">
        <f t="shared" ca="1" si="43"/>
        <v>1.2168496830857243E-2</v>
      </c>
      <c r="AC45" s="33">
        <f t="shared" ref="AC45:AL54" ca="1" si="44">_xlfn.NORM.INV(RAND(),$A$52,$B$45)</f>
        <v>1.2178465956195608E-2</v>
      </c>
      <c r="AD45" s="33">
        <f t="shared" ca="1" si="44"/>
        <v>1.2220639540892404E-2</v>
      </c>
      <c r="AE45" s="33">
        <f t="shared" ca="1" si="44"/>
        <v>8.8312681071571857E-3</v>
      </c>
      <c r="AF45" s="33">
        <f t="shared" ca="1" si="44"/>
        <v>1.2063118319803473E-2</v>
      </c>
      <c r="AG45" s="33">
        <f t="shared" ca="1" si="44"/>
        <v>7.0008770519919576E-3</v>
      </c>
      <c r="AH45" s="33">
        <f t="shared" ca="1" si="44"/>
        <v>1.1028166747532309E-2</v>
      </c>
      <c r="AI45" s="33">
        <f t="shared" ca="1" si="44"/>
        <v>1.0235579826003958E-2</v>
      </c>
      <c r="AJ45" s="33">
        <f t="shared" ca="1" si="44"/>
        <v>1.1831182915919376E-2</v>
      </c>
      <c r="AK45" s="33">
        <f t="shared" ca="1" si="44"/>
        <v>1.2864926132204826E-2</v>
      </c>
      <c r="AL45" s="33">
        <f t="shared" ca="1" si="44"/>
        <v>1.0970988641485102E-2</v>
      </c>
      <c r="AM45" s="33">
        <f t="shared" ref="AM45:AV54" ca="1" si="45">_xlfn.NORM.INV(RAND(),$A$52,$B$45)</f>
        <v>1.1491365427629362E-2</v>
      </c>
      <c r="AN45" s="33">
        <f t="shared" ca="1" si="45"/>
        <v>1.1066066709901562E-2</v>
      </c>
      <c r="AO45" s="33">
        <f t="shared" ca="1" si="45"/>
        <v>1.0675802871496807E-2</v>
      </c>
      <c r="AP45" s="33">
        <f t="shared" ca="1" si="45"/>
        <v>1.1098763276018248E-2</v>
      </c>
      <c r="AQ45" s="33">
        <f t="shared" ca="1" si="45"/>
        <v>1.115254226216116E-2</v>
      </c>
      <c r="AR45" s="33">
        <f t="shared" ca="1" si="45"/>
        <v>9.3107918916862584E-3</v>
      </c>
      <c r="AS45" s="33">
        <f t="shared" ca="1" si="45"/>
        <v>9.7865106713344013E-3</v>
      </c>
      <c r="AT45" s="33">
        <f t="shared" ca="1" si="45"/>
        <v>1.1422215306970931E-2</v>
      </c>
      <c r="AU45" s="33">
        <f t="shared" ca="1" si="45"/>
        <v>1.2241901750517762E-2</v>
      </c>
      <c r="AV45" s="33">
        <f t="shared" ca="1" si="45"/>
        <v>1.1458493627758236E-2</v>
      </c>
      <c r="AW45" s="33">
        <f t="shared" ref="AW45:BF54" ca="1" si="46">_xlfn.NORM.INV(RAND(),$A$52,$B$45)</f>
        <v>1.178555778793801E-2</v>
      </c>
      <c r="AX45" s="33">
        <f t="shared" ca="1" si="46"/>
        <v>1.4476458206061053E-2</v>
      </c>
      <c r="AY45" s="33">
        <f t="shared" ca="1" si="46"/>
        <v>1.0159596865756534E-2</v>
      </c>
      <c r="AZ45" s="33">
        <f t="shared" ca="1" si="46"/>
        <v>1.0999785945238148E-2</v>
      </c>
      <c r="BA45" s="33">
        <f t="shared" ca="1" si="46"/>
        <v>1.2019494783520591E-2</v>
      </c>
      <c r="BB45" s="33">
        <f t="shared" ca="1" si="46"/>
        <v>9.9001627844564136E-3</v>
      </c>
      <c r="BC45" s="33">
        <f t="shared" ca="1" si="46"/>
        <v>1.1831503603336129E-2</v>
      </c>
      <c r="BD45" s="33">
        <f t="shared" ca="1" si="46"/>
        <v>1.0652814365874711E-2</v>
      </c>
      <c r="BE45" s="33">
        <f t="shared" ca="1" si="46"/>
        <v>1.0037928080763836E-2</v>
      </c>
      <c r="BF45" s="33">
        <f t="shared" ca="1" si="46"/>
        <v>1.1295902002068873E-2</v>
      </c>
      <c r="BG45" s="33">
        <f t="shared" ref="BG45:BP54" ca="1" si="47">_xlfn.NORM.INV(RAND(),$A$52,$B$45)</f>
        <v>8.1484706684530131E-3</v>
      </c>
      <c r="BH45" s="33">
        <f t="shared" ca="1" si="47"/>
        <v>1.0364318964442317E-2</v>
      </c>
      <c r="BI45" s="33">
        <f t="shared" ca="1" si="47"/>
        <v>1.2018633031683715E-2</v>
      </c>
      <c r="BJ45" s="33">
        <f t="shared" ca="1" si="47"/>
        <v>1.0421116704877244E-2</v>
      </c>
      <c r="BK45" s="33">
        <f t="shared" ca="1" si="47"/>
        <v>1.1238579739844828E-2</v>
      </c>
      <c r="BL45" s="33">
        <f t="shared" ca="1" si="47"/>
        <v>1.3462378047043404E-2</v>
      </c>
      <c r="BM45" s="33">
        <f t="shared" ca="1" si="47"/>
        <v>9.3583064153008738E-3</v>
      </c>
      <c r="BN45" s="33">
        <f t="shared" ca="1" si="47"/>
        <v>1.2734081168712641E-2</v>
      </c>
      <c r="BO45" s="33">
        <f t="shared" ca="1" si="47"/>
        <v>1.2998232374586954E-2</v>
      </c>
      <c r="BP45" s="33">
        <f t="shared" ca="1" si="47"/>
        <v>1.0936918773337856E-2</v>
      </c>
      <c r="BQ45" s="33">
        <f t="shared" ref="BQ45:BZ54" ca="1" si="48">_xlfn.NORM.INV(RAND(),$A$52,$B$45)</f>
        <v>1.0049976856677485E-2</v>
      </c>
      <c r="BR45" s="33">
        <f t="shared" ca="1" si="48"/>
        <v>1.1464064818013996E-2</v>
      </c>
      <c r="BS45" s="33">
        <f t="shared" ca="1" si="48"/>
        <v>1.3157559578753157E-2</v>
      </c>
      <c r="BT45" s="33">
        <f t="shared" ca="1" si="48"/>
        <v>1.1663765601475569E-2</v>
      </c>
      <c r="BU45" s="33">
        <f t="shared" ca="1" si="48"/>
        <v>1.0919942982192558E-2</v>
      </c>
      <c r="BV45" s="33">
        <f t="shared" ca="1" si="48"/>
        <v>1.0218604933148119E-2</v>
      </c>
      <c r="BW45" s="33">
        <f t="shared" ca="1" si="48"/>
        <v>1.3894390367908393E-2</v>
      </c>
      <c r="BX45" s="33">
        <f t="shared" ca="1" si="48"/>
        <v>1.3339077680060389E-2</v>
      </c>
      <c r="BY45" s="33">
        <f t="shared" ca="1" si="48"/>
        <v>1.2322869534606139E-2</v>
      </c>
      <c r="BZ45" s="33">
        <f t="shared" ca="1" si="48"/>
        <v>1.1870573147411901E-2</v>
      </c>
      <c r="CA45" s="33">
        <f t="shared" ref="CA45:CJ54" ca="1" si="49">_xlfn.NORM.INV(RAND(),$A$52,$B$45)</f>
        <v>1.0174462811136997E-2</v>
      </c>
      <c r="CB45" s="33">
        <f t="shared" ca="1" si="49"/>
        <v>1.2994132849510551E-2</v>
      </c>
      <c r="CC45" s="33">
        <f t="shared" ca="1" si="49"/>
        <v>1.0736520212531568E-2</v>
      </c>
      <c r="CD45" s="33">
        <f t="shared" ca="1" si="49"/>
        <v>1.3410156850823252E-2</v>
      </c>
      <c r="CE45" s="33">
        <f t="shared" ca="1" si="49"/>
        <v>1.1042804936336635E-2</v>
      </c>
      <c r="CF45" s="33">
        <f t="shared" ca="1" si="49"/>
        <v>1.169162010148325E-2</v>
      </c>
      <c r="CG45" s="33">
        <f t="shared" ca="1" si="49"/>
        <v>1.2557980226844507E-2</v>
      </c>
      <c r="CH45" s="33">
        <f t="shared" ca="1" si="49"/>
        <v>1.1083302215059959E-2</v>
      </c>
      <c r="CI45" s="33">
        <f t="shared" ca="1" si="49"/>
        <v>1.1353532178361287E-2</v>
      </c>
      <c r="CJ45" s="33">
        <f t="shared" ca="1" si="49"/>
        <v>1.2956409660901244E-2</v>
      </c>
      <c r="CK45" s="33">
        <f t="shared" ref="CK45:CT54" ca="1" si="50">_xlfn.NORM.INV(RAND(),$A$52,$B$45)</f>
        <v>1.2116536577111108E-2</v>
      </c>
      <c r="CL45" s="33">
        <f t="shared" ca="1" si="50"/>
        <v>1.0820848124634491E-2</v>
      </c>
      <c r="CM45" s="33">
        <f t="shared" ca="1" si="50"/>
        <v>1.0182446238943113E-2</v>
      </c>
      <c r="CN45" s="33">
        <f t="shared" ca="1" si="50"/>
        <v>1.0730683866531922E-2</v>
      </c>
      <c r="CO45" s="33">
        <f t="shared" ca="1" si="50"/>
        <v>1.1581051703884366E-2</v>
      </c>
      <c r="CP45" s="33">
        <f t="shared" ca="1" si="50"/>
        <v>1.0201128889455877E-2</v>
      </c>
      <c r="CQ45" s="33">
        <f t="shared" ca="1" si="50"/>
        <v>9.0359785757561564E-3</v>
      </c>
      <c r="CR45" s="33">
        <f t="shared" ca="1" si="50"/>
        <v>1.4067922334428091E-2</v>
      </c>
      <c r="CS45" s="33">
        <f t="shared" ca="1" si="50"/>
        <v>1.1034122530163577E-2</v>
      </c>
      <c r="CT45" s="33">
        <f t="shared" ca="1" si="50"/>
        <v>1.1874005684351983E-2</v>
      </c>
      <c r="CU45" s="33">
        <f t="shared" ref="CU45:DD54" ca="1" si="51">_xlfn.NORM.INV(RAND(),$A$52,$B$45)</f>
        <v>1.3331870994600228E-2</v>
      </c>
      <c r="CV45" s="33">
        <f t="shared" ca="1" si="51"/>
        <v>1.2799013312566663E-2</v>
      </c>
      <c r="CW45" s="33">
        <f t="shared" ca="1" si="51"/>
        <v>1.0917573041984987E-2</v>
      </c>
      <c r="CX45" s="33">
        <f t="shared" ca="1" si="51"/>
        <v>1.3917188710796825E-2</v>
      </c>
      <c r="CY45" s="33">
        <f t="shared" ca="1" si="51"/>
        <v>1.122506810535853E-2</v>
      </c>
      <c r="CZ45" s="33">
        <f t="shared" ca="1" si="51"/>
        <v>1.061499196132352E-2</v>
      </c>
      <c r="DA45" s="33">
        <f t="shared" ca="1" si="51"/>
        <v>1.3134597868154855E-2</v>
      </c>
      <c r="DB45" s="33">
        <f t="shared" ca="1" si="51"/>
        <v>9.1706654728650992E-3</v>
      </c>
      <c r="DC45" s="33">
        <f t="shared" ca="1" si="51"/>
        <v>1.0863100001436702E-2</v>
      </c>
      <c r="DD45" s="33">
        <f t="shared" ca="1" si="51"/>
        <v>1.1760494180641309E-2</v>
      </c>
      <c r="DE45" s="33">
        <f t="shared" ref="DE45:DN54" ca="1" si="52">_xlfn.NORM.INV(RAND(),$A$52,$B$45)</f>
        <v>1.2383615448503246E-2</v>
      </c>
      <c r="DF45" s="33">
        <f t="shared" ca="1" si="52"/>
        <v>1.2010250556649961E-2</v>
      </c>
      <c r="DG45" s="33">
        <f t="shared" ca="1" si="52"/>
        <v>1.0387094087418973E-2</v>
      </c>
      <c r="DH45" s="33">
        <f t="shared" ca="1" si="52"/>
        <v>9.9467930071635395E-3</v>
      </c>
      <c r="DI45" s="33">
        <f t="shared" ca="1" si="52"/>
        <v>9.7093353397873297E-3</v>
      </c>
      <c r="DJ45" s="33">
        <f t="shared" ca="1" si="52"/>
        <v>1.2604440163229215E-2</v>
      </c>
      <c r="DK45" s="33">
        <f t="shared" ca="1" si="52"/>
        <v>1.037221981141981E-2</v>
      </c>
      <c r="DL45" s="33">
        <f t="shared" ca="1" si="52"/>
        <v>1.3352444778971944E-2</v>
      </c>
      <c r="DM45" s="33">
        <f t="shared" ca="1" si="52"/>
        <v>1.0481520804232257E-2</v>
      </c>
      <c r="DN45" s="33">
        <f t="shared" ca="1" si="52"/>
        <v>1.075692385728185E-2</v>
      </c>
      <c r="DO45" s="12"/>
      <c r="DP45" s="12"/>
      <c r="DQ45" s="12"/>
    </row>
    <row r="46" spans="1:121" x14ac:dyDescent="0.2">
      <c r="I46" s="32">
        <v>45809</v>
      </c>
      <c r="J46" s="33">
        <f t="shared" ca="1" si="42"/>
        <v>1.1926635099344851E-2</v>
      </c>
      <c r="K46" s="9">
        <v>2413.3199999999997</v>
      </c>
      <c r="L46" s="9">
        <f t="shared" ca="1" si="11"/>
        <v>107866.82463959735</v>
      </c>
      <c r="N46" s="6">
        <v>42</v>
      </c>
      <c r="O46" s="5">
        <v>4.01243994533431</v>
      </c>
      <c r="P46" s="9">
        <v>692619.85541435913</v>
      </c>
      <c r="R46" s="32">
        <v>45809</v>
      </c>
      <c r="S46" s="33">
        <f t="shared" ca="1" si="43"/>
        <v>1.0398373346176984E-2</v>
      </c>
      <c r="T46" s="33">
        <f t="shared" ca="1" si="43"/>
        <v>1.1342906067198653E-2</v>
      </c>
      <c r="U46" s="33">
        <f t="shared" ca="1" si="43"/>
        <v>1.0516836968547201E-2</v>
      </c>
      <c r="V46" s="33">
        <f t="shared" ca="1" si="43"/>
        <v>9.7837454371281704E-3</v>
      </c>
      <c r="W46" s="33">
        <f t="shared" ca="1" si="43"/>
        <v>1.0390566425797975E-2</v>
      </c>
      <c r="X46" s="33">
        <f t="shared" ca="1" si="43"/>
        <v>1.2369717997299447E-2</v>
      </c>
      <c r="Y46" s="33">
        <f t="shared" ca="1" si="43"/>
        <v>1.4569574556988528E-2</v>
      </c>
      <c r="Z46" s="33">
        <f t="shared" ca="1" si="43"/>
        <v>1.3215548464879953E-2</v>
      </c>
      <c r="AA46" s="33">
        <f t="shared" ca="1" si="43"/>
        <v>9.609885170251466E-3</v>
      </c>
      <c r="AB46" s="33">
        <f t="shared" ca="1" si="43"/>
        <v>1.2427196872344864E-2</v>
      </c>
      <c r="AC46" s="33">
        <f t="shared" ca="1" si="44"/>
        <v>1.2601614987581869E-2</v>
      </c>
      <c r="AD46" s="33">
        <f t="shared" ca="1" si="44"/>
        <v>1.1362155172022341E-2</v>
      </c>
      <c r="AE46" s="33">
        <f t="shared" ca="1" si="44"/>
        <v>1.1337752415169796E-2</v>
      </c>
      <c r="AF46" s="33">
        <f t="shared" ca="1" si="44"/>
        <v>1.1991116799168929E-2</v>
      </c>
      <c r="AG46" s="33">
        <f t="shared" ca="1" si="44"/>
        <v>1.0760872270319329E-2</v>
      </c>
      <c r="AH46" s="33">
        <f t="shared" ca="1" si="44"/>
        <v>1.2919173602522295E-2</v>
      </c>
      <c r="AI46" s="33">
        <f t="shared" ca="1" si="44"/>
        <v>1.1385097326295335E-2</v>
      </c>
      <c r="AJ46" s="33">
        <f t="shared" ca="1" si="44"/>
        <v>1.0436036376915137E-2</v>
      </c>
      <c r="AK46" s="33">
        <f t="shared" ca="1" si="44"/>
        <v>1.259450491729288E-2</v>
      </c>
      <c r="AL46" s="33">
        <f t="shared" ca="1" si="44"/>
        <v>9.769922224193997E-3</v>
      </c>
      <c r="AM46" s="33">
        <f t="shared" ca="1" si="45"/>
        <v>7.997797769442528E-3</v>
      </c>
      <c r="AN46" s="33">
        <f t="shared" ca="1" si="45"/>
        <v>1.2608181506728329E-2</v>
      </c>
      <c r="AO46" s="33">
        <f t="shared" ca="1" si="45"/>
        <v>1.0516553721120907E-2</v>
      </c>
      <c r="AP46" s="33">
        <f t="shared" ca="1" si="45"/>
        <v>1.2313605181219708E-2</v>
      </c>
      <c r="AQ46" s="33">
        <f t="shared" ca="1" si="45"/>
        <v>1.104513818680263E-2</v>
      </c>
      <c r="AR46" s="33">
        <f t="shared" ca="1" si="45"/>
        <v>1.2833523014209983E-2</v>
      </c>
      <c r="AS46" s="33">
        <f t="shared" ca="1" si="45"/>
        <v>1.3333319869300236E-2</v>
      </c>
      <c r="AT46" s="33">
        <f t="shared" ca="1" si="45"/>
        <v>1.0799758757032856E-2</v>
      </c>
      <c r="AU46" s="33">
        <f t="shared" ca="1" si="45"/>
        <v>7.6093954925183192E-3</v>
      </c>
      <c r="AV46" s="33">
        <f t="shared" ca="1" si="45"/>
        <v>9.5533995872604874E-3</v>
      </c>
      <c r="AW46" s="33">
        <f t="shared" ca="1" si="46"/>
        <v>1.3493750944418967E-2</v>
      </c>
      <c r="AX46" s="33">
        <f t="shared" ca="1" si="46"/>
        <v>9.7171602144939598E-3</v>
      </c>
      <c r="AY46" s="33">
        <f t="shared" ca="1" si="46"/>
        <v>1.3161324274361594E-2</v>
      </c>
      <c r="AZ46" s="33">
        <f t="shared" ca="1" si="46"/>
        <v>1.1646110856401123E-2</v>
      </c>
      <c r="BA46" s="33">
        <f t="shared" ca="1" si="46"/>
        <v>1.2250385701101568E-2</v>
      </c>
      <c r="BB46" s="33">
        <f t="shared" ca="1" si="46"/>
        <v>1.15027056150205E-2</v>
      </c>
      <c r="BC46" s="33">
        <f t="shared" ca="1" si="46"/>
        <v>1.0213410623257788E-2</v>
      </c>
      <c r="BD46" s="33">
        <f t="shared" ca="1" si="46"/>
        <v>1.1247691378254996E-2</v>
      </c>
      <c r="BE46" s="33">
        <f t="shared" ca="1" si="46"/>
        <v>1.1568682375818328E-2</v>
      </c>
      <c r="BF46" s="33">
        <f t="shared" ca="1" si="46"/>
        <v>1.1344065103923344E-2</v>
      </c>
      <c r="BG46" s="33">
        <f t="shared" ca="1" si="47"/>
        <v>1.1295898524292566E-2</v>
      </c>
      <c r="BH46" s="33">
        <f t="shared" ca="1" si="47"/>
        <v>9.9752018710341367E-3</v>
      </c>
      <c r="BI46" s="33">
        <f t="shared" ca="1" si="47"/>
        <v>1.0296075944991776E-2</v>
      </c>
      <c r="BJ46" s="33">
        <f t="shared" ca="1" si="47"/>
        <v>8.1923041797075692E-3</v>
      </c>
      <c r="BK46" s="33">
        <f t="shared" ca="1" si="47"/>
        <v>7.9613015578678774E-3</v>
      </c>
      <c r="BL46" s="33">
        <f t="shared" ca="1" si="47"/>
        <v>1.0775497722823045E-2</v>
      </c>
      <c r="BM46" s="33">
        <f t="shared" ca="1" si="47"/>
        <v>1.0810648929866712E-2</v>
      </c>
      <c r="BN46" s="33">
        <f t="shared" ca="1" si="47"/>
        <v>1.1088291667821694E-2</v>
      </c>
      <c r="BO46" s="33">
        <f t="shared" ca="1" si="47"/>
        <v>1.0448527754712691E-2</v>
      </c>
      <c r="BP46" s="33">
        <f t="shared" ca="1" si="47"/>
        <v>1.1261255368246174E-2</v>
      </c>
      <c r="BQ46" s="33">
        <f t="shared" ca="1" si="48"/>
        <v>1.0956050801862753E-2</v>
      </c>
      <c r="BR46" s="33">
        <f t="shared" ca="1" si="48"/>
        <v>1.2574780359264313E-2</v>
      </c>
      <c r="BS46" s="33">
        <f t="shared" ca="1" si="48"/>
        <v>1.0687555543311741E-2</v>
      </c>
      <c r="BT46" s="33">
        <f t="shared" ca="1" si="48"/>
        <v>1.1321934606626045E-2</v>
      </c>
      <c r="BU46" s="33">
        <f t="shared" ca="1" si="48"/>
        <v>1.2697861876950848E-2</v>
      </c>
      <c r="BV46" s="33">
        <f t="shared" ca="1" si="48"/>
        <v>1.0371304992578182E-2</v>
      </c>
      <c r="BW46" s="33">
        <f t="shared" ca="1" si="48"/>
        <v>1.3326285812120692E-2</v>
      </c>
      <c r="BX46" s="33">
        <f t="shared" ca="1" si="48"/>
        <v>1.1231218959498865E-2</v>
      </c>
      <c r="BY46" s="33">
        <f t="shared" ca="1" si="48"/>
        <v>1.2213350800059286E-2</v>
      </c>
      <c r="BZ46" s="33">
        <f t="shared" ca="1" si="48"/>
        <v>1.1870692699962307E-2</v>
      </c>
      <c r="CA46" s="33">
        <f t="shared" ca="1" si="49"/>
        <v>1.0757293459965626E-2</v>
      </c>
      <c r="CB46" s="33">
        <f t="shared" ca="1" si="49"/>
        <v>1.1047303224492792E-2</v>
      </c>
      <c r="CC46" s="33">
        <f t="shared" ca="1" si="49"/>
        <v>8.381575779901014E-3</v>
      </c>
      <c r="CD46" s="33">
        <f t="shared" ca="1" si="49"/>
        <v>1.2814433346337965E-2</v>
      </c>
      <c r="CE46" s="33">
        <f t="shared" ca="1" si="49"/>
        <v>1.0649698077979882E-2</v>
      </c>
      <c r="CF46" s="33">
        <f t="shared" ca="1" si="49"/>
        <v>1.1300045424624591E-2</v>
      </c>
      <c r="CG46" s="33">
        <f t="shared" ca="1" si="49"/>
        <v>8.1397700684143412E-3</v>
      </c>
      <c r="CH46" s="33">
        <f t="shared" ca="1" si="49"/>
        <v>1.2170525413301141E-2</v>
      </c>
      <c r="CI46" s="33">
        <f t="shared" ca="1" si="49"/>
        <v>8.8338214308061862E-3</v>
      </c>
      <c r="CJ46" s="33">
        <f t="shared" ca="1" si="49"/>
        <v>1.043040310072166E-2</v>
      </c>
      <c r="CK46" s="33">
        <f t="shared" ca="1" si="50"/>
        <v>1.1718179328971489E-2</v>
      </c>
      <c r="CL46" s="33">
        <f t="shared" ca="1" si="50"/>
        <v>1.1099119800731342E-2</v>
      </c>
      <c r="CM46" s="33">
        <f t="shared" ca="1" si="50"/>
        <v>1.2512684792707984E-2</v>
      </c>
      <c r="CN46" s="33">
        <f t="shared" ca="1" si="50"/>
        <v>1.0790052012243898E-2</v>
      </c>
      <c r="CO46" s="33">
        <f t="shared" ca="1" si="50"/>
        <v>1.3219504954875205E-2</v>
      </c>
      <c r="CP46" s="33">
        <f t="shared" ca="1" si="50"/>
        <v>1.0137251845924518E-2</v>
      </c>
      <c r="CQ46" s="33">
        <f t="shared" ca="1" si="50"/>
        <v>1.1212539454297803E-2</v>
      </c>
      <c r="CR46" s="33">
        <f t="shared" ca="1" si="50"/>
        <v>1.42586512056284E-2</v>
      </c>
      <c r="CS46" s="33">
        <f t="shared" ca="1" si="50"/>
        <v>1.3429424011724868E-2</v>
      </c>
      <c r="CT46" s="33">
        <f t="shared" ca="1" si="50"/>
        <v>1.3112084619048829E-2</v>
      </c>
      <c r="CU46" s="33">
        <f t="shared" ca="1" si="51"/>
        <v>1.124320939698128E-2</v>
      </c>
      <c r="CV46" s="33">
        <f t="shared" ca="1" si="51"/>
        <v>9.5023850685251633E-3</v>
      </c>
      <c r="CW46" s="33">
        <f t="shared" ca="1" si="51"/>
        <v>1.1270793750910191E-2</v>
      </c>
      <c r="CX46" s="33">
        <f t="shared" ca="1" si="51"/>
        <v>1.3596858573320193E-2</v>
      </c>
      <c r="CY46" s="33">
        <f t="shared" ca="1" si="51"/>
        <v>1.2384958332959339E-2</v>
      </c>
      <c r="CZ46" s="33">
        <f t="shared" ca="1" si="51"/>
        <v>1.2248444256109436E-2</v>
      </c>
      <c r="DA46" s="33">
        <f t="shared" ca="1" si="51"/>
        <v>1.2818517895675802E-2</v>
      </c>
      <c r="DB46" s="33">
        <f t="shared" ca="1" si="51"/>
        <v>1.0736231128645518E-2</v>
      </c>
      <c r="DC46" s="33">
        <f t="shared" ca="1" si="51"/>
        <v>1.2016714812260911E-2</v>
      </c>
      <c r="DD46" s="33">
        <f t="shared" ca="1" si="51"/>
        <v>1.0578585254192592E-2</v>
      </c>
      <c r="DE46" s="33">
        <f t="shared" ca="1" si="52"/>
        <v>9.945364612779074E-3</v>
      </c>
      <c r="DF46" s="33">
        <f t="shared" ca="1" si="52"/>
        <v>1.2360226138547384E-2</v>
      </c>
      <c r="DG46" s="33">
        <f t="shared" ca="1" si="52"/>
        <v>1.0855440383623231E-2</v>
      </c>
      <c r="DH46" s="33">
        <f t="shared" ca="1" si="52"/>
        <v>1.0613288978216185E-2</v>
      </c>
      <c r="DI46" s="33">
        <f t="shared" ca="1" si="52"/>
        <v>1.1070813881743923E-2</v>
      </c>
      <c r="DJ46" s="33">
        <f t="shared" ca="1" si="52"/>
        <v>1.310717340828046E-2</v>
      </c>
      <c r="DK46" s="33">
        <f t="shared" ca="1" si="52"/>
        <v>1.3332608266020451E-2</v>
      </c>
      <c r="DL46" s="33">
        <f t="shared" ca="1" si="52"/>
        <v>1.0052464863424492E-2</v>
      </c>
      <c r="DM46" s="33">
        <f t="shared" ca="1" si="52"/>
        <v>1.0858346647673116E-2</v>
      </c>
      <c r="DN46" s="33">
        <f t="shared" ca="1" si="52"/>
        <v>1.3725089927141675E-2</v>
      </c>
      <c r="DO46" s="12"/>
      <c r="DP46" s="12"/>
      <c r="DQ46" s="12"/>
    </row>
    <row r="47" spans="1:121" x14ac:dyDescent="0.2">
      <c r="A47" t="s">
        <v>30</v>
      </c>
      <c r="I47" s="32">
        <v>45839</v>
      </c>
      <c r="J47" s="33">
        <f t="shared" ca="1" si="42"/>
        <v>9.4332037087008491E-3</v>
      </c>
      <c r="K47" s="9">
        <v>2413.3199999999997</v>
      </c>
      <c r="L47" s="9">
        <f t="shared" ca="1" si="11"/>
        <v>111302.48877897213</v>
      </c>
      <c r="N47" s="6">
        <v>43</v>
      </c>
      <c r="O47" s="5">
        <v>3.9508966719176031</v>
      </c>
      <c r="P47" s="9">
        <v>684677.61496172857</v>
      </c>
      <c r="R47" s="32">
        <v>45839</v>
      </c>
      <c r="S47" s="33">
        <f t="shared" ca="1" si="43"/>
        <v>9.5110580774348547E-3</v>
      </c>
      <c r="T47" s="33">
        <f t="shared" ca="1" si="43"/>
        <v>1.1626188583450209E-2</v>
      </c>
      <c r="U47" s="33">
        <f t="shared" ca="1" si="43"/>
        <v>1.1609308527756084E-2</v>
      </c>
      <c r="V47" s="33">
        <f t="shared" ca="1" si="43"/>
        <v>1.0573212628459035E-2</v>
      </c>
      <c r="W47" s="33">
        <f t="shared" ca="1" si="43"/>
        <v>9.761674574939979E-3</v>
      </c>
      <c r="X47" s="33">
        <f t="shared" ca="1" si="43"/>
        <v>1.071563834085428E-2</v>
      </c>
      <c r="Y47" s="33">
        <f t="shared" ca="1" si="43"/>
        <v>1.1261708020361853E-2</v>
      </c>
      <c r="Z47" s="33">
        <f t="shared" ca="1" si="43"/>
        <v>9.3840687674665059E-3</v>
      </c>
      <c r="AA47" s="33">
        <f t="shared" ca="1" si="43"/>
        <v>1.0684466890581928E-2</v>
      </c>
      <c r="AB47" s="33">
        <f t="shared" ca="1" si="43"/>
        <v>9.4339098418048037E-3</v>
      </c>
      <c r="AC47" s="33">
        <f t="shared" ca="1" si="44"/>
        <v>1.2074966431754465E-2</v>
      </c>
      <c r="AD47" s="33">
        <f t="shared" ca="1" si="44"/>
        <v>1.0223202627886648E-2</v>
      </c>
      <c r="AE47" s="33">
        <f t="shared" ca="1" si="44"/>
        <v>9.6073947362642336E-3</v>
      </c>
      <c r="AF47" s="33">
        <f t="shared" ca="1" si="44"/>
        <v>1.0701306006831489E-2</v>
      </c>
      <c r="AG47" s="33">
        <f t="shared" ca="1" si="44"/>
        <v>1.3203362822716074E-2</v>
      </c>
      <c r="AH47" s="33">
        <f t="shared" ca="1" si="44"/>
        <v>1.079021310402041E-2</v>
      </c>
      <c r="AI47" s="33">
        <f t="shared" ca="1" si="44"/>
        <v>1.4028412647340753E-2</v>
      </c>
      <c r="AJ47" s="33">
        <f t="shared" ca="1" si="44"/>
        <v>9.6083133651605514E-3</v>
      </c>
      <c r="AK47" s="33">
        <f t="shared" ca="1" si="44"/>
        <v>1.2790610402176512E-2</v>
      </c>
      <c r="AL47" s="33">
        <f t="shared" ca="1" si="44"/>
        <v>8.7350614885990108E-3</v>
      </c>
      <c r="AM47" s="33">
        <f t="shared" ca="1" si="45"/>
        <v>1.2089134113452017E-2</v>
      </c>
      <c r="AN47" s="33">
        <f t="shared" ca="1" si="45"/>
        <v>1.2486062688676379E-2</v>
      </c>
      <c r="AO47" s="33">
        <f t="shared" ca="1" si="45"/>
        <v>1.5093680648755707E-2</v>
      </c>
      <c r="AP47" s="33">
        <f t="shared" ca="1" si="45"/>
        <v>1.1222526481305303E-2</v>
      </c>
      <c r="AQ47" s="33">
        <f t="shared" ca="1" si="45"/>
        <v>1.0092196179184625E-2</v>
      </c>
      <c r="AR47" s="33">
        <f t="shared" ca="1" si="45"/>
        <v>1.4275210321557597E-2</v>
      </c>
      <c r="AS47" s="33">
        <f t="shared" ca="1" si="45"/>
        <v>1.0968311468043765E-2</v>
      </c>
      <c r="AT47" s="33">
        <f t="shared" ca="1" si="45"/>
        <v>1.3044176707904722E-2</v>
      </c>
      <c r="AU47" s="33">
        <f t="shared" ca="1" si="45"/>
        <v>1.4543397894870715E-2</v>
      </c>
      <c r="AV47" s="33">
        <f t="shared" ca="1" si="45"/>
        <v>1.1329285484419709E-2</v>
      </c>
      <c r="AW47" s="33">
        <f t="shared" ca="1" si="46"/>
        <v>8.2183404159147898E-3</v>
      </c>
      <c r="AX47" s="33">
        <f t="shared" ca="1" si="46"/>
        <v>1.0576578097147581E-2</v>
      </c>
      <c r="AY47" s="33">
        <f t="shared" ca="1" si="46"/>
        <v>1.4943868357776455E-2</v>
      </c>
      <c r="AZ47" s="33">
        <f t="shared" ca="1" si="46"/>
        <v>1.3138850960150971E-2</v>
      </c>
      <c r="BA47" s="33">
        <f t="shared" ca="1" si="46"/>
        <v>1.1286181535243868E-2</v>
      </c>
      <c r="BB47" s="33">
        <f t="shared" ca="1" si="46"/>
        <v>1.0605884780533847E-2</v>
      </c>
      <c r="BC47" s="33">
        <f t="shared" ca="1" si="46"/>
        <v>1.1929144496254918E-2</v>
      </c>
      <c r="BD47" s="33">
        <f t="shared" ca="1" si="46"/>
        <v>1.1936188564879352E-2</v>
      </c>
      <c r="BE47" s="33">
        <f t="shared" ca="1" si="46"/>
        <v>1.058298280121376E-2</v>
      </c>
      <c r="BF47" s="33">
        <f t="shared" ca="1" si="46"/>
        <v>1.1550031668842074E-2</v>
      </c>
      <c r="BG47" s="33">
        <f t="shared" ca="1" si="47"/>
        <v>1.097397263666712E-2</v>
      </c>
      <c r="BH47" s="33">
        <f t="shared" ca="1" si="47"/>
        <v>1.2317502879130728E-2</v>
      </c>
      <c r="BI47" s="33">
        <f t="shared" ca="1" si="47"/>
        <v>1.0894186051849681E-2</v>
      </c>
      <c r="BJ47" s="33">
        <f t="shared" ca="1" si="47"/>
        <v>1.1509290439263069E-2</v>
      </c>
      <c r="BK47" s="33">
        <f t="shared" ca="1" si="47"/>
        <v>1.1481129159442114E-2</v>
      </c>
      <c r="BL47" s="33">
        <f t="shared" ca="1" si="47"/>
        <v>9.9800476430064646E-3</v>
      </c>
      <c r="BM47" s="33">
        <f t="shared" ca="1" si="47"/>
        <v>1.1326970064285832E-2</v>
      </c>
      <c r="BN47" s="33">
        <f t="shared" ca="1" si="47"/>
        <v>9.2284332518643465E-3</v>
      </c>
      <c r="BO47" s="33">
        <f t="shared" ca="1" si="47"/>
        <v>1.1344684312098377E-2</v>
      </c>
      <c r="BP47" s="33">
        <f t="shared" ca="1" si="47"/>
        <v>1.2063194542524996E-2</v>
      </c>
      <c r="BQ47" s="33">
        <f t="shared" ca="1" si="48"/>
        <v>1.2272236135399616E-2</v>
      </c>
      <c r="BR47" s="33">
        <f t="shared" ca="1" si="48"/>
        <v>1.3179937860816169E-2</v>
      </c>
      <c r="BS47" s="33">
        <f t="shared" ca="1" si="48"/>
        <v>1.0751650348926852E-2</v>
      </c>
      <c r="BT47" s="33">
        <f t="shared" ca="1" si="48"/>
        <v>1.1368421449732782E-2</v>
      </c>
      <c r="BU47" s="33">
        <f t="shared" ca="1" si="48"/>
        <v>1.0547971749009963E-2</v>
      </c>
      <c r="BV47" s="33">
        <f t="shared" ca="1" si="48"/>
        <v>1.1557888047646198E-2</v>
      </c>
      <c r="BW47" s="33">
        <f t="shared" ca="1" si="48"/>
        <v>1.0173128501643935E-2</v>
      </c>
      <c r="BX47" s="33">
        <f t="shared" ca="1" si="48"/>
        <v>1.1068529409196117E-2</v>
      </c>
      <c r="BY47" s="33">
        <f t="shared" ca="1" si="48"/>
        <v>1.1385963844004351E-2</v>
      </c>
      <c r="BZ47" s="33">
        <f t="shared" ca="1" si="48"/>
        <v>1.2871546260787774E-2</v>
      </c>
      <c r="CA47" s="33">
        <f t="shared" ca="1" si="49"/>
        <v>1.0979091126860041E-2</v>
      </c>
      <c r="CB47" s="33">
        <f t="shared" ca="1" si="49"/>
        <v>1.4255050863060961E-2</v>
      </c>
      <c r="CC47" s="33">
        <f t="shared" ca="1" si="49"/>
        <v>9.6637756159939133E-3</v>
      </c>
      <c r="CD47" s="33">
        <f t="shared" ca="1" si="49"/>
        <v>9.5015805151112635E-3</v>
      </c>
      <c r="CE47" s="33">
        <f t="shared" ca="1" si="49"/>
        <v>1.1240750145180591E-2</v>
      </c>
      <c r="CF47" s="33">
        <f t="shared" ca="1" si="49"/>
        <v>1.0520524617287353E-2</v>
      </c>
      <c r="CG47" s="33">
        <f t="shared" ca="1" si="49"/>
        <v>1.0814893574364864E-2</v>
      </c>
      <c r="CH47" s="33">
        <f t="shared" ca="1" si="49"/>
        <v>1.0909431264091161E-2</v>
      </c>
      <c r="CI47" s="33">
        <f t="shared" ca="1" si="49"/>
        <v>1.1512867663884376E-2</v>
      </c>
      <c r="CJ47" s="33">
        <f t="shared" ca="1" si="49"/>
        <v>1.0016103112895828E-2</v>
      </c>
      <c r="CK47" s="33">
        <f t="shared" ca="1" si="50"/>
        <v>1.119523356641035E-2</v>
      </c>
      <c r="CL47" s="33">
        <f t="shared" ca="1" si="50"/>
        <v>1.1923607968556153E-2</v>
      </c>
      <c r="CM47" s="33">
        <f t="shared" ca="1" si="50"/>
        <v>1.2703554775521571E-2</v>
      </c>
      <c r="CN47" s="33">
        <f t="shared" ca="1" si="50"/>
        <v>1.1823086816035722E-2</v>
      </c>
      <c r="CO47" s="33">
        <f t="shared" ca="1" si="50"/>
        <v>1.433221808717209E-2</v>
      </c>
      <c r="CP47" s="33">
        <f t="shared" ca="1" si="50"/>
        <v>1.1345814134934927E-2</v>
      </c>
      <c r="CQ47" s="33">
        <f t="shared" ca="1" si="50"/>
        <v>1.0090790652054725E-2</v>
      </c>
      <c r="CR47" s="33">
        <f t="shared" ca="1" si="50"/>
        <v>9.342300317194149E-3</v>
      </c>
      <c r="CS47" s="33">
        <f t="shared" ca="1" si="50"/>
        <v>9.4673378818363428E-3</v>
      </c>
      <c r="CT47" s="33">
        <f t="shared" ca="1" si="50"/>
        <v>1.2478812899483683E-2</v>
      </c>
      <c r="CU47" s="33">
        <f t="shared" ca="1" si="51"/>
        <v>1.1792426970187446E-2</v>
      </c>
      <c r="CV47" s="33">
        <f t="shared" ca="1" si="51"/>
        <v>1.0003333977482317E-2</v>
      </c>
      <c r="CW47" s="33">
        <f t="shared" ca="1" si="51"/>
        <v>1.4159221754354006E-2</v>
      </c>
      <c r="CX47" s="33">
        <f t="shared" ca="1" si="51"/>
        <v>1.1709373201071691E-2</v>
      </c>
      <c r="CY47" s="33">
        <f t="shared" ca="1" si="51"/>
        <v>9.2655270219115498E-3</v>
      </c>
      <c r="CZ47" s="33">
        <f t="shared" ca="1" si="51"/>
        <v>1.0841916156590059E-2</v>
      </c>
      <c r="DA47" s="33">
        <f t="shared" ca="1" si="51"/>
        <v>1.064513163885477E-2</v>
      </c>
      <c r="DB47" s="33">
        <f t="shared" ca="1" si="51"/>
        <v>1.0788715101106874E-2</v>
      </c>
      <c r="DC47" s="33">
        <f t="shared" ca="1" si="51"/>
        <v>1.1231890676058277E-2</v>
      </c>
      <c r="DD47" s="33">
        <f t="shared" ca="1" si="51"/>
        <v>1.4452954040775588E-2</v>
      </c>
      <c r="DE47" s="33">
        <f t="shared" ca="1" si="52"/>
        <v>1.0815706982132012E-2</v>
      </c>
      <c r="DF47" s="33">
        <f t="shared" ca="1" si="52"/>
        <v>1.1367576763670336E-2</v>
      </c>
      <c r="DG47" s="33">
        <f t="shared" ca="1" si="52"/>
        <v>1.3321392680801505E-2</v>
      </c>
      <c r="DH47" s="33">
        <f t="shared" ca="1" si="52"/>
        <v>6.896050910584821E-3</v>
      </c>
      <c r="DI47" s="33">
        <f t="shared" ca="1" si="52"/>
        <v>1.0267142167340619E-2</v>
      </c>
      <c r="DJ47" s="33">
        <f t="shared" ca="1" si="52"/>
        <v>9.1673906896673398E-3</v>
      </c>
      <c r="DK47" s="33">
        <f t="shared" ca="1" si="52"/>
        <v>1.3217314155387084E-2</v>
      </c>
      <c r="DL47" s="33">
        <f t="shared" ca="1" si="52"/>
        <v>1.1428121644395431E-2</v>
      </c>
      <c r="DM47" s="33">
        <f t="shared" ca="1" si="52"/>
        <v>1.3048115504658214E-2</v>
      </c>
      <c r="DN47" s="33">
        <f t="shared" ca="1" si="52"/>
        <v>1.3194102602937664E-2</v>
      </c>
      <c r="DO47" s="12"/>
      <c r="DP47" s="12"/>
      <c r="DQ47" s="12"/>
    </row>
    <row r="48" spans="1:121" x14ac:dyDescent="0.2">
      <c r="A48" t="s">
        <v>25</v>
      </c>
      <c r="B48" t="s">
        <v>26</v>
      </c>
      <c r="C48" t="s">
        <v>27</v>
      </c>
      <c r="D48" t="s">
        <v>33</v>
      </c>
      <c r="I48" s="32">
        <v>45870</v>
      </c>
      <c r="J48" s="33">
        <f t="shared" ca="1" si="42"/>
        <v>1.2182619895376843E-2</v>
      </c>
      <c r="K48" s="9">
        <v>2413.3199999999997</v>
      </c>
      <c r="L48" s="9">
        <f t="shared" ca="1" si="11"/>
        <v>115080.05788430516</v>
      </c>
      <c r="N48" s="6">
        <v>44</v>
      </c>
      <c r="O48" s="5">
        <v>3.8666414816984784</v>
      </c>
      <c r="P48" s="9">
        <v>679711.18837118347</v>
      </c>
      <c r="R48" s="32">
        <v>45870</v>
      </c>
      <c r="S48" s="33">
        <f t="shared" ca="1" si="43"/>
        <v>1.3060235200664861E-2</v>
      </c>
      <c r="T48" s="33">
        <f t="shared" ca="1" si="43"/>
        <v>1.2412967800967123E-2</v>
      </c>
      <c r="U48" s="33">
        <f t="shared" ca="1" si="43"/>
        <v>1.038240127372553E-2</v>
      </c>
      <c r="V48" s="33">
        <f t="shared" ca="1" si="43"/>
        <v>1.2157616922718779E-2</v>
      </c>
      <c r="W48" s="33">
        <f t="shared" ca="1" si="43"/>
        <v>1.194770006246155E-2</v>
      </c>
      <c r="X48" s="33">
        <f t="shared" ca="1" si="43"/>
        <v>1.0234163007651509E-2</v>
      </c>
      <c r="Y48" s="33">
        <f t="shared" ca="1" si="43"/>
        <v>1.0392694172173523E-2</v>
      </c>
      <c r="Z48" s="33">
        <f t="shared" ca="1" si="43"/>
        <v>1.1010708686895299E-2</v>
      </c>
      <c r="AA48" s="33">
        <f t="shared" ca="1" si="43"/>
        <v>1.2107573821390886E-2</v>
      </c>
      <c r="AB48" s="33">
        <f t="shared" ca="1" si="43"/>
        <v>8.8651060656481824E-3</v>
      </c>
      <c r="AC48" s="33">
        <f t="shared" ca="1" si="44"/>
        <v>1.0909027510424035E-2</v>
      </c>
      <c r="AD48" s="33">
        <f t="shared" ca="1" si="44"/>
        <v>1.1395520196265871E-2</v>
      </c>
      <c r="AE48" s="33">
        <f t="shared" ca="1" si="44"/>
        <v>1.5058646250248761E-2</v>
      </c>
      <c r="AF48" s="33">
        <f t="shared" ca="1" si="44"/>
        <v>1.2077769807779816E-2</v>
      </c>
      <c r="AG48" s="33">
        <f t="shared" ca="1" si="44"/>
        <v>1.0010709542826717E-2</v>
      </c>
      <c r="AH48" s="33">
        <f t="shared" ca="1" si="44"/>
        <v>1.0998420287917327E-2</v>
      </c>
      <c r="AI48" s="33">
        <f t="shared" ca="1" si="44"/>
        <v>1.2181223219706782E-2</v>
      </c>
      <c r="AJ48" s="33">
        <f t="shared" ca="1" si="44"/>
        <v>1.213567086429139E-2</v>
      </c>
      <c r="AK48" s="33">
        <f t="shared" ca="1" si="44"/>
        <v>1.1261138243757874E-2</v>
      </c>
      <c r="AL48" s="33">
        <f t="shared" ca="1" si="44"/>
        <v>1.134046865512465E-2</v>
      </c>
      <c r="AM48" s="33">
        <f t="shared" ca="1" si="45"/>
        <v>9.692083518269768E-3</v>
      </c>
      <c r="AN48" s="33">
        <f t="shared" ca="1" si="45"/>
        <v>1.0633475215728988E-2</v>
      </c>
      <c r="AO48" s="33">
        <f t="shared" ca="1" si="45"/>
        <v>9.1158546502680977E-3</v>
      </c>
      <c r="AP48" s="33">
        <f t="shared" ca="1" si="45"/>
        <v>9.7396536424502484E-3</v>
      </c>
      <c r="AQ48" s="33">
        <f t="shared" ca="1" si="45"/>
        <v>1.053548425204447E-2</v>
      </c>
      <c r="AR48" s="33">
        <f t="shared" ca="1" si="45"/>
        <v>9.3045416144195998E-3</v>
      </c>
      <c r="AS48" s="33">
        <f t="shared" ca="1" si="45"/>
        <v>1.0698888987452665E-2</v>
      </c>
      <c r="AT48" s="33">
        <f t="shared" ca="1" si="45"/>
        <v>1.1895367937670178E-2</v>
      </c>
      <c r="AU48" s="33">
        <f t="shared" ca="1" si="45"/>
        <v>1.4743259189554084E-2</v>
      </c>
      <c r="AV48" s="33">
        <f t="shared" ca="1" si="45"/>
        <v>1.2733809157781037E-2</v>
      </c>
      <c r="AW48" s="33">
        <f t="shared" ca="1" si="46"/>
        <v>1.2861039356037295E-2</v>
      </c>
      <c r="AX48" s="33">
        <f t="shared" ca="1" si="46"/>
        <v>1.426397934308176E-2</v>
      </c>
      <c r="AY48" s="33">
        <f t="shared" ca="1" si="46"/>
        <v>9.7544039252632306E-3</v>
      </c>
      <c r="AZ48" s="33">
        <f t="shared" ca="1" si="46"/>
        <v>1.1391570438965343E-2</v>
      </c>
      <c r="BA48" s="33">
        <f t="shared" ca="1" si="46"/>
        <v>1.1985923171894518E-2</v>
      </c>
      <c r="BB48" s="33">
        <f t="shared" ca="1" si="46"/>
        <v>1.2343018303577568E-2</v>
      </c>
      <c r="BC48" s="33">
        <f t="shared" ca="1" si="46"/>
        <v>8.9714581912828262E-3</v>
      </c>
      <c r="BD48" s="33">
        <f t="shared" ca="1" si="46"/>
        <v>9.9674104347747122E-3</v>
      </c>
      <c r="BE48" s="33">
        <f t="shared" ca="1" si="46"/>
        <v>9.546445598794407E-3</v>
      </c>
      <c r="BF48" s="33">
        <f t="shared" ca="1" si="46"/>
        <v>7.9675501538846935E-3</v>
      </c>
      <c r="BG48" s="33">
        <f t="shared" ca="1" si="47"/>
        <v>9.7227488763244902E-3</v>
      </c>
      <c r="BH48" s="33">
        <f t="shared" ca="1" si="47"/>
        <v>1.3163031046961288E-2</v>
      </c>
      <c r="BI48" s="33">
        <f t="shared" ca="1" si="47"/>
        <v>9.9750457373041935E-3</v>
      </c>
      <c r="BJ48" s="33">
        <f t="shared" ca="1" si="47"/>
        <v>1.3698137143641868E-2</v>
      </c>
      <c r="BK48" s="33">
        <f t="shared" ca="1" si="47"/>
        <v>1.0055096592276328E-2</v>
      </c>
      <c r="BL48" s="33">
        <f t="shared" ca="1" si="47"/>
        <v>1.2266488308792059E-2</v>
      </c>
      <c r="BM48" s="33">
        <f t="shared" ca="1" si="47"/>
        <v>9.8060329884196891E-3</v>
      </c>
      <c r="BN48" s="33">
        <f t="shared" ca="1" si="47"/>
        <v>1.0375534883485832E-2</v>
      </c>
      <c r="BO48" s="33">
        <f t="shared" ca="1" si="47"/>
        <v>1.0300059280782658E-2</v>
      </c>
      <c r="BP48" s="33">
        <f t="shared" ca="1" si="47"/>
        <v>1.4433108708143821E-2</v>
      </c>
      <c r="BQ48" s="33">
        <f t="shared" ca="1" si="48"/>
        <v>1.2611144802694343E-2</v>
      </c>
      <c r="BR48" s="33">
        <f t="shared" ca="1" si="48"/>
        <v>1.1042764752090144E-2</v>
      </c>
      <c r="BS48" s="33">
        <f t="shared" ca="1" si="48"/>
        <v>1.2382920690965946E-2</v>
      </c>
      <c r="BT48" s="33">
        <f t="shared" ca="1" si="48"/>
        <v>1.0620611046380403E-2</v>
      </c>
      <c r="BU48" s="33">
        <f t="shared" ca="1" si="48"/>
        <v>8.0131821060186251E-3</v>
      </c>
      <c r="BV48" s="33">
        <f t="shared" ca="1" si="48"/>
        <v>1.0222175343741417E-2</v>
      </c>
      <c r="BW48" s="33">
        <f t="shared" ca="1" si="48"/>
        <v>1.1116560977400729E-2</v>
      </c>
      <c r="BX48" s="33">
        <f t="shared" ca="1" si="48"/>
        <v>9.2603146460290206E-3</v>
      </c>
      <c r="BY48" s="33">
        <f t="shared" ca="1" si="48"/>
        <v>7.8013041895762273E-3</v>
      </c>
      <c r="BZ48" s="33">
        <f t="shared" ca="1" si="48"/>
        <v>1.2732877014803143E-2</v>
      </c>
      <c r="CA48" s="33">
        <f t="shared" ca="1" si="49"/>
        <v>1.0729147859109757E-2</v>
      </c>
      <c r="CB48" s="33">
        <f t="shared" ca="1" si="49"/>
        <v>9.8279189055713329E-3</v>
      </c>
      <c r="CC48" s="33">
        <f t="shared" ca="1" si="49"/>
        <v>1.1206250686743795E-2</v>
      </c>
      <c r="CD48" s="33">
        <f t="shared" ca="1" si="49"/>
        <v>1.2873142430810738E-2</v>
      </c>
      <c r="CE48" s="33">
        <f t="shared" ca="1" si="49"/>
        <v>1.1612305335152969E-2</v>
      </c>
      <c r="CF48" s="33">
        <f t="shared" ca="1" si="49"/>
        <v>1.079093022954843E-2</v>
      </c>
      <c r="CG48" s="33">
        <f t="shared" ca="1" si="49"/>
        <v>8.7364891276323093E-3</v>
      </c>
      <c r="CH48" s="33">
        <f t="shared" ca="1" si="49"/>
        <v>1.2034668295140789E-2</v>
      </c>
      <c r="CI48" s="33">
        <f t="shared" ca="1" si="49"/>
        <v>1.1265203570495949E-2</v>
      </c>
      <c r="CJ48" s="33">
        <f t="shared" ca="1" si="49"/>
        <v>1.2271781951312196E-2</v>
      </c>
      <c r="CK48" s="33">
        <f t="shared" ca="1" si="50"/>
        <v>9.6577698906379246E-3</v>
      </c>
      <c r="CL48" s="33">
        <f t="shared" ca="1" si="50"/>
        <v>1.2363239866395832E-2</v>
      </c>
      <c r="CM48" s="33">
        <f t="shared" ca="1" si="50"/>
        <v>1.1303666413324575E-2</v>
      </c>
      <c r="CN48" s="33">
        <f t="shared" ca="1" si="50"/>
        <v>1.3205780125202083E-2</v>
      </c>
      <c r="CO48" s="33">
        <f t="shared" ca="1" si="50"/>
        <v>1.2054275625776921E-2</v>
      </c>
      <c r="CP48" s="33">
        <f t="shared" ca="1" si="50"/>
        <v>1.3021004291737569E-2</v>
      </c>
      <c r="CQ48" s="33">
        <f t="shared" ca="1" si="50"/>
        <v>1.3197807126038241E-2</v>
      </c>
      <c r="CR48" s="33">
        <f t="shared" ca="1" si="50"/>
        <v>1.3186788506364846E-2</v>
      </c>
      <c r="CS48" s="33">
        <f t="shared" ca="1" si="50"/>
        <v>1.1955318548358719E-2</v>
      </c>
      <c r="CT48" s="33">
        <f t="shared" ca="1" si="50"/>
        <v>9.60465738613819E-3</v>
      </c>
      <c r="CU48" s="33">
        <f t="shared" ca="1" si="51"/>
        <v>1.2096541828523846E-2</v>
      </c>
      <c r="CV48" s="33">
        <f t="shared" ca="1" si="51"/>
        <v>1.0008368353778371E-2</v>
      </c>
      <c r="CW48" s="33">
        <f t="shared" ca="1" si="51"/>
        <v>1.2583821347068877E-2</v>
      </c>
      <c r="CX48" s="33">
        <f t="shared" ca="1" si="51"/>
        <v>1.249498279108093E-2</v>
      </c>
      <c r="CY48" s="33">
        <f t="shared" ca="1" si="51"/>
        <v>1.2119801839580918E-2</v>
      </c>
      <c r="CZ48" s="33">
        <f t="shared" ca="1" si="51"/>
        <v>8.5909991625787822E-3</v>
      </c>
      <c r="DA48" s="33">
        <f t="shared" ca="1" si="51"/>
        <v>1.2834428588874227E-2</v>
      </c>
      <c r="DB48" s="33">
        <f t="shared" ca="1" si="51"/>
        <v>1.2091174847241098E-2</v>
      </c>
      <c r="DC48" s="33">
        <f t="shared" ca="1" si="51"/>
        <v>1.0853899161721246E-2</v>
      </c>
      <c r="DD48" s="33">
        <f t="shared" ca="1" si="51"/>
        <v>1.1999947113054753E-2</v>
      </c>
      <c r="DE48" s="33">
        <f t="shared" ca="1" si="52"/>
        <v>1.2425821007909871E-2</v>
      </c>
      <c r="DF48" s="33">
        <f t="shared" ca="1" si="52"/>
        <v>1.2804275020485728E-2</v>
      </c>
      <c r="DG48" s="33">
        <f t="shared" ca="1" si="52"/>
        <v>1.1364832688995968E-2</v>
      </c>
      <c r="DH48" s="33">
        <f t="shared" ca="1" si="52"/>
        <v>1.3853987340487968E-2</v>
      </c>
      <c r="DI48" s="33">
        <f t="shared" ca="1" si="52"/>
        <v>1.0490289619745692E-2</v>
      </c>
      <c r="DJ48" s="33">
        <f t="shared" ca="1" si="52"/>
        <v>1.27641104088775E-2</v>
      </c>
      <c r="DK48" s="33">
        <f t="shared" ca="1" si="52"/>
        <v>1.2295537499263865E-2</v>
      </c>
      <c r="DL48" s="33">
        <f t="shared" ca="1" si="52"/>
        <v>1.30814717999818E-2</v>
      </c>
      <c r="DM48" s="33">
        <f t="shared" ca="1" si="52"/>
        <v>9.6362201086247247E-3</v>
      </c>
      <c r="DN48" s="33">
        <f t="shared" ca="1" si="52"/>
        <v>1.0658212737475341E-2</v>
      </c>
      <c r="DO48" s="12"/>
      <c r="DP48" s="12"/>
      <c r="DQ48" s="12"/>
    </row>
    <row r="49" spans="1:121" x14ac:dyDescent="0.2">
      <c r="A49">
        <v>0.32931827369248168</v>
      </c>
      <c r="B49">
        <v>0.46406518675430392</v>
      </c>
      <c r="C49">
        <v>0.20661653955321446</v>
      </c>
      <c r="D49">
        <v>1</v>
      </c>
      <c r="I49" s="32">
        <v>45901</v>
      </c>
      <c r="J49" s="33">
        <f t="shared" ca="1" si="42"/>
        <v>7.8978499134844393E-3</v>
      </c>
      <c r="K49" s="9">
        <v>2413.3199999999997</v>
      </c>
      <c r="L49" s="9">
        <f t="shared" ca="1" si="11"/>
        <v>118405.86149572887</v>
      </c>
      <c r="N49" s="6">
        <v>45</v>
      </c>
      <c r="O49" s="5">
        <v>4.0025102628571227</v>
      </c>
      <c r="P49" s="9">
        <v>690715.63672949653</v>
      </c>
      <c r="R49" s="32">
        <v>45901</v>
      </c>
      <c r="S49" s="33">
        <f t="shared" ca="1" si="43"/>
        <v>1.273470543679924E-2</v>
      </c>
      <c r="T49" s="33">
        <f t="shared" ca="1" si="43"/>
        <v>9.8447540805012348E-3</v>
      </c>
      <c r="U49" s="33">
        <f t="shared" ca="1" si="43"/>
        <v>1.2258447009354755E-2</v>
      </c>
      <c r="V49" s="33">
        <f t="shared" ca="1" si="43"/>
        <v>9.4881857943056799E-3</v>
      </c>
      <c r="W49" s="33">
        <f t="shared" ca="1" si="43"/>
        <v>1.270855900161042E-2</v>
      </c>
      <c r="X49" s="33">
        <f t="shared" ca="1" si="43"/>
        <v>1.5830210017658063E-2</v>
      </c>
      <c r="Y49" s="33">
        <f t="shared" ca="1" si="43"/>
        <v>1.1263387048583637E-2</v>
      </c>
      <c r="Z49" s="33">
        <f t="shared" ca="1" si="43"/>
        <v>1.2512002033917327E-2</v>
      </c>
      <c r="AA49" s="33">
        <f t="shared" ca="1" si="43"/>
        <v>1.0849119826792274E-2</v>
      </c>
      <c r="AB49" s="33">
        <f t="shared" ca="1" si="43"/>
        <v>1.0535364075210999E-2</v>
      </c>
      <c r="AC49" s="33">
        <f t="shared" ca="1" si="44"/>
        <v>1.2379195475394159E-2</v>
      </c>
      <c r="AD49" s="33">
        <f t="shared" ca="1" si="44"/>
        <v>1.2176794892112834E-2</v>
      </c>
      <c r="AE49" s="33">
        <f t="shared" ca="1" si="44"/>
        <v>1.1288789172745591E-2</v>
      </c>
      <c r="AF49" s="33">
        <f t="shared" ca="1" si="44"/>
        <v>1.0201894908117681E-2</v>
      </c>
      <c r="AG49" s="33">
        <f t="shared" ca="1" si="44"/>
        <v>1.2173493473307659E-2</v>
      </c>
      <c r="AH49" s="33">
        <f t="shared" ca="1" si="44"/>
        <v>1.0554964120127523E-2</v>
      </c>
      <c r="AI49" s="33">
        <f t="shared" ca="1" si="44"/>
        <v>1.3152589735932066E-2</v>
      </c>
      <c r="AJ49" s="33">
        <f t="shared" ca="1" si="44"/>
        <v>1.0359127997177513E-2</v>
      </c>
      <c r="AK49" s="33">
        <f t="shared" ca="1" si="44"/>
        <v>1.2096801377311416E-2</v>
      </c>
      <c r="AL49" s="33">
        <f t="shared" ca="1" si="44"/>
        <v>1.2966875949666307E-2</v>
      </c>
      <c r="AM49" s="33">
        <f t="shared" ca="1" si="45"/>
        <v>1.1264773848060329E-2</v>
      </c>
      <c r="AN49" s="33">
        <f t="shared" ca="1" si="45"/>
        <v>1.2080136363062027E-2</v>
      </c>
      <c r="AO49" s="33">
        <f t="shared" ca="1" si="45"/>
        <v>1.3635834376045049E-2</v>
      </c>
      <c r="AP49" s="33">
        <f t="shared" ca="1" si="45"/>
        <v>1.2445788996294074E-2</v>
      </c>
      <c r="AQ49" s="33">
        <f t="shared" ca="1" si="45"/>
        <v>1.439380927195408E-2</v>
      </c>
      <c r="AR49" s="33">
        <f t="shared" ca="1" si="45"/>
        <v>1.220829720716494E-2</v>
      </c>
      <c r="AS49" s="33">
        <f t="shared" ca="1" si="45"/>
        <v>1.1264709239776991E-2</v>
      </c>
      <c r="AT49" s="33">
        <f t="shared" ca="1" si="45"/>
        <v>1.1389053371525531E-2</v>
      </c>
      <c r="AU49" s="33">
        <f t="shared" ca="1" si="45"/>
        <v>1.0714755084327374E-2</v>
      </c>
      <c r="AV49" s="33">
        <f t="shared" ca="1" si="45"/>
        <v>9.9849550767525472E-3</v>
      </c>
      <c r="AW49" s="33">
        <f t="shared" ca="1" si="46"/>
        <v>1.067361360534462E-2</v>
      </c>
      <c r="AX49" s="33">
        <f t="shared" ca="1" si="46"/>
        <v>1.1647367185696431E-2</v>
      </c>
      <c r="AY49" s="33">
        <f t="shared" ca="1" si="46"/>
        <v>1.2395199999013362E-2</v>
      </c>
      <c r="AZ49" s="33">
        <f t="shared" ca="1" si="46"/>
        <v>1.0285570597826341E-2</v>
      </c>
      <c r="BA49" s="33">
        <f t="shared" ca="1" si="46"/>
        <v>1.1491683017075179E-2</v>
      </c>
      <c r="BB49" s="33">
        <f t="shared" ca="1" si="46"/>
        <v>1.2736302016141747E-2</v>
      </c>
      <c r="BC49" s="33">
        <f t="shared" ca="1" si="46"/>
        <v>1.171052109856904E-2</v>
      </c>
      <c r="BD49" s="33">
        <f t="shared" ca="1" si="46"/>
        <v>1.2165137449976231E-2</v>
      </c>
      <c r="BE49" s="33">
        <f t="shared" ca="1" si="46"/>
        <v>1.1799928046348624E-2</v>
      </c>
      <c r="BF49" s="33">
        <f t="shared" ca="1" si="46"/>
        <v>1.2116667386053362E-2</v>
      </c>
      <c r="BG49" s="33">
        <f t="shared" ca="1" si="47"/>
        <v>1.2161442559610849E-2</v>
      </c>
      <c r="BH49" s="33">
        <f t="shared" ca="1" si="47"/>
        <v>1.3580615909104065E-2</v>
      </c>
      <c r="BI49" s="33">
        <f t="shared" ca="1" si="47"/>
        <v>1.0152854704657108E-2</v>
      </c>
      <c r="BJ49" s="33">
        <f t="shared" ca="1" si="47"/>
        <v>1.1471749635209137E-2</v>
      </c>
      <c r="BK49" s="33">
        <f t="shared" ca="1" si="47"/>
        <v>1.1706251775849542E-2</v>
      </c>
      <c r="BL49" s="33">
        <f t="shared" ca="1" si="47"/>
        <v>1.1370630752333631E-2</v>
      </c>
      <c r="BM49" s="33">
        <f t="shared" ca="1" si="47"/>
        <v>1.1902667890498242E-2</v>
      </c>
      <c r="BN49" s="33">
        <f t="shared" ca="1" si="47"/>
        <v>1.1161387118067113E-2</v>
      </c>
      <c r="BO49" s="33">
        <f t="shared" ca="1" si="47"/>
        <v>1.1885008129576539E-2</v>
      </c>
      <c r="BP49" s="33">
        <f t="shared" ca="1" si="47"/>
        <v>9.8407671366134274E-3</v>
      </c>
      <c r="BQ49" s="33">
        <f t="shared" ca="1" si="48"/>
        <v>1.3039298055592488E-2</v>
      </c>
      <c r="BR49" s="33">
        <f t="shared" ca="1" si="48"/>
        <v>1.1334837104953427E-2</v>
      </c>
      <c r="BS49" s="33">
        <f t="shared" ca="1" si="48"/>
        <v>1.3259099078809854E-2</v>
      </c>
      <c r="BT49" s="33">
        <f t="shared" ca="1" si="48"/>
        <v>1.1163065407994272E-2</v>
      </c>
      <c r="BU49" s="33">
        <f t="shared" ca="1" si="48"/>
        <v>9.5855975584384148E-3</v>
      </c>
      <c r="BV49" s="33">
        <f t="shared" ca="1" si="48"/>
        <v>1.206504998292132E-2</v>
      </c>
      <c r="BW49" s="33">
        <f t="shared" ca="1" si="48"/>
        <v>8.440048426765611E-3</v>
      </c>
      <c r="BX49" s="33">
        <f t="shared" ca="1" si="48"/>
        <v>1.0714062357470492E-2</v>
      </c>
      <c r="BY49" s="33">
        <f t="shared" ca="1" si="48"/>
        <v>1.3437872336291838E-2</v>
      </c>
      <c r="BZ49" s="33">
        <f t="shared" ca="1" si="48"/>
        <v>1.190891257524165E-2</v>
      </c>
      <c r="CA49" s="33">
        <f t="shared" ca="1" si="49"/>
        <v>1.1297861643640267E-2</v>
      </c>
      <c r="CB49" s="33">
        <f t="shared" ca="1" si="49"/>
        <v>1.1928967849457357E-2</v>
      </c>
      <c r="CC49" s="33">
        <f t="shared" ca="1" si="49"/>
        <v>1.191112329661238E-2</v>
      </c>
      <c r="CD49" s="33">
        <f t="shared" ca="1" si="49"/>
        <v>1.022220344249784E-2</v>
      </c>
      <c r="CE49" s="33">
        <f t="shared" ca="1" si="49"/>
        <v>1.0431969672738833E-2</v>
      </c>
      <c r="CF49" s="33">
        <f t="shared" ca="1" si="49"/>
        <v>1.0743695490248818E-2</v>
      </c>
      <c r="CG49" s="33">
        <f t="shared" ca="1" si="49"/>
        <v>1.1184813888377911E-2</v>
      </c>
      <c r="CH49" s="33">
        <f t="shared" ca="1" si="49"/>
        <v>1.1383171040617677E-2</v>
      </c>
      <c r="CI49" s="33">
        <f t="shared" ca="1" si="49"/>
        <v>1.1378937101814158E-2</v>
      </c>
      <c r="CJ49" s="33">
        <f t="shared" ca="1" si="49"/>
        <v>1.1190652712147973E-2</v>
      </c>
      <c r="CK49" s="33">
        <f t="shared" ca="1" si="50"/>
        <v>1.0296078923214618E-2</v>
      </c>
      <c r="CL49" s="33">
        <f t="shared" ca="1" si="50"/>
        <v>1.1307289044148652E-2</v>
      </c>
      <c r="CM49" s="33">
        <f t="shared" ca="1" si="50"/>
        <v>1.1253937773186401E-2</v>
      </c>
      <c r="CN49" s="33">
        <f t="shared" ca="1" si="50"/>
        <v>1.1923711690087812E-2</v>
      </c>
      <c r="CO49" s="33">
        <f t="shared" ca="1" si="50"/>
        <v>1.403884796687169E-2</v>
      </c>
      <c r="CP49" s="33">
        <f t="shared" ca="1" si="50"/>
        <v>7.9024546016011003E-3</v>
      </c>
      <c r="CQ49" s="33">
        <f t="shared" ca="1" si="50"/>
        <v>1.1762593122092791E-2</v>
      </c>
      <c r="CR49" s="33">
        <f t="shared" ca="1" si="50"/>
        <v>1.153652740985407E-2</v>
      </c>
      <c r="CS49" s="33">
        <f t="shared" ca="1" si="50"/>
        <v>9.588284972445368E-3</v>
      </c>
      <c r="CT49" s="33">
        <f t="shared" ca="1" si="50"/>
        <v>1.3119522990889049E-2</v>
      </c>
      <c r="CU49" s="33">
        <f t="shared" ca="1" si="51"/>
        <v>1.2252158138251788E-2</v>
      </c>
      <c r="CV49" s="33">
        <f t="shared" ca="1" si="51"/>
        <v>1.0239443753113526E-2</v>
      </c>
      <c r="CW49" s="33">
        <f t="shared" ca="1" si="51"/>
        <v>1.0548889934219659E-2</v>
      </c>
      <c r="CX49" s="33">
        <f t="shared" ca="1" si="51"/>
        <v>1.0759423424247115E-2</v>
      </c>
      <c r="CY49" s="33">
        <f t="shared" ca="1" si="51"/>
        <v>1.0197353804739007E-2</v>
      </c>
      <c r="CZ49" s="33">
        <f t="shared" ca="1" si="51"/>
        <v>1.190823037911687E-2</v>
      </c>
      <c r="DA49" s="33">
        <f t="shared" ca="1" si="51"/>
        <v>8.6507533408247059E-3</v>
      </c>
      <c r="DB49" s="33">
        <f t="shared" ca="1" si="51"/>
        <v>1.5121703474992948E-2</v>
      </c>
      <c r="DC49" s="33">
        <f t="shared" ca="1" si="51"/>
        <v>1.3005077096262304E-2</v>
      </c>
      <c r="DD49" s="33">
        <f t="shared" ca="1" si="51"/>
        <v>1.205302436023528E-2</v>
      </c>
      <c r="DE49" s="33">
        <f t="shared" ca="1" si="52"/>
        <v>1.0733782586487637E-2</v>
      </c>
      <c r="DF49" s="33">
        <f t="shared" ca="1" si="52"/>
        <v>1.0666782249733393E-2</v>
      </c>
      <c r="DG49" s="33">
        <f t="shared" ca="1" si="52"/>
        <v>1.5771057335599338E-2</v>
      </c>
      <c r="DH49" s="33">
        <f t="shared" ca="1" si="52"/>
        <v>9.2577022459604495E-3</v>
      </c>
      <c r="DI49" s="33">
        <f t="shared" ca="1" si="52"/>
        <v>1.1691448017761678E-2</v>
      </c>
      <c r="DJ49" s="33">
        <f t="shared" ca="1" si="52"/>
        <v>8.0465219038549154E-3</v>
      </c>
      <c r="DK49" s="33">
        <f t="shared" ca="1" si="52"/>
        <v>9.9192674295441215E-3</v>
      </c>
      <c r="DL49" s="33">
        <f t="shared" ca="1" si="52"/>
        <v>9.6786042306121582E-3</v>
      </c>
      <c r="DM49" s="33">
        <f t="shared" ca="1" si="52"/>
        <v>1.4150404028788262E-2</v>
      </c>
      <c r="DN49" s="33">
        <f t="shared" ca="1" si="52"/>
        <v>1.3470056366000993E-2</v>
      </c>
      <c r="DO49" s="12"/>
      <c r="DP49" s="12"/>
      <c r="DQ49" s="12"/>
    </row>
    <row r="50" spans="1:121" x14ac:dyDescent="0.2">
      <c r="I50" s="32">
        <v>45931</v>
      </c>
      <c r="J50" s="33">
        <f t="shared" ca="1" si="42"/>
        <v>1.1014908556691978E-2</v>
      </c>
      <c r="K50" s="9">
        <v>2413.3199999999997</v>
      </c>
      <c r="L50" s="9">
        <f t="shared" ca="1" si="11"/>
        <v>122130.6206644206</v>
      </c>
      <c r="N50" s="6">
        <v>46</v>
      </c>
      <c r="O50" s="5">
        <v>3.9926882796271337</v>
      </c>
      <c r="P50" s="9">
        <v>692403.8502560195</v>
      </c>
      <c r="R50" s="32">
        <v>45931</v>
      </c>
      <c r="S50" s="33">
        <f t="shared" ca="1" si="43"/>
        <v>9.6562630462114739E-3</v>
      </c>
      <c r="T50" s="33">
        <f t="shared" ca="1" si="43"/>
        <v>1.3399822801744909E-2</v>
      </c>
      <c r="U50" s="33">
        <f t="shared" ca="1" si="43"/>
        <v>1.2744105210338584E-2</v>
      </c>
      <c r="V50" s="33">
        <f t="shared" ca="1" si="43"/>
        <v>8.331472645128693E-3</v>
      </c>
      <c r="W50" s="33">
        <f t="shared" ca="1" si="43"/>
        <v>8.8964816016155902E-3</v>
      </c>
      <c r="X50" s="33">
        <f t="shared" ca="1" si="43"/>
        <v>1.2406353382831657E-2</v>
      </c>
      <c r="Y50" s="33">
        <f t="shared" ca="1" si="43"/>
        <v>1.0911060838292056E-2</v>
      </c>
      <c r="Z50" s="33">
        <f t="shared" ca="1" si="43"/>
        <v>1.3188512746899694E-2</v>
      </c>
      <c r="AA50" s="33">
        <f t="shared" ca="1" si="43"/>
        <v>9.5525639347466655E-3</v>
      </c>
      <c r="AB50" s="33">
        <f t="shared" ca="1" si="43"/>
        <v>8.4379685737487938E-3</v>
      </c>
      <c r="AC50" s="33">
        <f t="shared" ca="1" si="44"/>
        <v>1.2574921599772635E-2</v>
      </c>
      <c r="AD50" s="33">
        <f t="shared" ca="1" si="44"/>
        <v>1.4333702849461028E-2</v>
      </c>
      <c r="AE50" s="33">
        <f t="shared" ca="1" si="44"/>
        <v>1.0635535935629277E-2</v>
      </c>
      <c r="AF50" s="33">
        <f t="shared" ca="1" si="44"/>
        <v>9.989995987031916E-3</v>
      </c>
      <c r="AG50" s="33">
        <f t="shared" ca="1" si="44"/>
        <v>1.3641927867802266E-2</v>
      </c>
      <c r="AH50" s="33">
        <f t="shared" ca="1" si="44"/>
        <v>1.1742256615629266E-2</v>
      </c>
      <c r="AI50" s="33">
        <f t="shared" ca="1" si="44"/>
        <v>1.283941914103072E-2</v>
      </c>
      <c r="AJ50" s="33">
        <f t="shared" ca="1" si="44"/>
        <v>1.2782572024726177E-2</v>
      </c>
      <c r="AK50" s="33">
        <f t="shared" ca="1" si="44"/>
        <v>1.0084923332287738E-2</v>
      </c>
      <c r="AL50" s="33">
        <f t="shared" ca="1" si="44"/>
        <v>8.6744564630092807E-3</v>
      </c>
      <c r="AM50" s="33">
        <f t="shared" ca="1" si="45"/>
        <v>1.2804171770885794E-2</v>
      </c>
      <c r="AN50" s="33">
        <f t="shared" ca="1" si="45"/>
        <v>1.1888034155885494E-2</v>
      </c>
      <c r="AO50" s="33">
        <f t="shared" ca="1" si="45"/>
        <v>1.2279440097934568E-2</v>
      </c>
      <c r="AP50" s="33">
        <f t="shared" ca="1" si="45"/>
        <v>1.0996517739575509E-2</v>
      </c>
      <c r="AQ50" s="33">
        <f t="shared" ca="1" si="45"/>
        <v>1.1381643164562322E-2</v>
      </c>
      <c r="AR50" s="33">
        <f t="shared" ca="1" si="45"/>
        <v>1.2097575921140807E-2</v>
      </c>
      <c r="AS50" s="33">
        <f t="shared" ca="1" si="45"/>
        <v>1.0287862188645101E-2</v>
      </c>
      <c r="AT50" s="33">
        <f t="shared" ca="1" si="45"/>
        <v>1.0452120585315043E-2</v>
      </c>
      <c r="AU50" s="33">
        <f t="shared" ca="1" si="45"/>
        <v>1.1088736494358771E-2</v>
      </c>
      <c r="AV50" s="33">
        <f t="shared" ca="1" si="45"/>
        <v>1.2604329182729359E-2</v>
      </c>
      <c r="AW50" s="33">
        <f t="shared" ca="1" si="46"/>
        <v>1.0890465732392973E-2</v>
      </c>
      <c r="AX50" s="33">
        <f t="shared" ca="1" si="46"/>
        <v>9.5245364192907706E-3</v>
      </c>
      <c r="AY50" s="33">
        <f t="shared" ca="1" si="46"/>
        <v>1.2376916076662775E-2</v>
      </c>
      <c r="AZ50" s="33">
        <f t="shared" ca="1" si="46"/>
        <v>1.12591252650871E-2</v>
      </c>
      <c r="BA50" s="33">
        <f t="shared" ca="1" si="46"/>
        <v>1.1005223367544734E-2</v>
      </c>
      <c r="BB50" s="33">
        <f t="shared" ca="1" si="46"/>
        <v>1.2918416419796092E-2</v>
      </c>
      <c r="BC50" s="33">
        <f t="shared" ca="1" si="46"/>
        <v>9.5405519885620616E-3</v>
      </c>
      <c r="BD50" s="33">
        <f t="shared" ca="1" si="46"/>
        <v>9.1402534566568383E-3</v>
      </c>
      <c r="BE50" s="33">
        <f t="shared" ca="1" si="46"/>
        <v>1.0807665957651221E-2</v>
      </c>
      <c r="BF50" s="33">
        <f t="shared" ca="1" si="46"/>
        <v>8.4094657275404928E-3</v>
      </c>
      <c r="BG50" s="33">
        <f t="shared" ca="1" si="47"/>
        <v>1.008809096214372E-2</v>
      </c>
      <c r="BH50" s="33">
        <f t="shared" ca="1" si="47"/>
        <v>1.0782445351136058E-2</v>
      </c>
      <c r="BI50" s="33">
        <f t="shared" ca="1" si="47"/>
        <v>1.0383783936894708E-2</v>
      </c>
      <c r="BJ50" s="33">
        <f t="shared" ca="1" si="47"/>
        <v>1.1472284664469286E-2</v>
      </c>
      <c r="BK50" s="33">
        <f t="shared" ca="1" si="47"/>
        <v>1.2195564147449317E-2</v>
      </c>
      <c r="BL50" s="33">
        <f t="shared" ca="1" si="47"/>
        <v>1.1391664179014145E-2</v>
      </c>
      <c r="BM50" s="33">
        <f t="shared" ca="1" si="47"/>
        <v>8.8854092641294981E-3</v>
      </c>
      <c r="BN50" s="33">
        <f t="shared" ca="1" si="47"/>
        <v>1.357256972630686E-2</v>
      </c>
      <c r="BO50" s="33">
        <f t="shared" ca="1" si="47"/>
        <v>1.0354169791401274E-2</v>
      </c>
      <c r="BP50" s="33">
        <f t="shared" ca="1" si="47"/>
        <v>1.0401549562549708E-2</v>
      </c>
      <c r="BQ50" s="33">
        <f t="shared" ca="1" si="48"/>
        <v>1.1593052343074122E-2</v>
      </c>
      <c r="BR50" s="33">
        <f t="shared" ca="1" si="48"/>
        <v>1.1943434214589781E-2</v>
      </c>
      <c r="BS50" s="33">
        <f t="shared" ca="1" si="48"/>
        <v>1.4777900577439176E-2</v>
      </c>
      <c r="BT50" s="33">
        <f t="shared" ca="1" si="48"/>
        <v>1.0073583143758209E-2</v>
      </c>
      <c r="BU50" s="33">
        <f t="shared" ca="1" si="48"/>
        <v>9.8014232874144378E-3</v>
      </c>
      <c r="BV50" s="33">
        <f t="shared" ca="1" si="48"/>
        <v>1.008152752498769E-2</v>
      </c>
      <c r="BW50" s="33">
        <f t="shared" ca="1" si="48"/>
        <v>1.1289332481358707E-2</v>
      </c>
      <c r="BX50" s="33">
        <f t="shared" ca="1" si="48"/>
        <v>1.2920193559174823E-2</v>
      </c>
      <c r="BY50" s="33">
        <f t="shared" ca="1" si="48"/>
        <v>1.088716036766175E-2</v>
      </c>
      <c r="BZ50" s="33">
        <f t="shared" ca="1" si="48"/>
        <v>1.153568026126414E-2</v>
      </c>
      <c r="CA50" s="33">
        <f t="shared" ca="1" si="49"/>
        <v>8.9237684120338744E-3</v>
      </c>
      <c r="CB50" s="33">
        <f t="shared" ca="1" si="49"/>
        <v>1.2373300385953946E-2</v>
      </c>
      <c r="CC50" s="33">
        <f t="shared" ca="1" si="49"/>
        <v>1.0398475486705226E-2</v>
      </c>
      <c r="CD50" s="33">
        <f t="shared" ca="1" si="49"/>
        <v>1.2217000813410045E-2</v>
      </c>
      <c r="CE50" s="33">
        <f t="shared" ca="1" si="49"/>
        <v>1.1351655039918669E-2</v>
      </c>
      <c r="CF50" s="33">
        <f t="shared" ca="1" si="49"/>
        <v>1.2675332824804566E-2</v>
      </c>
      <c r="CG50" s="33">
        <f t="shared" ca="1" si="49"/>
        <v>1.2024490460182254E-2</v>
      </c>
      <c r="CH50" s="33">
        <f t="shared" ca="1" si="49"/>
        <v>1.1338456329298707E-2</v>
      </c>
      <c r="CI50" s="33">
        <f t="shared" ca="1" si="49"/>
        <v>9.7824333547610609E-3</v>
      </c>
      <c r="CJ50" s="33">
        <f t="shared" ca="1" si="49"/>
        <v>1.5001820284790367E-2</v>
      </c>
      <c r="CK50" s="33">
        <f t="shared" ca="1" si="50"/>
        <v>9.6296399176281182E-3</v>
      </c>
      <c r="CL50" s="33">
        <f t="shared" ca="1" si="50"/>
        <v>1.2140624897181195E-2</v>
      </c>
      <c r="CM50" s="33">
        <f t="shared" ca="1" si="50"/>
        <v>1.2021083003911895E-2</v>
      </c>
      <c r="CN50" s="33">
        <f t="shared" ca="1" si="50"/>
        <v>1.1413898762062068E-2</v>
      </c>
      <c r="CO50" s="33">
        <f t="shared" ca="1" si="50"/>
        <v>1.2106186131432852E-2</v>
      </c>
      <c r="CP50" s="33">
        <f t="shared" ca="1" si="50"/>
        <v>1.1273969892793658E-2</v>
      </c>
      <c r="CQ50" s="33">
        <f t="shared" ca="1" si="50"/>
        <v>1.0643690638099473E-2</v>
      </c>
      <c r="CR50" s="33">
        <f t="shared" ca="1" si="50"/>
        <v>1.0245833817720333E-2</v>
      </c>
      <c r="CS50" s="33">
        <f t="shared" ca="1" si="50"/>
        <v>1.1902566078790556E-2</v>
      </c>
      <c r="CT50" s="33">
        <f t="shared" ca="1" si="50"/>
        <v>1.1982120659462962E-2</v>
      </c>
      <c r="CU50" s="33">
        <f t="shared" ca="1" si="51"/>
        <v>1.3958881139260576E-2</v>
      </c>
      <c r="CV50" s="33">
        <f t="shared" ca="1" si="51"/>
        <v>1.1720816386300362E-2</v>
      </c>
      <c r="CW50" s="33">
        <f t="shared" ca="1" si="51"/>
        <v>1.2176021083221047E-2</v>
      </c>
      <c r="CX50" s="33">
        <f t="shared" ca="1" si="51"/>
        <v>1.0669590889832188E-2</v>
      </c>
      <c r="CY50" s="33">
        <f t="shared" ca="1" si="51"/>
        <v>9.7847067500528156E-3</v>
      </c>
      <c r="CZ50" s="33">
        <f t="shared" ca="1" si="51"/>
        <v>1.2425965094265265E-2</v>
      </c>
      <c r="DA50" s="33">
        <f t="shared" ca="1" si="51"/>
        <v>1.0708414544242456E-2</v>
      </c>
      <c r="DB50" s="33">
        <f t="shared" ca="1" si="51"/>
        <v>1.4014202181886816E-2</v>
      </c>
      <c r="DC50" s="33">
        <f t="shared" ca="1" si="51"/>
        <v>8.9744753659898209E-3</v>
      </c>
      <c r="DD50" s="33">
        <f t="shared" ca="1" si="51"/>
        <v>9.7679056273577598E-3</v>
      </c>
      <c r="DE50" s="33">
        <f t="shared" ca="1" si="52"/>
        <v>1.1330368825761966E-2</v>
      </c>
      <c r="DF50" s="33">
        <f t="shared" ca="1" si="52"/>
        <v>1.1051760495477229E-2</v>
      </c>
      <c r="DG50" s="33">
        <f t="shared" ca="1" si="52"/>
        <v>1.0280604217874642E-2</v>
      </c>
      <c r="DH50" s="33">
        <f t="shared" ca="1" si="52"/>
        <v>1.1461529692680088E-2</v>
      </c>
      <c r="DI50" s="33">
        <f t="shared" ca="1" si="52"/>
        <v>1.0413273313656254E-2</v>
      </c>
      <c r="DJ50" s="33">
        <f t="shared" ca="1" si="52"/>
        <v>1.0180096914827401E-2</v>
      </c>
      <c r="DK50" s="33">
        <f t="shared" ca="1" si="52"/>
        <v>1.2181875462619609E-2</v>
      </c>
      <c r="DL50" s="33">
        <f t="shared" ca="1" si="52"/>
        <v>1.1257565735826529E-2</v>
      </c>
      <c r="DM50" s="33">
        <f t="shared" ca="1" si="52"/>
        <v>1.1394652956989356E-2</v>
      </c>
      <c r="DN50" s="33">
        <f t="shared" ca="1" si="52"/>
        <v>1.2111206783149571E-2</v>
      </c>
      <c r="DO50" s="12"/>
      <c r="DP50" s="12"/>
      <c r="DQ50" s="12"/>
    </row>
    <row r="51" spans="1:121" x14ac:dyDescent="0.2">
      <c r="A51" t="s">
        <v>35</v>
      </c>
      <c r="I51" s="32">
        <v>45962</v>
      </c>
      <c r="J51" s="33">
        <f t="shared" ca="1" si="42"/>
        <v>9.8598680796826137E-3</v>
      </c>
      <c r="K51" s="9">
        <v>2413.3199999999997</v>
      </c>
      <c r="L51" s="9">
        <f t="shared" ca="1" si="11"/>
        <v>125754.08861835612</v>
      </c>
      <c r="N51" s="6">
        <v>47</v>
      </c>
      <c r="O51" s="5">
        <v>3.9728461528381973</v>
      </c>
      <c r="P51" s="9">
        <v>685170.95214140101</v>
      </c>
      <c r="R51" s="32">
        <v>45962</v>
      </c>
      <c r="S51" s="33">
        <f t="shared" ca="1" si="43"/>
        <v>1.2473649667371507E-2</v>
      </c>
      <c r="T51" s="33">
        <f t="shared" ca="1" si="43"/>
        <v>1.0957817109145665E-2</v>
      </c>
      <c r="U51" s="33">
        <f t="shared" ca="1" si="43"/>
        <v>1.1776563964957966E-2</v>
      </c>
      <c r="V51" s="33">
        <f t="shared" ca="1" si="43"/>
        <v>1.4165406423151242E-2</v>
      </c>
      <c r="W51" s="33">
        <f t="shared" ca="1" si="43"/>
        <v>1.1596636702248853E-2</v>
      </c>
      <c r="X51" s="33">
        <f t="shared" ca="1" si="43"/>
        <v>9.2745965993479788E-3</v>
      </c>
      <c r="Y51" s="33">
        <f t="shared" ca="1" si="43"/>
        <v>1.0324209809053285E-2</v>
      </c>
      <c r="Z51" s="33">
        <f t="shared" ca="1" si="43"/>
        <v>9.560126053976362E-3</v>
      </c>
      <c r="AA51" s="33">
        <f t="shared" ca="1" si="43"/>
        <v>7.5696286720552033E-3</v>
      </c>
      <c r="AB51" s="33">
        <f t="shared" ca="1" si="43"/>
        <v>1.1112040523011355E-2</v>
      </c>
      <c r="AC51" s="33">
        <f t="shared" ca="1" si="44"/>
        <v>1.2659430650352493E-2</v>
      </c>
      <c r="AD51" s="33">
        <f t="shared" ca="1" si="44"/>
        <v>8.5797607356669307E-3</v>
      </c>
      <c r="AE51" s="33">
        <f t="shared" ca="1" si="44"/>
        <v>1.1540011179421614E-2</v>
      </c>
      <c r="AF51" s="33">
        <f t="shared" ca="1" si="44"/>
        <v>1.2310889945101015E-2</v>
      </c>
      <c r="AG51" s="33">
        <f t="shared" ca="1" si="44"/>
        <v>1.2201792304408206E-2</v>
      </c>
      <c r="AH51" s="33">
        <f t="shared" ca="1" si="44"/>
        <v>1.0748281720897935E-2</v>
      </c>
      <c r="AI51" s="33">
        <f t="shared" ca="1" si="44"/>
        <v>1.3576324325644193E-2</v>
      </c>
      <c r="AJ51" s="33">
        <f t="shared" ca="1" si="44"/>
        <v>1.1209773130055178E-2</v>
      </c>
      <c r="AK51" s="33">
        <f t="shared" ca="1" si="44"/>
        <v>1.2276224309094511E-2</v>
      </c>
      <c r="AL51" s="33">
        <f t="shared" ca="1" si="44"/>
        <v>1.0586387530815745E-2</v>
      </c>
      <c r="AM51" s="33">
        <f t="shared" ca="1" si="45"/>
        <v>1.1500900580100067E-2</v>
      </c>
      <c r="AN51" s="33">
        <f t="shared" ca="1" si="45"/>
        <v>1.24089636288559E-2</v>
      </c>
      <c r="AO51" s="33">
        <f t="shared" ca="1" si="45"/>
        <v>1.0435529723429574E-2</v>
      </c>
      <c r="AP51" s="33">
        <f t="shared" ca="1" si="45"/>
        <v>9.6043664607229871E-3</v>
      </c>
      <c r="AQ51" s="33">
        <f t="shared" ca="1" si="45"/>
        <v>1.2067562165269543E-2</v>
      </c>
      <c r="AR51" s="33">
        <f t="shared" ca="1" si="45"/>
        <v>1.187761263560575E-2</v>
      </c>
      <c r="AS51" s="33">
        <f t="shared" ca="1" si="45"/>
        <v>1.3131399875733122E-2</v>
      </c>
      <c r="AT51" s="33">
        <f t="shared" ca="1" si="45"/>
        <v>1.3614486488342705E-2</v>
      </c>
      <c r="AU51" s="33">
        <f t="shared" ca="1" si="45"/>
        <v>1.141938074466013E-2</v>
      </c>
      <c r="AV51" s="33">
        <f t="shared" ca="1" si="45"/>
        <v>1.0850716778367884E-2</v>
      </c>
      <c r="AW51" s="33">
        <f t="shared" ca="1" si="46"/>
        <v>1.1497586460645656E-2</v>
      </c>
      <c r="AX51" s="33">
        <f t="shared" ca="1" si="46"/>
        <v>1.089385610259266E-2</v>
      </c>
      <c r="AY51" s="33">
        <f t="shared" ca="1" si="46"/>
        <v>1.2401488756242859E-2</v>
      </c>
      <c r="AZ51" s="33">
        <f t="shared" ca="1" si="46"/>
        <v>1.3374806706849502E-2</v>
      </c>
      <c r="BA51" s="33">
        <f t="shared" ca="1" si="46"/>
        <v>9.7454930521710045E-3</v>
      </c>
      <c r="BB51" s="33">
        <f t="shared" ca="1" si="46"/>
        <v>1.3790629820099324E-2</v>
      </c>
      <c r="BC51" s="33">
        <f t="shared" ca="1" si="46"/>
        <v>1.3664159583982607E-2</v>
      </c>
      <c r="BD51" s="33">
        <f t="shared" ca="1" si="46"/>
        <v>8.5811538723914605E-3</v>
      </c>
      <c r="BE51" s="33">
        <f t="shared" ca="1" si="46"/>
        <v>1.0835478676404546E-2</v>
      </c>
      <c r="BF51" s="33">
        <f t="shared" ca="1" si="46"/>
        <v>9.3990066439524258E-3</v>
      </c>
      <c r="BG51" s="33">
        <f t="shared" ca="1" si="47"/>
        <v>9.9121438566933881E-3</v>
      </c>
      <c r="BH51" s="33">
        <f t="shared" ca="1" si="47"/>
        <v>1.115896746054755E-2</v>
      </c>
      <c r="BI51" s="33">
        <f t="shared" ca="1" si="47"/>
        <v>1.2176904910277796E-2</v>
      </c>
      <c r="BJ51" s="33">
        <f t="shared" ca="1" si="47"/>
        <v>1.3824046131718636E-2</v>
      </c>
      <c r="BK51" s="33">
        <f t="shared" ca="1" si="47"/>
        <v>1.1818391766851444E-2</v>
      </c>
      <c r="BL51" s="33">
        <f t="shared" ca="1" si="47"/>
        <v>1.2298455651852043E-2</v>
      </c>
      <c r="BM51" s="33">
        <f t="shared" ca="1" si="47"/>
        <v>1.0560514381250769E-2</v>
      </c>
      <c r="BN51" s="33">
        <f t="shared" ca="1" si="47"/>
        <v>1.1294045792906545E-2</v>
      </c>
      <c r="BO51" s="33">
        <f t="shared" ca="1" si="47"/>
        <v>1.1498237066504135E-2</v>
      </c>
      <c r="BP51" s="33">
        <f t="shared" ca="1" si="47"/>
        <v>1.3478905694285476E-2</v>
      </c>
      <c r="BQ51" s="33">
        <f t="shared" ca="1" si="48"/>
        <v>1.2054005856348858E-2</v>
      </c>
      <c r="BR51" s="33">
        <f t="shared" ca="1" si="48"/>
        <v>1.0373788807002165E-2</v>
      </c>
      <c r="BS51" s="33">
        <f t="shared" ca="1" si="48"/>
        <v>1.3024996086158274E-2</v>
      </c>
      <c r="BT51" s="33">
        <f t="shared" ca="1" si="48"/>
        <v>1.020964154041935E-2</v>
      </c>
      <c r="BU51" s="33">
        <f t="shared" ca="1" si="48"/>
        <v>1.36160715058896E-2</v>
      </c>
      <c r="BV51" s="33">
        <f t="shared" ca="1" si="48"/>
        <v>9.322721627023741E-3</v>
      </c>
      <c r="BW51" s="33">
        <f t="shared" ca="1" si="48"/>
        <v>1.1270090532341121E-2</v>
      </c>
      <c r="BX51" s="33">
        <f t="shared" ca="1" si="48"/>
        <v>1.0772916253606038E-2</v>
      </c>
      <c r="BY51" s="33">
        <f t="shared" ca="1" si="48"/>
        <v>8.5500247715015534E-3</v>
      </c>
      <c r="BZ51" s="33">
        <f t="shared" ca="1" si="48"/>
        <v>1.1505403627292746E-2</v>
      </c>
      <c r="CA51" s="33">
        <f t="shared" ca="1" si="49"/>
        <v>1.0693544264643012E-2</v>
      </c>
      <c r="CB51" s="33">
        <f t="shared" ca="1" si="49"/>
        <v>8.1415687031484892E-3</v>
      </c>
      <c r="CC51" s="33">
        <f t="shared" ca="1" si="49"/>
        <v>9.976013624025927E-3</v>
      </c>
      <c r="CD51" s="33">
        <f t="shared" ca="1" si="49"/>
        <v>1.180841106263112E-2</v>
      </c>
      <c r="CE51" s="33">
        <f t="shared" ca="1" si="49"/>
        <v>1.2275262382478041E-2</v>
      </c>
      <c r="CF51" s="33">
        <f t="shared" ca="1" si="49"/>
        <v>1.1438684545642284E-2</v>
      </c>
      <c r="CG51" s="33">
        <f t="shared" ca="1" si="49"/>
        <v>1.0314386984997408E-2</v>
      </c>
      <c r="CH51" s="33">
        <f t="shared" ca="1" si="49"/>
        <v>1.0574176397694479E-2</v>
      </c>
      <c r="CI51" s="33">
        <f t="shared" ca="1" si="49"/>
        <v>1.1811870730504116E-2</v>
      </c>
      <c r="CJ51" s="33">
        <f t="shared" ca="1" si="49"/>
        <v>1.1486935481912552E-2</v>
      </c>
      <c r="CK51" s="33">
        <f t="shared" ca="1" si="50"/>
        <v>1.0480401479919844E-2</v>
      </c>
      <c r="CL51" s="33">
        <f t="shared" ca="1" si="50"/>
        <v>1.2042548449714694E-2</v>
      </c>
      <c r="CM51" s="33">
        <f t="shared" ca="1" si="50"/>
        <v>1.2219182289098084E-2</v>
      </c>
      <c r="CN51" s="33">
        <f t="shared" ca="1" si="50"/>
        <v>9.9860801408724852E-3</v>
      </c>
      <c r="CO51" s="33">
        <f t="shared" ca="1" si="50"/>
        <v>1.0672286095164314E-2</v>
      </c>
      <c r="CP51" s="33">
        <f t="shared" ca="1" si="50"/>
        <v>1.352158026428802E-2</v>
      </c>
      <c r="CQ51" s="33">
        <f t="shared" ca="1" si="50"/>
        <v>1.0734256614564175E-2</v>
      </c>
      <c r="CR51" s="33">
        <f t="shared" ca="1" si="50"/>
        <v>1.0516997258432017E-2</v>
      </c>
      <c r="CS51" s="33">
        <f t="shared" ca="1" si="50"/>
        <v>1.1271977209501464E-2</v>
      </c>
      <c r="CT51" s="33">
        <f t="shared" ca="1" si="50"/>
        <v>1.0745475305945594E-2</v>
      </c>
      <c r="CU51" s="33">
        <f t="shared" ca="1" si="51"/>
        <v>1.1061825759349921E-2</v>
      </c>
      <c r="CV51" s="33">
        <f t="shared" ca="1" si="51"/>
        <v>1.2542051192364928E-2</v>
      </c>
      <c r="CW51" s="33">
        <f t="shared" ca="1" si="51"/>
        <v>1.2606451351841524E-2</v>
      </c>
      <c r="CX51" s="33">
        <f t="shared" ca="1" si="51"/>
        <v>1.2866181201169755E-2</v>
      </c>
      <c r="CY51" s="33">
        <f t="shared" ca="1" si="51"/>
        <v>8.5532981344891949E-3</v>
      </c>
      <c r="CZ51" s="33">
        <f t="shared" ca="1" si="51"/>
        <v>7.6062681093074219E-3</v>
      </c>
      <c r="DA51" s="33">
        <f t="shared" ca="1" si="51"/>
        <v>9.967498095234454E-3</v>
      </c>
      <c r="DB51" s="33">
        <f t="shared" ca="1" si="51"/>
        <v>1.1921570427553665E-2</v>
      </c>
      <c r="DC51" s="33">
        <f t="shared" ca="1" si="51"/>
        <v>9.344141231355357E-3</v>
      </c>
      <c r="DD51" s="33">
        <f t="shared" ca="1" si="51"/>
        <v>1.0257043459984072E-2</v>
      </c>
      <c r="DE51" s="33">
        <f t="shared" ca="1" si="52"/>
        <v>1.2651897497541652E-2</v>
      </c>
      <c r="DF51" s="33">
        <f t="shared" ca="1" si="52"/>
        <v>1.0725319664297465E-2</v>
      </c>
      <c r="DG51" s="33">
        <f t="shared" ca="1" si="52"/>
        <v>1.0667818099480865E-2</v>
      </c>
      <c r="DH51" s="33">
        <f t="shared" ca="1" si="52"/>
        <v>1.1304801363808575E-2</v>
      </c>
      <c r="DI51" s="33">
        <f t="shared" ca="1" si="52"/>
        <v>1.2128562751223473E-2</v>
      </c>
      <c r="DJ51" s="33">
        <f t="shared" ca="1" si="52"/>
        <v>1.0777277917311463E-2</v>
      </c>
      <c r="DK51" s="33">
        <f t="shared" ca="1" si="52"/>
        <v>1.1260548528513308E-2</v>
      </c>
      <c r="DL51" s="33">
        <f t="shared" ca="1" si="52"/>
        <v>1.3444206722983996E-2</v>
      </c>
      <c r="DM51" s="33">
        <f t="shared" ca="1" si="52"/>
        <v>1.338992089369069E-2</v>
      </c>
      <c r="DN51" s="33">
        <f t="shared" ca="1" si="52"/>
        <v>1.174517884587088E-2</v>
      </c>
      <c r="DO51" s="12"/>
      <c r="DP51" s="12"/>
      <c r="DQ51" s="12"/>
    </row>
    <row r="52" spans="1:121" x14ac:dyDescent="0.2">
      <c r="A52">
        <v>1.1333439204035416E-2</v>
      </c>
      <c r="I52" s="32">
        <v>45992</v>
      </c>
      <c r="J52" s="33">
        <f t="shared" ca="1" si="42"/>
        <v>1.0456333131980943E-2</v>
      </c>
      <c r="K52" s="9">
        <v>2413.3199999999997</v>
      </c>
      <c r="L52" s="9">
        <f t="shared" ca="1" si="11"/>
        <v>129489.23394116882</v>
      </c>
      <c r="N52" s="6">
        <v>48</v>
      </c>
      <c r="O52" s="5">
        <v>4.0028790739107025</v>
      </c>
      <c r="P52" s="9">
        <v>691939.09411111986</v>
      </c>
      <c r="R52" s="32">
        <v>45992</v>
      </c>
      <c r="S52" s="33">
        <f t="shared" ca="1" si="43"/>
        <v>1.1383592944367129E-2</v>
      </c>
      <c r="T52" s="33">
        <f t="shared" ca="1" si="43"/>
        <v>1.1619951391049675E-2</v>
      </c>
      <c r="U52" s="33">
        <f t="shared" ca="1" si="43"/>
        <v>1.1915691145717494E-2</v>
      </c>
      <c r="V52" s="33">
        <f t="shared" ca="1" si="43"/>
        <v>1.1899231543872258E-2</v>
      </c>
      <c r="W52" s="33">
        <f t="shared" ca="1" si="43"/>
        <v>1.1293800111508209E-2</v>
      </c>
      <c r="X52" s="33">
        <f t="shared" ca="1" si="43"/>
        <v>1.214816653379778E-2</v>
      </c>
      <c r="Y52" s="33">
        <f t="shared" ca="1" si="43"/>
        <v>1.1919395153436037E-2</v>
      </c>
      <c r="Z52" s="33">
        <f t="shared" ca="1" si="43"/>
        <v>1.0520457049472803E-2</v>
      </c>
      <c r="AA52" s="33">
        <f t="shared" ca="1" si="43"/>
        <v>1.2604819290196342E-2</v>
      </c>
      <c r="AB52" s="33">
        <f t="shared" ca="1" si="43"/>
        <v>1.2382574064393921E-2</v>
      </c>
      <c r="AC52" s="33">
        <f t="shared" ca="1" si="44"/>
        <v>1.1016140215170991E-2</v>
      </c>
      <c r="AD52" s="33">
        <f t="shared" ca="1" si="44"/>
        <v>1.0949988149441528E-2</v>
      </c>
      <c r="AE52" s="33">
        <f t="shared" ca="1" si="44"/>
        <v>1.2921407623172652E-2</v>
      </c>
      <c r="AF52" s="33">
        <f t="shared" ca="1" si="44"/>
        <v>1.1287494405680235E-2</v>
      </c>
      <c r="AG52" s="33">
        <f t="shared" ca="1" si="44"/>
        <v>1.0264570189700855E-2</v>
      </c>
      <c r="AH52" s="33">
        <f t="shared" ca="1" si="44"/>
        <v>1.1255643250407298E-2</v>
      </c>
      <c r="AI52" s="33">
        <f t="shared" ca="1" si="44"/>
        <v>1.1369550927116227E-2</v>
      </c>
      <c r="AJ52" s="33">
        <f t="shared" ca="1" si="44"/>
        <v>9.7219906453586136E-3</v>
      </c>
      <c r="AK52" s="33">
        <f t="shared" ca="1" si="44"/>
        <v>1.044411338062276E-2</v>
      </c>
      <c r="AL52" s="33">
        <f t="shared" ca="1" si="44"/>
        <v>1.1002998902569318E-2</v>
      </c>
      <c r="AM52" s="33">
        <f t="shared" ca="1" si="45"/>
        <v>1.0838664161456416E-2</v>
      </c>
      <c r="AN52" s="33">
        <f t="shared" ca="1" si="45"/>
        <v>9.079910822824791E-3</v>
      </c>
      <c r="AO52" s="33">
        <f t="shared" ca="1" si="45"/>
        <v>1.3599121272360055E-2</v>
      </c>
      <c r="AP52" s="33">
        <f t="shared" ca="1" si="45"/>
        <v>1.1183728018941684E-2</v>
      </c>
      <c r="AQ52" s="33">
        <f t="shared" ca="1" si="45"/>
        <v>1.2865439212274321E-2</v>
      </c>
      <c r="AR52" s="33">
        <f t="shared" ca="1" si="45"/>
        <v>1.3195765510108301E-2</v>
      </c>
      <c r="AS52" s="33">
        <f t="shared" ca="1" si="45"/>
        <v>9.5816736697997614E-3</v>
      </c>
      <c r="AT52" s="33">
        <f t="shared" ca="1" si="45"/>
        <v>1.1559218381332689E-2</v>
      </c>
      <c r="AU52" s="33">
        <f t="shared" ca="1" si="45"/>
        <v>1.0817036601021502E-2</v>
      </c>
      <c r="AV52" s="33">
        <f t="shared" ca="1" si="45"/>
        <v>1.1974368328978729E-2</v>
      </c>
      <c r="AW52" s="33">
        <f t="shared" ca="1" si="46"/>
        <v>1.2073945174396561E-2</v>
      </c>
      <c r="AX52" s="33">
        <f t="shared" ca="1" si="46"/>
        <v>1.1394042395778339E-2</v>
      </c>
      <c r="AY52" s="33">
        <f t="shared" ca="1" si="46"/>
        <v>1.3229008256435309E-2</v>
      </c>
      <c r="AZ52" s="33">
        <f t="shared" ca="1" si="46"/>
        <v>1.192089240986083E-2</v>
      </c>
      <c r="BA52" s="33">
        <f t="shared" ca="1" si="46"/>
        <v>1.360255212609235E-2</v>
      </c>
      <c r="BB52" s="33">
        <f t="shared" ca="1" si="46"/>
        <v>1.244513117321263E-2</v>
      </c>
      <c r="BC52" s="33">
        <f t="shared" ca="1" si="46"/>
        <v>8.1120912019022155E-3</v>
      </c>
      <c r="BD52" s="33">
        <f t="shared" ca="1" si="46"/>
        <v>1.1192299672971183E-2</v>
      </c>
      <c r="BE52" s="33">
        <f t="shared" ca="1" si="46"/>
        <v>1.1588303065717924E-2</v>
      </c>
      <c r="BF52" s="33">
        <f t="shared" ca="1" si="46"/>
        <v>1.0432671192398556E-2</v>
      </c>
      <c r="BG52" s="33">
        <f t="shared" ca="1" si="47"/>
        <v>1.3664681410977673E-2</v>
      </c>
      <c r="BH52" s="33">
        <f t="shared" ca="1" si="47"/>
        <v>1.3275894083736752E-2</v>
      </c>
      <c r="BI52" s="33">
        <f t="shared" ca="1" si="47"/>
        <v>1.0251172009468984E-2</v>
      </c>
      <c r="BJ52" s="33">
        <f t="shared" ca="1" si="47"/>
        <v>1.2287549603855849E-2</v>
      </c>
      <c r="BK52" s="33">
        <f t="shared" ca="1" si="47"/>
        <v>1.1800765109653794E-2</v>
      </c>
      <c r="BL52" s="33">
        <f t="shared" ca="1" si="47"/>
        <v>1.3998311661673986E-2</v>
      </c>
      <c r="BM52" s="33">
        <f t="shared" ca="1" si="47"/>
        <v>1.0313029406388641E-2</v>
      </c>
      <c r="BN52" s="33">
        <f t="shared" ca="1" si="47"/>
        <v>1.1086245205065903E-2</v>
      </c>
      <c r="BO52" s="33">
        <f t="shared" ca="1" si="47"/>
        <v>7.8615676685468289E-3</v>
      </c>
      <c r="BP52" s="33">
        <f t="shared" ca="1" si="47"/>
        <v>1.2885335695532385E-2</v>
      </c>
      <c r="BQ52" s="33">
        <f t="shared" ca="1" si="48"/>
        <v>8.873193328061425E-3</v>
      </c>
      <c r="BR52" s="33">
        <f t="shared" ca="1" si="48"/>
        <v>1.2233793742856186E-2</v>
      </c>
      <c r="BS52" s="33">
        <f t="shared" ca="1" si="48"/>
        <v>1.3346606053293771E-2</v>
      </c>
      <c r="BT52" s="33">
        <f t="shared" ca="1" si="48"/>
        <v>1.3949183185846262E-2</v>
      </c>
      <c r="BU52" s="33">
        <f t="shared" ca="1" si="48"/>
        <v>1.254109562511363E-2</v>
      </c>
      <c r="BV52" s="33">
        <f t="shared" ca="1" si="48"/>
        <v>1.2071172761311595E-2</v>
      </c>
      <c r="BW52" s="33">
        <f t="shared" ca="1" si="48"/>
        <v>9.5720674187039397E-3</v>
      </c>
      <c r="BX52" s="33">
        <f t="shared" ca="1" si="48"/>
        <v>1.1864912652907719E-2</v>
      </c>
      <c r="BY52" s="33">
        <f t="shared" ca="1" si="48"/>
        <v>1.147499380914768E-2</v>
      </c>
      <c r="BZ52" s="33">
        <f t="shared" ca="1" si="48"/>
        <v>1.1544868799210288E-2</v>
      </c>
      <c r="CA52" s="33">
        <f t="shared" ca="1" si="49"/>
        <v>1.1754525312093905E-2</v>
      </c>
      <c r="CB52" s="33">
        <f t="shared" ca="1" si="49"/>
        <v>9.8835570270325041E-3</v>
      </c>
      <c r="CC52" s="33">
        <f t="shared" ca="1" si="49"/>
        <v>1.2279647124518117E-2</v>
      </c>
      <c r="CD52" s="33">
        <f t="shared" ca="1" si="49"/>
        <v>1.379811824027123E-2</v>
      </c>
      <c r="CE52" s="33">
        <f t="shared" ca="1" si="49"/>
        <v>1.3297251717184648E-2</v>
      </c>
      <c r="CF52" s="33">
        <f t="shared" ca="1" si="49"/>
        <v>9.9833318904840769E-3</v>
      </c>
      <c r="CG52" s="33">
        <f t="shared" ca="1" si="49"/>
        <v>1.2791511138812233E-2</v>
      </c>
      <c r="CH52" s="33">
        <f t="shared" ca="1" si="49"/>
        <v>1.3135566742216304E-2</v>
      </c>
      <c r="CI52" s="33">
        <f t="shared" ca="1" si="49"/>
        <v>1.1645301052334909E-2</v>
      </c>
      <c r="CJ52" s="33">
        <f t="shared" ca="1" si="49"/>
        <v>1.374796694562912E-2</v>
      </c>
      <c r="CK52" s="33">
        <f t="shared" ca="1" si="50"/>
        <v>1.2647594885221391E-2</v>
      </c>
      <c r="CL52" s="33">
        <f t="shared" ca="1" si="50"/>
        <v>1.3375651715511007E-2</v>
      </c>
      <c r="CM52" s="33">
        <f t="shared" ca="1" si="50"/>
        <v>1.0427575271733696E-2</v>
      </c>
      <c r="CN52" s="33">
        <f t="shared" ca="1" si="50"/>
        <v>1.1013536760218335E-2</v>
      </c>
      <c r="CO52" s="33">
        <f t="shared" ca="1" si="50"/>
        <v>1.0375562869829937E-2</v>
      </c>
      <c r="CP52" s="33">
        <f t="shared" ca="1" si="50"/>
        <v>9.4810670393980119E-3</v>
      </c>
      <c r="CQ52" s="33">
        <f t="shared" ca="1" si="50"/>
        <v>1.1581743006717974E-2</v>
      </c>
      <c r="CR52" s="33">
        <f t="shared" ca="1" si="50"/>
        <v>1.0540220392573836E-2</v>
      </c>
      <c r="CS52" s="33">
        <f t="shared" ca="1" si="50"/>
        <v>1.018103434660104E-2</v>
      </c>
      <c r="CT52" s="33">
        <f t="shared" ca="1" si="50"/>
        <v>1.2011063514906703E-2</v>
      </c>
      <c r="CU52" s="33">
        <f t="shared" ca="1" si="51"/>
        <v>1.0371091363394626E-2</v>
      </c>
      <c r="CV52" s="33">
        <f t="shared" ca="1" si="51"/>
        <v>1.2886340450848997E-2</v>
      </c>
      <c r="CW52" s="33">
        <f t="shared" ca="1" si="51"/>
        <v>9.8963008871819896E-3</v>
      </c>
      <c r="CX52" s="33">
        <f t="shared" ca="1" si="51"/>
        <v>1.1789824868600775E-2</v>
      </c>
      <c r="CY52" s="33">
        <f t="shared" ca="1" si="51"/>
        <v>1.0133977497972926E-2</v>
      </c>
      <c r="CZ52" s="33">
        <f t="shared" ca="1" si="51"/>
        <v>1.3336176868036049E-2</v>
      </c>
      <c r="DA52" s="33">
        <f t="shared" ca="1" si="51"/>
        <v>1.2538827323046349E-2</v>
      </c>
      <c r="DB52" s="33">
        <f t="shared" ca="1" si="51"/>
        <v>1.0431304881978163E-2</v>
      </c>
      <c r="DC52" s="33">
        <f t="shared" ca="1" si="51"/>
        <v>1.0049555856934034E-2</v>
      </c>
      <c r="DD52" s="33">
        <f t="shared" ca="1" si="51"/>
        <v>1.036690291457701E-2</v>
      </c>
      <c r="DE52" s="33">
        <f t="shared" ca="1" si="52"/>
        <v>9.7098661337432571E-3</v>
      </c>
      <c r="DF52" s="33">
        <f t="shared" ca="1" si="52"/>
        <v>1.0789159020052451E-2</v>
      </c>
      <c r="DG52" s="33">
        <f t="shared" ca="1" si="52"/>
        <v>1.0149814697974976E-2</v>
      </c>
      <c r="DH52" s="33">
        <f t="shared" ca="1" si="52"/>
        <v>1.1857761628849063E-2</v>
      </c>
      <c r="DI52" s="33">
        <f t="shared" ca="1" si="52"/>
        <v>1.1966068152674935E-2</v>
      </c>
      <c r="DJ52" s="33">
        <f t="shared" ca="1" si="52"/>
        <v>9.0256002166721645E-3</v>
      </c>
      <c r="DK52" s="33">
        <f t="shared" ca="1" si="52"/>
        <v>1.1431715703223488E-2</v>
      </c>
      <c r="DL52" s="33">
        <f t="shared" ca="1" si="52"/>
        <v>1.1679088838238613E-2</v>
      </c>
      <c r="DM52" s="33">
        <f t="shared" ca="1" si="52"/>
        <v>1.4450618723110757E-2</v>
      </c>
      <c r="DN52" s="33">
        <f t="shared" ca="1" si="52"/>
        <v>1.2178418104032848E-2</v>
      </c>
      <c r="DO52" s="12"/>
      <c r="DP52" s="12"/>
      <c r="DQ52" s="12"/>
    </row>
    <row r="53" spans="1:121" x14ac:dyDescent="0.2">
      <c r="I53" s="32">
        <v>46023</v>
      </c>
      <c r="J53" s="33">
        <f t="shared" ca="1" si="42"/>
        <v>1.0332309520019917E-2</v>
      </c>
      <c r="K53" s="9">
        <v>2413.3199999999997</v>
      </c>
      <c r="L53" s="9">
        <f t="shared" ca="1" si="11"/>
        <v>133247.41256920318</v>
      </c>
      <c r="N53" s="6">
        <v>49</v>
      </c>
      <c r="O53" s="5">
        <v>3.9856918241412767</v>
      </c>
      <c r="P53" s="9">
        <v>690754.18809041264</v>
      </c>
      <c r="R53" s="32">
        <v>46023</v>
      </c>
      <c r="S53" s="33">
        <f t="shared" ca="1" si="43"/>
        <v>1.1169820820318836E-2</v>
      </c>
      <c r="T53" s="33">
        <f t="shared" ca="1" si="43"/>
        <v>9.4243484312382334E-3</v>
      </c>
      <c r="U53" s="33">
        <f t="shared" ca="1" si="43"/>
        <v>1.3351226308615896E-2</v>
      </c>
      <c r="V53" s="33">
        <f t="shared" ca="1" si="43"/>
        <v>9.216107838858803E-3</v>
      </c>
      <c r="W53" s="33">
        <f t="shared" ca="1" si="43"/>
        <v>1.0537063760574424E-2</v>
      </c>
      <c r="X53" s="33">
        <f t="shared" ca="1" si="43"/>
        <v>1.1838356842203444E-2</v>
      </c>
      <c r="Y53" s="33">
        <f t="shared" ca="1" si="43"/>
        <v>1.3279781009642468E-2</v>
      </c>
      <c r="Z53" s="33">
        <f t="shared" ca="1" si="43"/>
        <v>1.0241555973051342E-2</v>
      </c>
      <c r="AA53" s="33">
        <f t="shared" ca="1" si="43"/>
        <v>1.213942697414006E-2</v>
      </c>
      <c r="AB53" s="33">
        <f t="shared" ca="1" si="43"/>
        <v>1.3838156302275778E-2</v>
      </c>
      <c r="AC53" s="33">
        <f t="shared" ca="1" si="44"/>
        <v>1.2384260202680786E-2</v>
      </c>
      <c r="AD53" s="33">
        <f t="shared" ca="1" si="44"/>
        <v>1.2213339503985187E-2</v>
      </c>
      <c r="AE53" s="33">
        <f t="shared" ca="1" si="44"/>
        <v>1.2152873425542396E-2</v>
      </c>
      <c r="AF53" s="33">
        <f t="shared" ca="1" si="44"/>
        <v>1.1175364578730069E-2</v>
      </c>
      <c r="AG53" s="33">
        <f t="shared" ca="1" si="44"/>
        <v>1.0431396633914996E-2</v>
      </c>
      <c r="AH53" s="33">
        <f t="shared" ca="1" si="44"/>
        <v>1.0867813320393898E-2</v>
      </c>
      <c r="AI53" s="33">
        <f t="shared" ca="1" si="44"/>
        <v>1.0192556694492124E-2</v>
      </c>
      <c r="AJ53" s="33">
        <f t="shared" ca="1" si="44"/>
        <v>1.3304626493238672E-2</v>
      </c>
      <c r="AK53" s="33">
        <f t="shared" ca="1" si="44"/>
        <v>1.0987144930812355E-2</v>
      </c>
      <c r="AL53" s="33">
        <f t="shared" ca="1" si="44"/>
        <v>1.3481593863159856E-2</v>
      </c>
      <c r="AM53" s="33">
        <f t="shared" ca="1" si="45"/>
        <v>1.180317481372946E-2</v>
      </c>
      <c r="AN53" s="33">
        <f t="shared" ca="1" si="45"/>
        <v>1.0995066954459714E-2</v>
      </c>
      <c r="AO53" s="33">
        <f t="shared" ca="1" si="45"/>
        <v>1.1564980999946609E-2</v>
      </c>
      <c r="AP53" s="33">
        <f t="shared" ca="1" si="45"/>
        <v>1.0077949238557628E-2</v>
      </c>
      <c r="AQ53" s="33">
        <f t="shared" ca="1" si="45"/>
        <v>1.1918485897558834E-2</v>
      </c>
      <c r="AR53" s="33">
        <f t="shared" ca="1" si="45"/>
        <v>8.8182755546360302E-3</v>
      </c>
      <c r="AS53" s="33">
        <f t="shared" ca="1" si="45"/>
        <v>1.2721019950245613E-2</v>
      </c>
      <c r="AT53" s="33">
        <f t="shared" ca="1" si="45"/>
        <v>1.2841343150483141E-2</v>
      </c>
      <c r="AU53" s="33">
        <f t="shared" ca="1" si="45"/>
        <v>1.3802934026455525E-2</v>
      </c>
      <c r="AV53" s="33">
        <f t="shared" ca="1" si="45"/>
        <v>1.2067226221776717E-2</v>
      </c>
      <c r="AW53" s="33">
        <f t="shared" ca="1" si="46"/>
        <v>1.1901401641349958E-2</v>
      </c>
      <c r="AX53" s="33">
        <f t="shared" ca="1" si="46"/>
        <v>1.0006848077061502E-2</v>
      </c>
      <c r="AY53" s="33">
        <f t="shared" ca="1" si="46"/>
        <v>1.4043524385859117E-2</v>
      </c>
      <c r="AZ53" s="33">
        <f t="shared" ca="1" si="46"/>
        <v>1.2672212484735924E-2</v>
      </c>
      <c r="BA53" s="33">
        <f t="shared" ca="1" si="46"/>
        <v>1.234719661381844E-2</v>
      </c>
      <c r="BB53" s="33">
        <f t="shared" ca="1" si="46"/>
        <v>8.8417486161924946E-3</v>
      </c>
      <c r="BC53" s="33">
        <f t="shared" ca="1" si="46"/>
        <v>1.1288660974171114E-2</v>
      </c>
      <c r="BD53" s="33">
        <f t="shared" ca="1" si="46"/>
        <v>1.3500567022436856E-2</v>
      </c>
      <c r="BE53" s="33">
        <f t="shared" ca="1" si="46"/>
        <v>1.0290110267977402E-2</v>
      </c>
      <c r="BF53" s="33">
        <f t="shared" ca="1" si="46"/>
        <v>1.0982591299897707E-2</v>
      </c>
      <c r="BG53" s="33">
        <f t="shared" ca="1" si="47"/>
        <v>1.0150085778044307E-2</v>
      </c>
      <c r="BH53" s="33">
        <f t="shared" ca="1" si="47"/>
        <v>1.1793005973411286E-2</v>
      </c>
      <c r="BI53" s="33">
        <f t="shared" ca="1" si="47"/>
        <v>1.0036015463429509E-2</v>
      </c>
      <c r="BJ53" s="33">
        <f t="shared" ca="1" si="47"/>
        <v>9.6165778185298041E-3</v>
      </c>
      <c r="BK53" s="33">
        <f t="shared" ca="1" si="47"/>
        <v>1.3374038735681645E-2</v>
      </c>
      <c r="BL53" s="33">
        <f t="shared" ca="1" si="47"/>
        <v>1.1690779300532118E-2</v>
      </c>
      <c r="BM53" s="33">
        <f t="shared" ca="1" si="47"/>
        <v>1.4405219809101198E-2</v>
      </c>
      <c r="BN53" s="33">
        <f t="shared" ca="1" si="47"/>
        <v>1.0966517495164425E-2</v>
      </c>
      <c r="BO53" s="33">
        <f t="shared" ca="1" si="47"/>
        <v>1.2004943133686389E-2</v>
      </c>
      <c r="BP53" s="33">
        <f t="shared" ca="1" si="47"/>
        <v>1.2091730472831973E-2</v>
      </c>
      <c r="BQ53" s="33">
        <f t="shared" ca="1" si="48"/>
        <v>9.6188294446300383E-3</v>
      </c>
      <c r="BR53" s="33">
        <f t="shared" ca="1" si="48"/>
        <v>1.1651136885160873E-2</v>
      </c>
      <c r="BS53" s="33">
        <f t="shared" ca="1" si="48"/>
        <v>1.2515840090225511E-2</v>
      </c>
      <c r="BT53" s="33">
        <f t="shared" ca="1" si="48"/>
        <v>1.1908814862377277E-2</v>
      </c>
      <c r="BU53" s="33">
        <f t="shared" ca="1" si="48"/>
        <v>1.299332124740933E-2</v>
      </c>
      <c r="BV53" s="33">
        <f t="shared" ca="1" si="48"/>
        <v>1.3858835013819515E-2</v>
      </c>
      <c r="BW53" s="33">
        <f t="shared" ca="1" si="48"/>
        <v>9.1329562750330235E-3</v>
      </c>
      <c r="BX53" s="33">
        <f t="shared" ca="1" si="48"/>
        <v>1.2699176668008049E-2</v>
      </c>
      <c r="BY53" s="33">
        <f t="shared" ca="1" si="48"/>
        <v>1.1423905391170002E-2</v>
      </c>
      <c r="BZ53" s="33">
        <f t="shared" ca="1" si="48"/>
        <v>9.8510419475978887E-3</v>
      </c>
      <c r="CA53" s="33">
        <f t="shared" ca="1" si="49"/>
        <v>1.1415155537319708E-2</v>
      </c>
      <c r="CB53" s="33">
        <f t="shared" ca="1" si="49"/>
        <v>1.0982225691219132E-2</v>
      </c>
      <c r="CC53" s="33">
        <f t="shared" ca="1" si="49"/>
        <v>1.3463810397162809E-2</v>
      </c>
      <c r="CD53" s="33">
        <f t="shared" ca="1" si="49"/>
        <v>1.3318772136447108E-2</v>
      </c>
      <c r="CE53" s="33">
        <f t="shared" ca="1" si="49"/>
        <v>1.1570708351517132E-2</v>
      </c>
      <c r="CF53" s="33">
        <f t="shared" ca="1" si="49"/>
        <v>9.5517195812215398E-3</v>
      </c>
      <c r="CG53" s="33">
        <f t="shared" ca="1" si="49"/>
        <v>8.5467469586401855E-3</v>
      </c>
      <c r="CH53" s="33">
        <f t="shared" ca="1" si="49"/>
        <v>1.32620343531882E-2</v>
      </c>
      <c r="CI53" s="33">
        <f t="shared" ca="1" si="49"/>
        <v>1.1523877088480388E-2</v>
      </c>
      <c r="CJ53" s="33">
        <f t="shared" ca="1" si="49"/>
        <v>1.4040733953794071E-2</v>
      </c>
      <c r="CK53" s="33">
        <f t="shared" ca="1" si="50"/>
        <v>1.4286237079493329E-2</v>
      </c>
      <c r="CL53" s="33">
        <f t="shared" ca="1" si="50"/>
        <v>1.0996750578831987E-2</v>
      </c>
      <c r="CM53" s="33">
        <f t="shared" ca="1" si="50"/>
        <v>1.2805121997446661E-2</v>
      </c>
      <c r="CN53" s="33">
        <f t="shared" ca="1" si="50"/>
        <v>1.277736489999173E-2</v>
      </c>
      <c r="CO53" s="33">
        <f t="shared" ca="1" si="50"/>
        <v>1.1120501692979035E-2</v>
      </c>
      <c r="CP53" s="33">
        <f t="shared" ca="1" si="50"/>
        <v>1.3575722796518705E-2</v>
      </c>
      <c r="CQ53" s="33">
        <f t="shared" ca="1" si="50"/>
        <v>1.0536113972051019E-2</v>
      </c>
      <c r="CR53" s="33">
        <f t="shared" ca="1" si="50"/>
        <v>1.253253775175734E-2</v>
      </c>
      <c r="CS53" s="33">
        <f t="shared" ca="1" si="50"/>
        <v>1.4396389325987462E-2</v>
      </c>
      <c r="CT53" s="33">
        <f t="shared" ca="1" si="50"/>
        <v>1.2726236571153567E-2</v>
      </c>
      <c r="CU53" s="33">
        <f t="shared" ca="1" si="51"/>
        <v>1.3405343071266848E-2</v>
      </c>
      <c r="CV53" s="33">
        <f t="shared" ca="1" si="51"/>
        <v>1.2063443833999625E-2</v>
      </c>
      <c r="CW53" s="33">
        <f t="shared" ca="1" si="51"/>
        <v>1.0336700830078323E-2</v>
      </c>
      <c r="CX53" s="33">
        <f t="shared" ca="1" si="51"/>
        <v>1.0217648053643159E-2</v>
      </c>
      <c r="CY53" s="33">
        <f t="shared" ca="1" si="51"/>
        <v>8.9580410388063782E-3</v>
      </c>
      <c r="CZ53" s="33">
        <f t="shared" ca="1" si="51"/>
        <v>9.7528322318332205E-3</v>
      </c>
      <c r="DA53" s="33">
        <f t="shared" ca="1" si="51"/>
        <v>1.3049063062412927E-2</v>
      </c>
      <c r="DB53" s="33">
        <f t="shared" ca="1" si="51"/>
        <v>1.2002951352997738E-2</v>
      </c>
      <c r="DC53" s="33">
        <f t="shared" ca="1" si="51"/>
        <v>1.0824256621706784E-2</v>
      </c>
      <c r="DD53" s="33">
        <f t="shared" ca="1" si="51"/>
        <v>1.0616388458217767E-2</v>
      </c>
      <c r="DE53" s="33">
        <f t="shared" ca="1" si="52"/>
        <v>1.3143283332577735E-2</v>
      </c>
      <c r="DF53" s="33">
        <f t="shared" ca="1" si="52"/>
        <v>1.0778348122111796E-2</v>
      </c>
      <c r="DG53" s="33">
        <f t="shared" ca="1" si="52"/>
        <v>1.469812506119389E-2</v>
      </c>
      <c r="DH53" s="33">
        <f t="shared" ca="1" si="52"/>
        <v>1.3358345412251295E-2</v>
      </c>
      <c r="DI53" s="33">
        <f t="shared" ca="1" si="52"/>
        <v>1.2010703217088001E-2</v>
      </c>
      <c r="DJ53" s="33">
        <f t="shared" ca="1" si="52"/>
        <v>1.1114531941405213E-2</v>
      </c>
      <c r="DK53" s="33">
        <f t="shared" ca="1" si="52"/>
        <v>1.0069002222503084E-2</v>
      </c>
      <c r="DL53" s="33">
        <f t="shared" ca="1" si="52"/>
        <v>1.117835974661497E-2</v>
      </c>
      <c r="DM53" s="33">
        <f t="shared" ca="1" si="52"/>
        <v>1.04660858282616E-2</v>
      </c>
      <c r="DN53" s="33">
        <f t="shared" ca="1" si="52"/>
        <v>1.1910548411747586E-2</v>
      </c>
      <c r="DO53" s="12"/>
      <c r="DP53" s="12"/>
      <c r="DQ53" s="12"/>
    </row>
    <row r="54" spans="1:121" x14ac:dyDescent="0.2">
      <c r="A54" s="17" t="s">
        <v>98</v>
      </c>
      <c r="I54" s="32">
        <v>46054</v>
      </c>
      <c r="J54" s="33">
        <f t="shared" ca="1" si="42"/>
        <v>1.2458580599203893E-2</v>
      </c>
      <c r="K54" s="9">
        <v>2871.8507999999997</v>
      </c>
      <c r="L54" s="9">
        <f t="shared" ca="1" si="11"/>
        <v>137789.72115804098</v>
      </c>
      <c r="N54" s="6">
        <v>50</v>
      </c>
      <c r="O54" s="5">
        <v>3.9489289240951728</v>
      </c>
      <c r="P54" s="9">
        <v>680574.04025977908</v>
      </c>
      <c r="R54" s="32">
        <v>46054</v>
      </c>
      <c r="S54" s="33">
        <f t="shared" ca="1" si="43"/>
        <v>1.1937493247060092E-2</v>
      </c>
      <c r="T54" s="33">
        <f t="shared" ca="1" si="43"/>
        <v>1.1757049752282683E-2</v>
      </c>
      <c r="U54" s="33">
        <f t="shared" ca="1" si="43"/>
        <v>1.1800675260773183E-2</v>
      </c>
      <c r="V54" s="33">
        <f t="shared" ca="1" si="43"/>
        <v>1.2843587676559827E-2</v>
      </c>
      <c r="W54" s="33">
        <f t="shared" ca="1" si="43"/>
        <v>1.0091562924091475E-2</v>
      </c>
      <c r="X54" s="33">
        <f t="shared" ca="1" si="43"/>
        <v>9.2091740004967178E-3</v>
      </c>
      <c r="Y54" s="33">
        <f t="shared" ca="1" si="43"/>
        <v>1.2153134256216135E-2</v>
      </c>
      <c r="Z54" s="33">
        <f t="shared" ca="1" si="43"/>
        <v>8.6454854520214494E-3</v>
      </c>
      <c r="AA54" s="33">
        <f t="shared" ca="1" si="43"/>
        <v>7.9417023418296533E-3</v>
      </c>
      <c r="AB54" s="33">
        <f t="shared" ca="1" si="43"/>
        <v>1.2528373931535714E-2</v>
      </c>
      <c r="AC54" s="33">
        <f t="shared" ca="1" si="44"/>
        <v>1.1764910780575913E-2</v>
      </c>
      <c r="AD54" s="33">
        <f t="shared" ca="1" si="44"/>
        <v>1.2399534733257552E-2</v>
      </c>
      <c r="AE54" s="33">
        <f t="shared" ca="1" si="44"/>
        <v>1.3001386080866017E-2</v>
      </c>
      <c r="AF54" s="33">
        <f t="shared" ca="1" si="44"/>
        <v>1.0650326829326406E-2</v>
      </c>
      <c r="AG54" s="33">
        <f t="shared" ca="1" si="44"/>
        <v>1.1062333166242963E-2</v>
      </c>
      <c r="AH54" s="33">
        <f t="shared" ca="1" si="44"/>
        <v>9.4599218815593373E-3</v>
      </c>
      <c r="AI54" s="33">
        <f t="shared" ca="1" si="44"/>
        <v>1.20858192157084E-2</v>
      </c>
      <c r="AJ54" s="33">
        <f t="shared" ca="1" si="44"/>
        <v>1.0589109449974779E-2</v>
      </c>
      <c r="AK54" s="33">
        <f t="shared" ca="1" si="44"/>
        <v>1.0570382201723004E-2</v>
      </c>
      <c r="AL54" s="33">
        <f t="shared" ca="1" si="44"/>
        <v>1.3290602511795077E-2</v>
      </c>
      <c r="AM54" s="33">
        <f t="shared" ca="1" si="45"/>
        <v>1.170716201307403E-2</v>
      </c>
      <c r="AN54" s="33">
        <f t="shared" ca="1" si="45"/>
        <v>1.0812857687541651E-2</v>
      </c>
      <c r="AO54" s="33">
        <f t="shared" ca="1" si="45"/>
        <v>1.29939684779284E-2</v>
      </c>
      <c r="AP54" s="33">
        <f t="shared" ca="1" si="45"/>
        <v>1.1237432284353298E-2</v>
      </c>
      <c r="AQ54" s="33">
        <f t="shared" ca="1" si="45"/>
        <v>9.5619423684523489E-3</v>
      </c>
      <c r="AR54" s="33">
        <f t="shared" ca="1" si="45"/>
        <v>1.0900815293852862E-2</v>
      </c>
      <c r="AS54" s="33">
        <f t="shared" ca="1" si="45"/>
        <v>9.852025364397856E-3</v>
      </c>
      <c r="AT54" s="33">
        <f t="shared" ca="1" si="45"/>
        <v>1.1332371927718009E-2</v>
      </c>
      <c r="AU54" s="33">
        <f t="shared" ca="1" si="45"/>
        <v>1.2432826741684982E-2</v>
      </c>
      <c r="AV54" s="33">
        <f t="shared" ca="1" si="45"/>
        <v>1.0938153725264873E-2</v>
      </c>
      <c r="AW54" s="33">
        <f t="shared" ca="1" si="46"/>
        <v>9.1199710751321515E-3</v>
      </c>
      <c r="AX54" s="33">
        <f t="shared" ca="1" si="46"/>
        <v>1.1628170129922902E-2</v>
      </c>
      <c r="AY54" s="33">
        <f t="shared" ca="1" si="46"/>
        <v>9.8345270234326404E-3</v>
      </c>
      <c r="AZ54" s="33">
        <f t="shared" ca="1" si="46"/>
        <v>1.0247849063238048E-2</v>
      </c>
      <c r="BA54" s="33">
        <f t="shared" ca="1" si="46"/>
        <v>1.2235968265485694E-2</v>
      </c>
      <c r="BB54" s="33">
        <f t="shared" ca="1" si="46"/>
        <v>1.176838690873297E-2</v>
      </c>
      <c r="BC54" s="33">
        <f t="shared" ca="1" si="46"/>
        <v>9.1907223463012326E-3</v>
      </c>
      <c r="BD54" s="33">
        <f t="shared" ca="1" si="46"/>
        <v>1.2151081505299038E-2</v>
      </c>
      <c r="BE54" s="33">
        <f t="shared" ca="1" si="46"/>
        <v>7.3265154876479876E-3</v>
      </c>
      <c r="BF54" s="33">
        <f t="shared" ca="1" si="46"/>
        <v>1.2420264842680207E-2</v>
      </c>
      <c r="BG54" s="33">
        <f t="shared" ca="1" si="47"/>
        <v>1.0702484736073034E-2</v>
      </c>
      <c r="BH54" s="33">
        <f t="shared" ca="1" si="47"/>
        <v>1.2860773038977761E-2</v>
      </c>
      <c r="BI54" s="33">
        <f t="shared" ca="1" si="47"/>
        <v>9.5763530224399693E-3</v>
      </c>
      <c r="BJ54" s="33">
        <f t="shared" ca="1" si="47"/>
        <v>9.4942274120485299E-3</v>
      </c>
      <c r="BK54" s="33">
        <f t="shared" ca="1" si="47"/>
        <v>1.0326592000615495E-2</v>
      </c>
      <c r="BL54" s="33">
        <f t="shared" ca="1" si="47"/>
        <v>8.8190137571508408E-3</v>
      </c>
      <c r="BM54" s="33">
        <f t="shared" ca="1" si="47"/>
        <v>9.0286532005685802E-3</v>
      </c>
      <c r="BN54" s="33">
        <f t="shared" ca="1" si="47"/>
        <v>9.2561213766311819E-3</v>
      </c>
      <c r="BO54" s="33">
        <f t="shared" ca="1" si="47"/>
        <v>9.5549471521558481E-3</v>
      </c>
      <c r="BP54" s="33">
        <f t="shared" ca="1" si="47"/>
        <v>1.2999136165178976E-2</v>
      </c>
      <c r="BQ54" s="33">
        <f t="shared" ca="1" si="48"/>
        <v>1.1081006959279324E-2</v>
      </c>
      <c r="BR54" s="33">
        <f t="shared" ca="1" si="48"/>
        <v>1.0724579955128466E-2</v>
      </c>
      <c r="BS54" s="33">
        <f t="shared" ca="1" si="48"/>
        <v>1.0508901774007403E-2</v>
      </c>
      <c r="BT54" s="33">
        <f t="shared" ca="1" si="48"/>
        <v>1.250764226513011E-2</v>
      </c>
      <c r="BU54" s="33">
        <f t="shared" ca="1" si="48"/>
        <v>1.1789264972666469E-2</v>
      </c>
      <c r="BV54" s="33">
        <f t="shared" ca="1" si="48"/>
        <v>1.3263683758771331E-2</v>
      </c>
      <c r="BW54" s="33">
        <f t="shared" ca="1" si="48"/>
        <v>1.1887661106392123E-2</v>
      </c>
      <c r="BX54" s="33">
        <f t="shared" ca="1" si="48"/>
        <v>1.1984661679824872E-2</v>
      </c>
      <c r="BY54" s="33">
        <f t="shared" ca="1" si="48"/>
        <v>1.0213589246909873E-2</v>
      </c>
      <c r="BZ54" s="33">
        <f t="shared" ca="1" si="48"/>
        <v>1.4437586988096496E-2</v>
      </c>
      <c r="CA54" s="33">
        <f t="shared" ca="1" si="49"/>
        <v>1.339951431857659E-2</v>
      </c>
      <c r="CB54" s="33">
        <f t="shared" ca="1" si="49"/>
        <v>7.8965214989617817E-3</v>
      </c>
      <c r="CC54" s="33">
        <f t="shared" ca="1" si="49"/>
        <v>1.4554057334670214E-2</v>
      </c>
      <c r="CD54" s="33">
        <f t="shared" ca="1" si="49"/>
        <v>1.1745051701863487E-2</v>
      </c>
      <c r="CE54" s="33">
        <f t="shared" ca="1" si="49"/>
        <v>1.0617115740841844E-2</v>
      </c>
      <c r="CF54" s="33">
        <f t="shared" ca="1" si="49"/>
        <v>1.1323104598794157E-2</v>
      </c>
      <c r="CG54" s="33">
        <f t="shared" ca="1" si="49"/>
        <v>1.1456965990817485E-2</v>
      </c>
      <c r="CH54" s="33">
        <f t="shared" ca="1" si="49"/>
        <v>1.2020761137366691E-2</v>
      </c>
      <c r="CI54" s="33">
        <f t="shared" ca="1" si="49"/>
        <v>1.3317772663374083E-2</v>
      </c>
      <c r="CJ54" s="33">
        <f t="shared" ca="1" si="49"/>
        <v>1.1587683760324957E-2</v>
      </c>
      <c r="CK54" s="33">
        <f t="shared" ca="1" si="50"/>
        <v>1.183918719521428E-2</v>
      </c>
      <c r="CL54" s="33">
        <f t="shared" ca="1" si="50"/>
        <v>1.467895983177734E-2</v>
      </c>
      <c r="CM54" s="33">
        <f t="shared" ca="1" si="50"/>
        <v>1.3860969550523702E-2</v>
      </c>
      <c r="CN54" s="33">
        <f t="shared" ca="1" si="50"/>
        <v>1.199895215775963E-2</v>
      </c>
      <c r="CO54" s="33">
        <f t="shared" ca="1" si="50"/>
        <v>1.3975586213756275E-2</v>
      </c>
      <c r="CP54" s="33">
        <f t="shared" ca="1" si="50"/>
        <v>1.0035480901462392E-2</v>
      </c>
      <c r="CQ54" s="33">
        <f t="shared" ca="1" si="50"/>
        <v>9.7201391339966706E-3</v>
      </c>
      <c r="CR54" s="33">
        <f t="shared" ca="1" si="50"/>
        <v>1.0350103152384962E-2</v>
      </c>
      <c r="CS54" s="33">
        <f t="shared" ca="1" si="50"/>
        <v>1.2097735956722457E-2</v>
      </c>
      <c r="CT54" s="33">
        <f t="shared" ca="1" si="50"/>
        <v>1.1221504293719205E-2</v>
      </c>
      <c r="CU54" s="33">
        <f t="shared" ca="1" si="51"/>
        <v>1.0611308063224292E-2</v>
      </c>
      <c r="CV54" s="33">
        <f t="shared" ca="1" si="51"/>
        <v>1.0037422093883502E-2</v>
      </c>
      <c r="CW54" s="33">
        <f t="shared" ca="1" si="51"/>
        <v>1.0626131647367931E-2</v>
      </c>
      <c r="CX54" s="33">
        <f t="shared" ca="1" si="51"/>
        <v>1.2709586104441343E-2</v>
      </c>
      <c r="CY54" s="33">
        <f t="shared" ca="1" si="51"/>
        <v>1.1505793411243075E-2</v>
      </c>
      <c r="CZ54" s="33">
        <f t="shared" ca="1" si="51"/>
        <v>1.0909253274006277E-2</v>
      </c>
      <c r="DA54" s="33">
        <f t="shared" ca="1" si="51"/>
        <v>1.232732212491572E-2</v>
      </c>
      <c r="DB54" s="33">
        <f t="shared" ca="1" si="51"/>
        <v>1.1301466254989239E-2</v>
      </c>
      <c r="DC54" s="33">
        <f t="shared" ca="1" si="51"/>
        <v>1.1154672675040084E-2</v>
      </c>
      <c r="DD54" s="33">
        <f t="shared" ca="1" si="51"/>
        <v>1.0552701288789927E-2</v>
      </c>
      <c r="DE54" s="33">
        <f t="shared" ca="1" si="52"/>
        <v>1.2507151270210118E-2</v>
      </c>
      <c r="DF54" s="33">
        <f t="shared" ca="1" si="52"/>
        <v>1.1686348261223098E-2</v>
      </c>
      <c r="DG54" s="33">
        <f t="shared" ca="1" si="52"/>
        <v>1.0087739898453754E-2</v>
      </c>
      <c r="DH54" s="33">
        <f t="shared" ca="1" si="52"/>
        <v>1.1283159931200925E-2</v>
      </c>
      <c r="DI54" s="33">
        <f t="shared" ca="1" si="52"/>
        <v>9.6946261776984267E-3</v>
      </c>
      <c r="DJ54" s="33">
        <f t="shared" ca="1" si="52"/>
        <v>1.1552063988433444E-2</v>
      </c>
      <c r="DK54" s="33">
        <f t="shared" ca="1" si="52"/>
        <v>1.2589736318806895E-2</v>
      </c>
      <c r="DL54" s="33">
        <f t="shared" ca="1" si="52"/>
        <v>1.3999745558853281E-2</v>
      </c>
      <c r="DM54" s="33">
        <f t="shared" ca="1" si="52"/>
        <v>1.249628310295949E-2</v>
      </c>
      <c r="DN54" s="33">
        <f t="shared" ca="1" si="52"/>
        <v>1.261632010801495E-2</v>
      </c>
      <c r="DO54" s="12"/>
      <c r="DP54" s="12"/>
      <c r="DQ54" s="12"/>
    </row>
    <row r="55" spans="1:121" x14ac:dyDescent="0.2">
      <c r="I55" s="32">
        <v>46082</v>
      </c>
      <c r="J55" s="33">
        <f t="shared" ca="1" si="42"/>
        <v>1.3422424824025954E-2</v>
      </c>
      <c r="K55" s="9">
        <v>2871.8507999999997</v>
      </c>
      <c r="L55" s="9">
        <f t="shared" ca="1" si="11"/>
        <v>142523.51205321113</v>
      </c>
      <c r="N55" s="6">
        <v>51</v>
      </c>
      <c r="O55" s="5">
        <v>3.9476841915996448</v>
      </c>
      <c r="P55" s="9">
        <v>693834.70148017362</v>
      </c>
      <c r="R55" s="32">
        <v>46082</v>
      </c>
      <c r="S55" s="33">
        <f t="shared" ref="S55:AB64" ca="1" si="53">_xlfn.NORM.INV(RAND(),$A$52,$B$45)</f>
        <v>1.0694912282896814E-2</v>
      </c>
      <c r="T55" s="33">
        <f t="shared" ca="1" si="53"/>
        <v>1.0986018491009176E-2</v>
      </c>
      <c r="U55" s="33">
        <f t="shared" ca="1" si="53"/>
        <v>1.2028662219992617E-2</v>
      </c>
      <c r="V55" s="33">
        <f t="shared" ca="1" si="53"/>
        <v>1.1487556527683915E-2</v>
      </c>
      <c r="W55" s="33">
        <f t="shared" ca="1" si="53"/>
        <v>1.5121406903972488E-2</v>
      </c>
      <c r="X55" s="33">
        <f t="shared" ca="1" si="53"/>
        <v>1.3135249651580628E-2</v>
      </c>
      <c r="Y55" s="33">
        <f t="shared" ca="1" si="53"/>
        <v>1.3397892543322147E-2</v>
      </c>
      <c r="Z55" s="33">
        <f t="shared" ca="1" si="53"/>
        <v>1.1826878293122301E-2</v>
      </c>
      <c r="AA55" s="33">
        <f t="shared" ca="1" si="53"/>
        <v>9.5952226046871654E-3</v>
      </c>
      <c r="AB55" s="33">
        <f t="shared" ca="1" si="53"/>
        <v>1.1105094093476462E-2</v>
      </c>
      <c r="AC55" s="33">
        <f t="shared" ref="AC55:AL64" ca="1" si="54">_xlfn.NORM.INV(RAND(),$A$52,$B$45)</f>
        <v>1.1567985303444193E-2</v>
      </c>
      <c r="AD55" s="33">
        <f t="shared" ca="1" si="54"/>
        <v>1.1035053806723412E-2</v>
      </c>
      <c r="AE55" s="33">
        <f t="shared" ca="1" si="54"/>
        <v>1.0903776126499485E-2</v>
      </c>
      <c r="AF55" s="33">
        <f t="shared" ca="1" si="54"/>
        <v>1.0797434212970173E-2</v>
      </c>
      <c r="AG55" s="33">
        <f t="shared" ca="1" si="54"/>
        <v>1.0692166979839707E-2</v>
      </c>
      <c r="AH55" s="33">
        <f t="shared" ca="1" si="54"/>
        <v>8.9938634826727329E-3</v>
      </c>
      <c r="AI55" s="33">
        <f t="shared" ca="1" si="54"/>
        <v>1.3837344905955199E-2</v>
      </c>
      <c r="AJ55" s="33">
        <f t="shared" ca="1" si="54"/>
        <v>9.5018285905872427E-3</v>
      </c>
      <c r="AK55" s="33">
        <f t="shared" ca="1" si="54"/>
        <v>1.143738421034181E-2</v>
      </c>
      <c r="AL55" s="33">
        <f t="shared" ca="1" si="54"/>
        <v>1.2531349928936246E-2</v>
      </c>
      <c r="AM55" s="33">
        <f t="shared" ref="AM55:AV64" ca="1" si="55">_xlfn.NORM.INV(RAND(),$A$52,$B$45)</f>
        <v>1.3147764056676952E-2</v>
      </c>
      <c r="AN55" s="33">
        <f t="shared" ca="1" si="55"/>
        <v>1.1760603328562212E-2</v>
      </c>
      <c r="AO55" s="33">
        <f t="shared" ca="1" si="55"/>
        <v>1.1445577817509591E-2</v>
      </c>
      <c r="AP55" s="33">
        <f t="shared" ca="1" si="55"/>
        <v>9.6702167244595884E-3</v>
      </c>
      <c r="AQ55" s="33">
        <f t="shared" ca="1" si="55"/>
        <v>1.1879290162697335E-2</v>
      </c>
      <c r="AR55" s="33">
        <f t="shared" ca="1" si="55"/>
        <v>1.251914531856912E-2</v>
      </c>
      <c r="AS55" s="33">
        <f t="shared" ca="1" si="55"/>
        <v>1.0008836154280911E-2</v>
      </c>
      <c r="AT55" s="33">
        <f t="shared" ca="1" si="55"/>
        <v>1.3261311777982943E-2</v>
      </c>
      <c r="AU55" s="33">
        <f t="shared" ca="1" si="55"/>
        <v>1.3153906299291205E-2</v>
      </c>
      <c r="AV55" s="33">
        <f t="shared" ca="1" si="55"/>
        <v>1.0315799575963062E-2</v>
      </c>
      <c r="AW55" s="33">
        <f t="shared" ref="AW55:BF64" ca="1" si="56">_xlfn.NORM.INV(RAND(),$A$52,$B$45)</f>
        <v>1.177897216204188E-2</v>
      </c>
      <c r="AX55" s="33">
        <f t="shared" ca="1" si="56"/>
        <v>9.6713677718556854E-3</v>
      </c>
      <c r="AY55" s="33">
        <f t="shared" ca="1" si="56"/>
        <v>1.1315352102299309E-2</v>
      </c>
      <c r="AZ55" s="33">
        <f t="shared" ca="1" si="56"/>
        <v>9.6847181893106281E-3</v>
      </c>
      <c r="BA55" s="33">
        <f t="shared" ca="1" si="56"/>
        <v>1.1228515212858408E-2</v>
      </c>
      <c r="BB55" s="33">
        <f t="shared" ca="1" si="56"/>
        <v>1.1679974860541275E-2</v>
      </c>
      <c r="BC55" s="33">
        <f t="shared" ca="1" si="56"/>
        <v>9.8570036461726723E-3</v>
      </c>
      <c r="BD55" s="33">
        <f t="shared" ca="1" si="56"/>
        <v>1.2403255378902984E-2</v>
      </c>
      <c r="BE55" s="33">
        <f t="shared" ca="1" si="56"/>
        <v>1.0220660123203565E-2</v>
      </c>
      <c r="BF55" s="33">
        <f t="shared" ca="1" si="56"/>
        <v>9.8342706972538926E-3</v>
      </c>
      <c r="BG55" s="33">
        <f t="shared" ref="BG55:BP64" ca="1" si="57">_xlfn.NORM.INV(RAND(),$A$52,$B$45)</f>
        <v>1.3279098387122984E-2</v>
      </c>
      <c r="BH55" s="33">
        <f t="shared" ca="1" si="57"/>
        <v>1.1831330365833536E-2</v>
      </c>
      <c r="BI55" s="33">
        <f t="shared" ca="1" si="57"/>
        <v>9.77906185275065E-3</v>
      </c>
      <c r="BJ55" s="33">
        <f t="shared" ca="1" si="57"/>
        <v>1.1558804706895416E-2</v>
      </c>
      <c r="BK55" s="33">
        <f t="shared" ca="1" si="57"/>
        <v>1.0965782500445082E-2</v>
      </c>
      <c r="BL55" s="33">
        <f t="shared" ca="1" si="57"/>
        <v>1.3681769429857252E-2</v>
      </c>
      <c r="BM55" s="33">
        <f t="shared" ca="1" si="57"/>
        <v>1.1805048602184239E-2</v>
      </c>
      <c r="BN55" s="33">
        <f t="shared" ca="1" si="57"/>
        <v>1.2718334913009149E-2</v>
      </c>
      <c r="BO55" s="33">
        <f t="shared" ca="1" si="57"/>
        <v>1.2340229840978493E-2</v>
      </c>
      <c r="BP55" s="33">
        <f t="shared" ca="1" si="57"/>
        <v>1.1250570218926207E-2</v>
      </c>
      <c r="BQ55" s="33">
        <f t="shared" ref="BQ55:BZ64" ca="1" si="58">_xlfn.NORM.INV(RAND(),$A$52,$B$45)</f>
        <v>1.1563338823265051E-2</v>
      </c>
      <c r="BR55" s="33">
        <f t="shared" ca="1" si="58"/>
        <v>1.0670449421213512E-2</v>
      </c>
      <c r="BS55" s="33">
        <f t="shared" ca="1" si="58"/>
        <v>9.7367194184476268E-3</v>
      </c>
      <c r="BT55" s="33">
        <f t="shared" ca="1" si="58"/>
        <v>1.2250022025857741E-2</v>
      </c>
      <c r="BU55" s="33">
        <f t="shared" ca="1" si="58"/>
        <v>1.0624304958848287E-2</v>
      </c>
      <c r="BV55" s="33">
        <f t="shared" ca="1" si="58"/>
        <v>1.1648770376631678E-2</v>
      </c>
      <c r="BW55" s="33">
        <f t="shared" ca="1" si="58"/>
        <v>1.3637549762098281E-2</v>
      </c>
      <c r="BX55" s="33">
        <f t="shared" ca="1" si="58"/>
        <v>1.0942359656904529E-2</v>
      </c>
      <c r="BY55" s="33">
        <f t="shared" ca="1" si="58"/>
        <v>1.3203995180350972E-2</v>
      </c>
      <c r="BZ55" s="33">
        <f t="shared" ca="1" si="58"/>
        <v>1.1453611021310576E-2</v>
      </c>
      <c r="CA55" s="33">
        <f t="shared" ref="CA55:CJ64" ca="1" si="59">_xlfn.NORM.INV(RAND(),$A$52,$B$45)</f>
        <v>1.091665549707106E-2</v>
      </c>
      <c r="CB55" s="33">
        <f t="shared" ca="1" si="59"/>
        <v>1.3626780601458511E-2</v>
      </c>
      <c r="CC55" s="33">
        <f t="shared" ca="1" si="59"/>
        <v>7.6876999841520837E-3</v>
      </c>
      <c r="CD55" s="33">
        <f t="shared" ca="1" si="59"/>
        <v>1.1597819199541171E-2</v>
      </c>
      <c r="CE55" s="33">
        <f t="shared" ca="1" si="59"/>
        <v>1.1678630980183669E-2</v>
      </c>
      <c r="CF55" s="33">
        <f t="shared" ca="1" si="59"/>
        <v>1.2059448720629999E-2</v>
      </c>
      <c r="CG55" s="33">
        <f t="shared" ca="1" si="59"/>
        <v>1.0647144499998913E-2</v>
      </c>
      <c r="CH55" s="33">
        <f t="shared" ca="1" si="59"/>
        <v>1.1788435807160639E-2</v>
      </c>
      <c r="CI55" s="33">
        <f t="shared" ca="1" si="59"/>
        <v>1.1415081990350077E-2</v>
      </c>
      <c r="CJ55" s="33">
        <f t="shared" ca="1" si="59"/>
        <v>9.3635764233028131E-3</v>
      </c>
      <c r="CK55" s="33">
        <f t="shared" ref="CK55:CT64" ca="1" si="60">_xlfn.NORM.INV(RAND(),$A$52,$B$45)</f>
        <v>8.7731949755656003E-3</v>
      </c>
      <c r="CL55" s="33">
        <f t="shared" ca="1" si="60"/>
        <v>9.9664593286466589E-3</v>
      </c>
      <c r="CM55" s="33">
        <f t="shared" ca="1" si="60"/>
        <v>9.9569081008127943E-3</v>
      </c>
      <c r="CN55" s="33">
        <f t="shared" ca="1" si="60"/>
        <v>1.157333282436151E-2</v>
      </c>
      <c r="CO55" s="33">
        <f t="shared" ca="1" si="60"/>
        <v>1.2335272999288029E-2</v>
      </c>
      <c r="CP55" s="33">
        <f t="shared" ca="1" si="60"/>
        <v>9.183707411689019E-3</v>
      </c>
      <c r="CQ55" s="33">
        <f t="shared" ca="1" si="60"/>
        <v>9.5315032669348217E-3</v>
      </c>
      <c r="CR55" s="33">
        <f t="shared" ca="1" si="60"/>
        <v>1.2018832160414262E-2</v>
      </c>
      <c r="CS55" s="33">
        <f t="shared" ca="1" si="60"/>
        <v>1.1459253403309177E-2</v>
      </c>
      <c r="CT55" s="33">
        <f t="shared" ca="1" si="60"/>
        <v>1.3446626678688281E-2</v>
      </c>
      <c r="CU55" s="33">
        <f t="shared" ref="CU55:DD64" ca="1" si="61">_xlfn.NORM.INV(RAND(),$A$52,$B$45)</f>
        <v>9.7745047533587051E-3</v>
      </c>
      <c r="CV55" s="33">
        <f t="shared" ca="1" si="61"/>
        <v>1.2750803908223567E-2</v>
      </c>
      <c r="CW55" s="33">
        <f t="shared" ca="1" si="61"/>
        <v>1.0962417436272534E-2</v>
      </c>
      <c r="CX55" s="33">
        <f t="shared" ca="1" si="61"/>
        <v>9.4173773893720218E-3</v>
      </c>
      <c r="CY55" s="33">
        <f t="shared" ca="1" si="61"/>
        <v>1.1756589440984143E-2</v>
      </c>
      <c r="CZ55" s="33">
        <f t="shared" ca="1" si="61"/>
        <v>1.2933228154193023E-2</v>
      </c>
      <c r="DA55" s="33">
        <f t="shared" ca="1" si="61"/>
        <v>1.0754344046200931E-2</v>
      </c>
      <c r="DB55" s="33">
        <f t="shared" ca="1" si="61"/>
        <v>1.2921170030609823E-2</v>
      </c>
      <c r="DC55" s="33">
        <f t="shared" ca="1" si="61"/>
        <v>1.1844621706925268E-2</v>
      </c>
      <c r="DD55" s="33">
        <f t="shared" ca="1" si="61"/>
        <v>1.133897437150623E-2</v>
      </c>
      <c r="DE55" s="33">
        <f t="shared" ref="DE55:DN64" ca="1" si="62">_xlfn.NORM.INV(RAND(),$A$52,$B$45)</f>
        <v>8.1928588000977354E-3</v>
      </c>
      <c r="DF55" s="33">
        <f t="shared" ca="1" si="62"/>
        <v>1.2818070837878351E-2</v>
      </c>
      <c r="DG55" s="33">
        <f t="shared" ca="1" si="62"/>
        <v>1.1460300044756519E-2</v>
      </c>
      <c r="DH55" s="33">
        <f t="shared" ca="1" si="62"/>
        <v>8.4872578205846261E-3</v>
      </c>
      <c r="DI55" s="33">
        <f t="shared" ca="1" si="62"/>
        <v>1.2147872831919728E-2</v>
      </c>
      <c r="DJ55" s="33">
        <f t="shared" ca="1" si="62"/>
        <v>1.0868549309031122E-2</v>
      </c>
      <c r="DK55" s="33">
        <f t="shared" ca="1" si="62"/>
        <v>8.9619490337974912E-3</v>
      </c>
      <c r="DL55" s="33">
        <f t="shared" ca="1" si="62"/>
        <v>1.0472648394881403E-2</v>
      </c>
      <c r="DM55" s="33">
        <f t="shared" ca="1" si="62"/>
        <v>1.1970637947733911E-2</v>
      </c>
      <c r="DN55" s="33">
        <f t="shared" ca="1" si="62"/>
        <v>1.307264432713166E-2</v>
      </c>
      <c r="DO55" s="12"/>
      <c r="DP55" s="12"/>
      <c r="DQ55" s="12"/>
    </row>
    <row r="56" spans="1:121" x14ac:dyDescent="0.2">
      <c r="A56" s="17" t="s">
        <v>67</v>
      </c>
      <c r="I56" s="32">
        <v>46113</v>
      </c>
      <c r="J56" s="33">
        <f t="shared" ca="1" si="42"/>
        <v>1.2056724982635684E-2</v>
      </c>
      <c r="K56" s="9">
        <v>2871.8507999999997</v>
      </c>
      <c r="L56" s="9">
        <f t="shared" ca="1" si="11"/>
        <v>147124.13033689969</v>
      </c>
      <c r="N56" s="6">
        <v>52</v>
      </c>
      <c r="O56" s="5">
        <v>4.0563042902235527</v>
      </c>
      <c r="P56" s="9">
        <v>703129.32396995067</v>
      </c>
      <c r="R56" s="32">
        <v>46113</v>
      </c>
      <c r="S56" s="33">
        <f t="shared" ca="1" si="53"/>
        <v>1.2774696766661542E-2</v>
      </c>
      <c r="T56" s="33">
        <f t="shared" ca="1" si="53"/>
        <v>1.1797818142131156E-2</v>
      </c>
      <c r="U56" s="33">
        <f t="shared" ca="1" si="53"/>
        <v>1.2561724972069232E-2</v>
      </c>
      <c r="V56" s="33">
        <f t="shared" ca="1" si="53"/>
        <v>1.1155260912562269E-2</v>
      </c>
      <c r="W56" s="33">
        <f t="shared" ca="1" si="53"/>
        <v>1.020317238977328E-2</v>
      </c>
      <c r="X56" s="33">
        <f t="shared" ca="1" si="53"/>
        <v>8.9740322258561322E-3</v>
      </c>
      <c r="Y56" s="33">
        <f t="shared" ca="1" si="53"/>
        <v>1.0979237151556168E-2</v>
      </c>
      <c r="Z56" s="33">
        <f t="shared" ca="1" si="53"/>
        <v>9.4091690632765283E-3</v>
      </c>
      <c r="AA56" s="33">
        <f t="shared" ca="1" si="53"/>
        <v>1.0479280103753454E-2</v>
      </c>
      <c r="AB56" s="33">
        <f t="shared" ca="1" si="53"/>
        <v>1.1661648278524237E-2</v>
      </c>
      <c r="AC56" s="33">
        <f t="shared" ca="1" si="54"/>
        <v>1.1229048776661945E-2</v>
      </c>
      <c r="AD56" s="33">
        <f t="shared" ca="1" si="54"/>
        <v>1.3705002233866217E-2</v>
      </c>
      <c r="AE56" s="33">
        <f t="shared" ca="1" si="54"/>
        <v>1.0567034064950086E-2</v>
      </c>
      <c r="AF56" s="33">
        <f t="shared" ca="1" si="54"/>
        <v>1.2003786547936341E-2</v>
      </c>
      <c r="AG56" s="33">
        <f t="shared" ca="1" si="54"/>
        <v>8.9959898904571484E-3</v>
      </c>
      <c r="AH56" s="33">
        <f t="shared" ca="1" si="54"/>
        <v>1.2607282786918278E-2</v>
      </c>
      <c r="AI56" s="33">
        <f t="shared" ca="1" si="54"/>
        <v>1.2308774696526612E-2</v>
      </c>
      <c r="AJ56" s="33">
        <f t="shared" ca="1" si="54"/>
        <v>1.2066592738663236E-2</v>
      </c>
      <c r="AK56" s="33">
        <f t="shared" ca="1" si="54"/>
        <v>1.1397281241077859E-2</v>
      </c>
      <c r="AL56" s="33">
        <f t="shared" ca="1" si="54"/>
        <v>1.0875905633957957E-2</v>
      </c>
      <c r="AM56" s="33">
        <f t="shared" ca="1" si="55"/>
        <v>1.1725001823966318E-2</v>
      </c>
      <c r="AN56" s="33">
        <f t="shared" ca="1" si="55"/>
        <v>1.1048528261893641E-2</v>
      </c>
      <c r="AO56" s="33">
        <f t="shared" ca="1" si="55"/>
        <v>1.2838550676311641E-2</v>
      </c>
      <c r="AP56" s="33">
        <f t="shared" ca="1" si="55"/>
        <v>1.1083127222501914E-2</v>
      </c>
      <c r="AQ56" s="33">
        <f t="shared" ca="1" si="55"/>
        <v>1.0729607055970109E-2</v>
      </c>
      <c r="AR56" s="33">
        <f t="shared" ca="1" si="55"/>
        <v>1.2124562267510306E-2</v>
      </c>
      <c r="AS56" s="33">
        <f t="shared" ca="1" si="55"/>
        <v>1.0342338281897295E-2</v>
      </c>
      <c r="AT56" s="33">
        <f t="shared" ca="1" si="55"/>
        <v>1.0949274780950554E-2</v>
      </c>
      <c r="AU56" s="33">
        <f t="shared" ca="1" si="55"/>
        <v>1.2025175061240186E-2</v>
      </c>
      <c r="AV56" s="33">
        <f t="shared" ca="1" si="55"/>
        <v>1.1845851416982616E-2</v>
      </c>
      <c r="AW56" s="33">
        <f t="shared" ca="1" si="56"/>
        <v>1.0543964601366829E-2</v>
      </c>
      <c r="AX56" s="33">
        <f t="shared" ca="1" si="56"/>
        <v>1.2438121569085083E-2</v>
      </c>
      <c r="AY56" s="33">
        <f t="shared" ca="1" si="56"/>
        <v>1.389568530580999E-2</v>
      </c>
      <c r="AZ56" s="33">
        <f t="shared" ca="1" si="56"/>
        <v>1.3004992817880735E-2</v>
      </c>
      <c r="BA56" s="33">
        <f t="shared" ca="1" si="56"/>
        <v>1.0592492865206726E-2</v>
      </c>
      <c r="BB56" s="33">
        <f t="shared" ca="1" si="56"/>
        <v>1.0674743911791625E-2</v>
      </c>
      <c r="BC56" s="33">
        <f t="shared" ca="1" si="56"/>
        <v>1.1524715581237247E-2</v>
      </c>
      <c r="BD56" s="33">
        <f t="shared" ca="1" si="56"/>
        <v>1.0600127065652852E-2</v>
      </c>
      <c r="BE56" s="33">
        <f t="shared" ca="1" si="56"/>
        <v>1.1583837204750681E-2</v>
      </c>
      <c r="BF56" s="33">
        <f t="shared" ca="1" si="56"/>
        <v>1.2971532662489627E-2</v>
      </c>
      <c r="BG56" s="33">
        <f t="shared" ca="1" si="57"/>
        <v>1.1026714221547738E-2</v>
      </c>
      <c r="BH56" s="33">
        <f t="shared" ca="1" si="57"/>
        <v>1.1154824432873821E-2</v>
      </c>
      <c r="BI56" s="33">
        <f t="shared" ca="1" si="57"/>
        <v>1.1257133398491187E-2</v>
      </c>
      <c r="BJ56" s="33">
        <f t="shared" ca="1" si="57"/>
        <v>1.1144145776564874E-2</v>
      </c>
      <c r="BK56" s="33">
        <f t="shared" ca="1" si="57"/>
        <v>1.2416156485747822E-2</v>
      </c>
      <c r="BL56" s="33">
        <f t="shared" ca="1" si="57"/>
        <v>1.3295812265062712E-2</v>
      </c>
      <c r="BM56" s="33">
        <f t="shared" ca="1" si="57"/>
        <v>1.1115675821801212E-2</v>
      </c>
      <c r="BN56" s="33">
        <f t="shared" ca="1" si="57"/>
        <v>1.1003449688541243E-2</v>
      </c>
      <c r="BO56" s="33">
        <f t="shared" ca="1" si="57"/>
        <v>1.1662896289732948E-2</v>
      </c>
      <c r="BP56" s="33">
        <f t="shared" ca="1" si="57"/>
        <v>1.2350026883738999E-2</v>
      </c>
      <c r="BQ56" s="33">
        <f t="shared" ca="1" si="58"/>
        <v>9.991871534499366E-3</v>
      </c>
      <c r="BR56" s="33">
        <f t="shared" ca="1" si="58"/>
        <v>8.1661305624332135E-3</v>
      </c>
      <c r="BS56" s="33">
        <f t="shared" ca="1" si="58"/>
        <v>8.7980328580070568E-3</v>
      </c>
      <c r="BT56" s="33">
        <f t="shared" ca="1" si="58"/>
        <v>1.1137108183203391E-2</v>
      </c>
      <c r="BU56" s="33">
        <f t="shared" ca="1" si="58"/>
        <v>1.2385794285620449E-2</v>
      </c>
      <c r="BV56" s="33">
        <f t="shared" ca="1" si="58"/>
        <v>1.1901921704592918E-2</v>
      </c>
      <c r="BW56" s="33">
        <f t="shared" ca="1" si="58"/>
        <v>1.1466338336579439E-2</v>
      </c>
      <c r="BX56" s="33">
        <f t="shared" ca="1" si="58"/>
        <v>1.4225114171855192E-2</v>
      </c>
      <c r="BY56" s="33">
        <f t="shared" ca="1" si="58"/>
        <v>1.0457096215470219E-2</v>
      </c>
      <c r="BZ56" s="33">
        <f t="shared" ca="1" si="58"/>
        <v>1.0358832206128696E-2</v>
      </c>
      <c r="CA56" s="33">
        <f t="shared" ca="1" si="59"/>
        <v>9.2342359782536694E-3</v>
      </c>
      <c r="CB56" s="33">
        <f t="shared" ca="1" si="59"/>
        <v>9.4797165651848772E-3</v>
      </c>
      <c r="CC56" s="33">
        <f t="shared" ca="1" si="59"/>
        <v>1.1980204280398841E-2</v>
      </c>
      <c r="CD56" s="33">
        <f t="shared" ca="1" si="59"/>
        <v>1.1654262868980319E-2</v>
      </c>
      <c r="CE56" s="33">
        <f t="shared" ca="1" si="59"/>
        <v>9.112677412711467E-3</v>
      </c>
      <c r="CF56" s="33">
        <f t="shared" ca="1" si="59"/>
        <v>1.2600855549880059E-2</v>
      </c>
      <c r="CG56" s="33">
        <f t="shared" ca="1" si="59"/>
        <v>1.2840120179125187E-2</v>
      </c>
      <c r="CH56" s="33">
        <f t="shared" ca="1" si="59"/>
        <v>1.2233464763709543E-2</v>
      </c>
      <c r="CI56" s="33">
        <f t="shared" ca="1" si="59"/>
        <v>1.1180973547718444E-2</v>
      </c>
      <c r="CJ56" s="33">
        <f t="shared" ca="1" si="59"/>
        <v>1.3783821167666395E-2</v>
      </c>
      <c r="CK56" s="33">
        <f t="shared" ca="1" si="60"/>
        <v>1.3161853635267673E-2</v>
      </c>
      <c r="CL56" s="33">
        <f t="shared" ca="1" si="60"/>
        <v>1.0929941251508719E-2</v>
      </c>
      <c r="CM56" s="33">
        <f t="shared" ca="1" si="60"/>
        <v>1.0398350997391585E-2</v>
      </c>
      <c r="CN56" s="33">
        <f t="shared" ca="1" si="60"/>
        <v>1.1429105480732515E-2</v>
      </c>
      <c r="CO56" s="33">
        <f t="shared" ca="1" si="60"/>
        <v>1.306600527212446E-2</v>
      </c>
      <c r="CP56" s="33">
        <f t="shared" ca="1" si="60"/>
        <v>1.0218567396732728E-2</v>
      </c>
      <c r="CQ56" s="33">
        <f t="shared" ca="1" si="60"/>
        <v>1.2267398400414006E-2</v>
      </c>
      <c r="CR56" s="33">
        <f t="shared" ca="1" si="60"/>
        <v>1.0882858587265423E-2</v>
      </c>
      <c r="CS56" s="33">
        <f t="shared" ca="1" si="60"/>
        <v>1.0274877648351046E-2</v>
      </c>
      <c r="CT56" s="33">
        <f t="shared" ca="1" si="60"/>
        <v>9.8829720130704981E-3</v>
      </c>
      <c r="CU56" s="33">
        <f t="shared" ca="1" si="61"/>
        <v>1.0712073068187382E-2</v>
      </c>
      <c r="CV56" s="33">
        <f t="shared" ca="1" si="61"/>
        <v>9.1604882564464713E-3</v>
      </c>
      <c r="CW56" s="33">
        <f t="shared" ca="1" si="61"/>
        <v>1.3215327495620497E-2</v>
      </c>
      <c r="CX56" s="33">
        <f t="shared" ca="1" si="61"/>
        <v>1.0606005599859846E-2</v>
      </c>
      <c r="CY56" s="33">
        <f t="shared" ca="1" si="61"/>
        <v>1.2665323643773933E-2</v>
      </c>
      <c r="CZ56" s="33">
        <f t="shared" ca="1" si="61"/>
        <v>9.9525090190213227E-3</v>
      </c>
      <c r="DA56" s="33">
        <f t="shared" ca="1" si="61"/>
        <v>1.0380863342263564E-2</v>
      </c>
      <c r="DB56" s="33">
        <f t="shared" ca="1" si="61"/>
        <v>1.198558053974156E-2</v>
      </c>
      <c r="DC56" s="33">
        <f t="shared" ca="1" si="61"/>
        <v>1.138975361121947E-2</v>
      </c>
      <c r="DD56" s="33">
        <f t="shared" ca="1" si="61"/>
        <v>1.033276855848885E-2</v>
      </c>
      <c r="DE56" s="33">
        <f t="shared" ca="1" si="62"/>
        <v>1.2204307096803953E-2</v>
      </c>
      <c r="DF56" s="33">
        <f t="shared" ca="1" si="62"/>
        <v>9.0034996463789103E-3</v>
      </c>
      <c r="DG56" s="33">
        <f t="shared" ca="1" si="62"/>
        <v>8.175340819958592E-3</v>
      </c>
      <c r="DH56" s="33">
        <f t="shared" ca="1" si="62"/>
        <v>1.2084956360875599E-2</v>
      </c>
      <c r="DI56" s="33">
        <f t="shared" ca="1" si="62"/>
        <v>1.1213611197130579E-2</v>
      </c>
      <c r="DJ56" s="33">
        <f t="shared" ca="1" si="62"/>
        <v>1.2041031380049274E-2</v>
      </c>
      <c r="DK56" s="33">
        <f t="shared" ca="1" si="62"/>
        <v>1.0059046908364323E-2</v>
      </c>
      <c r="DL56" s="33">
        <f t="shared" ca="1" si="62"/>
        <v>9.1833704807594303E-3</v>
      </c>
      <c r="DM56" s="33">
        <f t="shared" ca="1" si="62"/>
        <v>1.1418229840919543E-2</v>
      </c>
      <c r="DN56" s="33">
        <f t="shared" ca="1" si="62"/>
        <v>1.1823893203587281E-2</v>
      </c>
      <c r="DO56" s="12"/>
      <c r="DP56" s="12"/>
      <c r="DQ56" s="12"/>
    </row>
    <row r="57" spans="1:121" x14ac:dyDescent="0.2">
      <c r="I57" s="32">
        <v>46143</v>
      </c>
      <c r="J57" s="33">
        <f t="shared" ca="1" si="42"/>
        <v>1.1239826710597936E-2</v>
      </c>
      <c r="K57" s="9">
        <v>2871.8507999999997</v>
      </c>
      <c r="L57" s="9">
        <f t="shared" ca="1" si="11"/>
        <v>151658.95915171131</v>
      </c>
      <c r="N57" s="6">
        <v>53</v>
      </c>
      <c r="O57" s="5">
        <v>4.0937655901294203</v>
      </c>
      <c r="P57" s="9">
        <v>698204.67163004109</v>
      </c>
      <c r="R57" s="32">
        <v>46143</v>
      </c>
      <c r="S57" s="33">
        <f t="shared" ca="1" si="53"/>
        <v>9.731904968488244E-3</v>
      </c>
      <c r="T57" s="33">
        <f t="shared" ca="1" si="53"/>
        <v>1.2015379014237139E-2</v>
      </c>
      <c r="U57" s="33">
        <f t="shared" ca="1" si="53"/>
        <v>1.1349176644821268E-2</v>
      </c>
      <c r="V57" s="33">
        <f t="shared" ca="1" si="53"/>
        <v>1.1490936021557745E-2</v>
      </c>
      <c r="W57" s="33">
        <f t="shared" ca="1" si="53"/>
        <v>1.1653153566030422E-2</v>
      </c>
      <c r="X57" s="33">
        <f t="shared" ca="1" si="53"/>
        <v>1.3492963368285584E-2</v>
      </c>
      <c r="Y57" s="33">
        <f t="shared" ca="1" si="53"/>
        <v>1.4181531814617416E-2</v>
      </c>
      <c r="Z57" s="33">
        <f t="shared" ca="1" si="53"/>
        <v>1.3047507214311855E-2</v>
      </c>
      <c r="AA57" s="33">
        <f t="shared" ca="1" si="53"/>
        <v>1.1039627136551221E-2</v>
      </c>
      <c r="AB57" s="33">
        <f t="shared" ca="1" si="53"/>
        <v>1.2811567455452236E-2</v>
      </c>
      <c r="AC57" s="33">
        <f t="shared" ca="1" si="54"/>
        <v>1.2286129972305625E-2</v>
      </c>
      <c r="AD57" s="33">
        <f t="shared" ca="1" si="54"/>
        <v>1.2190183373682335E-2</v>
      </c>
      <c r="AE57" s="33">
        <f t="shared" ca="1" si="54"/>
        <v>1.1454100319653739E-2</v>
      </c>
      <c r="AF57" s="33">
        <f t="shared" ca="1" si="54"/>
        <v>1.1283017441554634E-2</v>
      </c>
      <c r="AG57" s="33">
        <f t="shared" ca="1" si="54"/>
        <v>1.2331205511033562E-2</v>
      </c>
      <c r="AH57" s="33">
        <f t="shared" ca="1" si="54"/>
        <v>1.168526015129164E-2</v>
      </c>
      <c r="AI57" s="33">
        <f t="shared" ca="1" si="54"/>
        <v>1.0030922695648342E-2</v>
      </c>
      <c r="AJ57" s="33">
        <f t="shared" ca="1" si="54"/>
        <v>1.0045375347854272E-2</v>
      </c>
      <c r="AK57" s="33">
        <f t="shared" ca="1" si="54"/>
        <v>1.4523228062268455E-2</v>
      </c>
      <c r="AL57" s="33">
        <f t="shared" ca="1" si="54"/>
        <v>9.8593336603147192E-3</v>
      </c>
      <c r="AM57" s="33">
        <f t="shared" ca="1" si="55"/>
        <v>1.3122196277344594E-2</v>
      </c>
      <c r="AN57" s="33">
        <f t="shared" ca="1" si="55"/>
        <v>1.0854610836255416E-2</v>
      </c>
      <c r="AO57" s="33">
        <f t="shared" ca="1" si="55"/>
        <v>1.0631628973422881E-2</v>
      </c>
      <c r="AP57" s="33">
        <f t="shared" ca="1" si="55"/>
        <v>9.4344160053170742E-3</v>
      </c>
      <c r="AQ57" s="33">
        <f t="shared" ca="1" si="55"/>
        <v>1.1856167534668543E-2</v>
      </c>
      <c r="AR57" s="33">
        <f t="shared" ca="1" si="55"/>
        <v>1.2650835353434977E-2</v>
      </c>
      <c r="AS57" s="33">
        <f t="shared" ca="1" si="55"/>
        <v>1.2061894168723959E-2</v>
      </c>
      <c r="AT57" s="33">
        <f t="shared" ca="1" si="55"/>
        <v>1.2561321685634761E-2</v>
      </c>
      <c r="AU57" s="33">
        <f t="shared" ca="1" si="55"/>
        <v>1.1274115503524362E-2</v>
      </c>
      <c r="AV57" s="33">
        <f t="shared" ca="1" si="55"/>
        <v>8.9359182476772998E-3</v>
      </c>
      <c r="AW57" s="33">
        <f t="shared" ca="1" si="56"/>
        <v>9.5159404802358134E-3</v>
      </c>
      <c r="AX57" s="33">
        <f t="shared" ca="1" si="56"/>
        <v>1.0149057142110035E-2</v>
      </c>
      <c r="AY57" s="33">
        <f t="shared" ca="1" si="56"/>
        <v>9.5313524862485829E-3</v>
      </c>
      <c r="AZ57" s="33">
        <f t="shared" ca="1" si="56"/>
        <v>1.1077957422789296E-2</v>
      </c>
      <c r="BA57" s="33">
        <f t="shared" ca="1" si="56"/>
        <v>1.0197066138308713E-2</v>
      </c>
      <c r="BB57" s="33">
        <f t="shared" ca="1" si="56"/>
        <v>1.2462139823680003E-2</v>
      </c>
      <c r="BC57" s="33">
        <f t="shared" ca="1" si="56"/>
        <v>9.753175526532102E-3</v>
      </c>
      <c r="BD57" s="33">
        <f t="shared" ca="1" si="56"/>
        <v>1.5139994597740462E-2</v>
      </c>
      <c r="BE57" s="33">
        <f t="shared" ca="1" si="56"/>
        <v>1.2053812821149552E-2</v>
      </c>
      <c r="BF57" s="33">
        <f t="shared" ca="1" si="56"/>
        <v>1.1404994791473295E-2</v>
      </c>
      <c r="BG57" s="33">
        <f t="shared" ca="1" si="57"/>
        <v>1.0407591785335919E-2</v>
      </c>
      <c r="BH57" s="33">
        <f t="shared" ca="1" si="57"/>
        <v>1.0424221802737737E-2</v>
      </c>
      <c r="BI57" s="33">
        <f t="shared" ca="1" si="57"/>
        <v>8.8001856485068666E-3</v>
      </c>
      <c r="BJ57" s="33">
        <f t="shared" ca="1" si="57"/>
        <v>1.2801886058703318E-2</v>
      </c>
      <c r="BK57" s="33">
        <f t="shared" ca="1" si="57"/>
        <v>9.7238561539101341E-3</v>
      </c>
      <c r="BL57" s="33">
        <f t="shared" ca="1" si="57"/>
        <v>1.1640375325232004E-2</v>
      </c>
      <c r="BM57" s="33">
        <f t="shared" ca="1" si="57"/>
        <v>1.076894158422859E-2</v>
      </c>
      <c r="BN57" s="33">
        <f t="shared" ca="1" si="57"/>
        <v>1.1894721983020017E-2</v>
      </c>
      <c r="BO57" s="33">
        <f t="shared" ca="1" si="57"/>
        <v>1.2773049624464421E-2</v>
      </c>
      <c r="BP57" s="33">
        <f t="shared" ca="1" si="57"/>
        <v>1.2576898342553516E-2</v>
      </c>
      <c r="BQ57" s="33">
        <f t="shared" ca="1" si="58"/>
        <v>1.3001531197864818E-2</v>
      </c>
      <c r="BR57" s="33">
        <f t="shared" ca="1" si="58"/>
        <v>1.0839593381813069E-2</v>
      </c>
      <c r="BS57" s="33">
        <f t="shared" ca="1" si="58"/>
        <v>9.8002783797469257E-3</v>
      </c>
      <c r="BT57" s="33">
        <f t="shared" ca="1" si="58"/>
        <v>1.4554476437144286E-2</v>
      </c>
      <c r="BU57" s="33">
        <f t="shared" ca="1" si="58"/>
        <v>1.2082385181277562E-2</v>
      </c>
      <c r="BV57" s="33">
        <f t="shared" ca="1" si="58"/>
        <v>1.1095906492497041E-2</v>
      </c>
      <c r="BW57" s="33">
        <f t="shared" ca="1" si="58"/>
        <v>1.3423704359728925E-2</v>
      </c>
      <c r="BX57" s="33">
        <f t="shared" ca="1" si="58"/>
        <v>9.7709273661200531E-3</v>
      </c>
      <c r="BY57" s="33">
        <f t="shared" ca="1" si="58"/>
        <v>1.1604290596469278E-2</v>
      </c>
      <c r="BZ57" s="33">
        <f t="shared" ca="1" si="58"/>
        <v>1.2440295681570982E-2</v>
      </c>
      <c r="CA57" s="33">
        <f t="shared" ca="1" si="59"/>
        <v>1.1123785063033746E-2</v>
      </c>
      <c r="CB57" s="33">
        <f t="shared" ca="1" si="59"/>
        <v>1.510229029227032E-2</v>
      </c>
      <c r="CC57" s="33">
        <f t="shared" ca="1" si="59"/>
        <v>1.052925364353203E-2</v>
      </c>
      <c r="CD57" s="33">
        <f t="shared" ca="1" si="59"/>
        <v>1.2804562875457733E-2</v>
      </c>
      <c r="CE57" s="33">
        <f t="shared" ca="1" si="59"/>
        <v>9.7084785805911216E-3</v>
      </c>
      <c r="CF57" s="33">
        <f t="shared" ca="1" si="59"/>
        <v>8.6319523037337257E-3</v>
      </c>
      <c r="CG57" s="33">
        <f t="shared" ca="1" si="59"/>
        <v>1.0964861196861155E-2</v>
      </c>
      <c r="CH57" s="33">
        <f t="shared" ca="1" si="59"/>
        <v>1.0719392178854936E-2</v>
      </c>
      <c r="CI57" s="33">
        <f t="shared" ca="1" si="59"/>
        <v>9.6259154230091681E-3</v>
      </c>
      <c r="CJ57" s="33">
        <f t="shared" ca="1" si="59"/>
        <v>1.0126826946613808E-2</v>
      </c>
      <c r="CK57" s="33">
        <f t="shared" ca="1" si="60"/>
        <v>1.2818003636709017E-2</v>
      </c>
      <c r="CL57" s="33">
        <f t="shared" ca="1" si="60"/>
        <v>9.5877734878174782E-3</v>
      </c>
      <c r="CM57" s="33">
        <f t="shared" ca="1" si="60"/>
        <v>1.4216737925074328E-2</v>
      </c>
      <c r="CN57" s="33">
        <f t="shared" ca="1" si="60"/>
        <v>1.2210043498055424E-2</v>
      </c>
      <c r="CO57" s="33">
        <f t="shared" ca="1" si="60"/>
        <v>1.3010845296156665E-2</v>
      </c>
      <c r="CP57" s="33">
        <f t="shared" ca="1" si="60"/>
        <v>1.3839396696301354E-2</v>
      </c>
      <c r="CQ57" s="33">
        <f t="shared" ca="1" si="60"/>
        <v>1.2080373203776763E-2</v>
      </c>
      <c r="CR57" s="33">
        <f t="shared" ca="1" si="60"/>
        <v>1.1376916043927812E-2</v>
      </c>
      <c r="CS57" s="33">
        <f t="shared" ca="1" si="60"/>
        <v>1.1064195963334704E-2</v>
      </c>
      <c r="CT57" s="33">
        <f t="shared" ca="1" si="60"/>
        <v>1.2008081210782912E-2</v>
      </c>
      <c r="CU57" s="33">
        <f t="shared" ca="1" si="61"/>
        <v>1.0422074842393835E-2</v>
      </c>
      <c r="CV57" s="33">
        <f t="shared" ca="1" si="61"/>
        <v>8.3008855252812014E-3</v>
      </c>
      <c r="CW57" s="33">
        <f t="shared" ca="1" si="61"/>
        <v>1.0589291669976037E-2</v>
      </c>
      <c r="CX57" s="33">
        <f t="shared" ca="1" si="61"/>
        <v>1.3309595983087003E-2</v>
      </c>
      <c r="CY57" s="33">
        <f t="shared" ca="1" si="61"/>
        <v>1.1404889050498518E-2</v>
      </c>
      <c r="CZ57" s="33">
        <f t="shared" ca="1" si="61"/>
        <v>1.2071248010312948E-2</v>
      </c>
      <c r="DA57" s="33">
        <f t="shared" ca="1" si="61"/>
        <v>1.2419850736799036E-2</v>
      </c>
      <c r="DB57" s="33">
        <f t="shared" ca="1" si="61"/>
        <v>1.0603235805735226E-2</v>
      </c>
      <c r="DC57" s="33">
        <f t="shared" ca="1" si="61"/>
        <v>1.3222990456382491E-2</v>
      </c>
      <c r="DD57" s="33">
        <f t="shared" ca="1" si="61"/>
        <v>1.0150434750738417E-2</v>
      </c>
      <c r="DE57" s="33">
        <f t="shared" ca="1" si="62"/>
        <v>1.2850008587910506E-2</v>
      </c>
      <c r="DF57" s="33">
        <f t="shared" ca="1" si="62"/>
        <v>9.5084911126088051E-3</v>
      </c>
      <c r="DG57" s="33">
        <f t="shared" ca="1" si="62"/>
        <v>1.1478037900634794E-2</v>
      </c>
      <c r="DH57" s="33">
        <f t="shared" ca="1" si="62"/>
        <v>1.0879846052417581E-2</v>
      </c>
      <c r="DI57" s="33">
        <f t="shared" ca="1" si="62"/>
        <v>1.3152877565762619E-2</v>
      </c>
      <c r="DJ57" s="33">
        <f t="shared" ca="1" si="62"/>
        <v>1.1392712690601506E-2</v>
      </c>
      <c r="DK57" s="33">
        <f t="shared" ca="1" si="62"/>
        <v>9.8011616649564277E-3</v>
      </c>
      <c r="DL57" s="33">
        <f t="shared" ca="1" si="62"/>
        <v>1.2784689060811165E-2</v>
      </c>
      <c r="DM57" s="33">
        <f t="shared" ca="1" si="62"/>
        <v>1.1347041769338572E-2</v>
      </c>
      <c r="DN57" s="33">
        <f t="shared" ca="1" si="62"/>
        <v>1.2521377346063248E-2</v>
      </c>
      <c r="DO57" s="12"/>
      <c r="DP57" s="12"/>
      <c r="DQ57" s="12"/>
    </row>
    <row r="58" spans="1:121" x14ac:dyDescent="0.2">
      <c r="I58" s="32">
        <v>46174</v>
      </c>
      <c r="J58" s="33">
        <f t="shared" ca="1" si="42"/>
        <v>1.1786689186830785E-2</v>
      </c>
      <c r="K58" s="9">
        <v>2871.8507999999997</v>
      </c>
      <c r="L58" s="9">
        <f t="shared" ca="1" si="11"/>
        <v>156328.94316704763</v>
      </c>
      <c r="N58" s="6">
        <v>54</v>
      </c>
      <c r="O58" s="5">
        <v>3.8563159935105671</v>
      </c>
      <c r="P58" s="9">
        <v>677612.05483733222</v>
      </c>
      <c r="R58" s="32">
        <v>46174</v>
      </c>
      <c r="S58" s="33">
        <f t="shared" ca="1" si="53"/>
        <v>1.0776192203667108E-2</v>
      </c>
      <c r="T58" s="33">
        <f t="shared" ca="1" si="53"/>
        <v>1.0208865212792248E-2</v>
      </c>
      <c r="U58" s="33">
        <f t="shared" ca="1" si="53"/>
        <v>1.0097096385177419E-2</v>
      </c>
      <c r="V58" s="33">
        <f t="shared" ca="1" si="53"/>
        <v>1.1161465970900269E-2</v>
      </c>
      <c r="W58" s="33">
        <f t="shared" ca="1" si="53"/>
        <v>1.172060685964672E-2</v>
      </c>
      <c r="X58" s="33">
        <f t="shared" ca="1" si="53"/>
        <v>1.390895072058684E-2</v>
      </c>
      <c r="Y58" s="33">
        <f t="shared" ca="1" si="53"/>
        <v>9.8581616003415255E-3</v>
      </c>
      <c r="Z58" s="33">
        <f t="shared" ca="1" si="53"/>
        <v>1.0877315832033838E-2</v>
      </c>
      <c r="AA58" s="33">
        <f t="shared" ca="1" si="53"/>
        <v>1.1623091370787998E-2</v>
      </c>
      <c r="AB58" s="33">
        <f t="shared" ca="1" si="53"/>
        <v>1.2726117765077887E-2</v>
      </c>
      <c r="AC58" s="33">
        <f t="shared" ca="1" si="54"/>
        <v>9.5576594097656724E-3</v>
      </c>
      <c r="AD58" s="33">
        <f t="shared" ca="1" si="54"/>
        <v>1.0900451849553457E-2</v>
      </c>
      <c r="AE58" s="33">
        <f t="shared" ca="1" si="54"/>
        <v>1.0988414165878049E-2</v>
      </c>
      <c r="AF58" s="33">
        <f t="shared" ca="1" si="54"/>
        <v>1.2424467275159988E-2</v>
      </c>
      <c r="AG58" s="33">
        <f t="shared" ca="1" si="54"/>
        <v>1.0573035077702233E-2</v>
      </c>
      <c r="AH58" s="33">
        <f t="shared" ca="1" si="54"/>
        <v>8.3323163685032949E-3</v>
      </c>
      <c r="AI58" s="33">
        <f t="shared" ca="1" si="54"/>
        <v>9.4202956660844276E-3</v>
      </c>
      <c r="AJ58" s="33">
        <f t="shared" ca="1" si="54"/>
        <v>8.1555031474448512E-3</v>
      </c>
      <c r="AK58" s="33">
        <f t="shared" ca="1" si="54"/>
        <v>8.7021188993197749E-3</v>
      </c>
      <c r="AL58" s="33">
        <f t="shared" ca="1" si="54"/>
        <v>1.1008212765765352E-2</v>
      </c>
      <c r="AM58" s="33">
        <f t="shared" ca="1" si="55"/>
        <v>1.1302421099057837E-2</v>
      </c>
      <c r="AN58" s="33">
        <f t="shared" ca="1" si="55"/>
        <v>1.2797544661637772E-2</v>
      </c>
      <c r="AO58" s="33">
        <f t="shared" ca="1" si="55"/>
        <v>1.1276243516945665E-2</v>
      </c>
      <c r="AP58" s="33">
        <f t="shared" ca="1" si="55"/>
        <v>1.1421223824867396E-2</v>
      </c>
      <c r="AQ58" s="33">
        <f t="shared" ca="1" si="55"/>
        <v>1.2861292463799558E-2</v>
      </c>
      <c r="AR58" s="33">
        <f t="shared" ca="1" si="55"/>
        <v>1.1705574641171704E-2</v>
      </c>
      <c r="AS58" s="33">
        <f t="shared" ca="1" si="55"/>
        <v>1.2450075316015004E-2</v>
      </c>
      <c r="AT58" s="33">
        <f t="shared" ca="1" si="55"/>
        <v>1.1449983365065886E-2</v>
      </c>
      <c r="AU58" s="33">
        <f t="shared" ca="1" si="55"/>
        <v>1.3304611869091865E-2</v>
      </c>
      <c r="AV58" s="33">
        <f t="shared" ca="1" si="55"/>
        <v>1.2828977810043966E-2</v>
      </c>
      <c r="AW58" s="33">
        <f t="shared" ca="1" si="56"/>
        <v>1.0447705566255641E-2</v>
      </c>
      <c r="AX58" s="33">
        <f t="shared" ca="1" si="56"/>
        <v>1.1913768699424813E-2</v>
      </c>
      <c r="AY58" s="33">
        <f t="shared" ca="1" si="56"/>
        <v>1.3176938444809048E-2</v>
      </c>
      <c r="AZ58" s="33">
        <f t="shared" ca="1" si="56"/>
        <v>1.0853872681469376E-2</v>
      </c>
      <c r="BA58" s="33">
        <f t="shared" ca="1" si="56"/>
        <v>1.0435763279690435E-2</v>
      </c>
      <c r="BB58" s="33">
        <f t="shared" ca="1" si="56"/>
        <v>1.047571033723472E-2</v>
      </c>
      <c r="BC58" s="33">
        <f t="shared" ca="1" si="56"/>
        <v>1.0715118348831223E-2</v>
      </c>
      <c r="BD58" s="33">
        <f t="shared" ca="1" si="56"/>
        <v>9.2202876490733478E-3</v>
      </c>
      <c r="BE58" s="33">
        <f t="shared" ca="1" si="56"/>
        <v>1.2101259990445565E-2</v>
      </c>
      <c r="BF58" s="33">
        <f t="shared" ca="1" si="56"/>
        <v>1.0818776563065388E-2</v>
      </c>
      <c r="BG58" s="33">
        <f t="shared" ca="1" si="57"/>
        <v>9.7610439842013182E-3</v>
      </c>
      <c r="BH58" s="33">
        <f t="shared" ca="1" si="57"/>
        <v>1.0816980476217439E-2</v>
      </c>
      <c r="BI58" s="33">
        <f t="shared" ca="1" si="57"/>
        <v>9.8062143996293059E-3</v>
      </c>
      <c r="BJ58" s="33">
        <f t="shared" ca="1" si="57"/>
        <v>8.4112342146611223E-3</v>
      </c>
      <c r="BK58" s="33">
        <f t="shared" ca="1" si="57"/>
        <v>1.101078051751064E-2</v>
      </c>
      <c r="BL58" s="33">
        <f t="shared" ca="1" si="57"/>
        <v>8.8758212631847733E-3</v>
      </c>
      <c r="BM58" s="33">
        <f t="shared" ca="1" si="57"/>
        <v>1.2124388716233007E-2</v>
      </c>
      <c r="BN58" s="33">
        <f t="shared" ca="1" si="57"/>
        <v>1.0325795394057846E-2</v>
      </c>
      <c r="BO58" s="33">
        <f t="shared" ca="1" si="57"/>
        <v>1.0169420066143804E-2</v>
      </c>
      <c r="BP58" s="33">
        <f t="shared" ca="1" si="57"/>
        <v>1.2516683792952949E-2</v>
      </c>
      <c r="BQ58" s="33">
        <f t="shared" ca="1" si="58"/>
        <v>1.3817448794727244E-2</v>
      </c>
      <c r="BR58" s="33">
        <f t="shared" ca="1" si="58"/>
        <v>9.2325729762593005E-3</v>
      </c>
      <c r="BS58" s="33">
        <f t="shared" ca="1" si="58"/>
        <v>1.082371414304859E-2</v>
      </c>
      <c r="BT58" s="33">
        <f t="shared" ca="1" si="58"/>
        <v>1.0443935543427884E-2</v>
      </c>
      <c r="BU58" s="33">
        <f t="shared" ca="1" si="58"/>
        <v>9.7009750245452223E-3</v>
      </c>
      <c r="BV58" s="33">
        <f t="shared" ca="1" si="58"/>
        <v>1.1127611643143333E-2</v>
      </c>
      <c r="BW58" s="33">
        <f t="shared" ca="1" si="58"/>
        <v>1.273453843046414E-2</v>
      </c>
      <c r="BX58" s="33">
        <f t="shared" ca="1" si="58"/>
        <v>1.2576762282665096E-2</v>
      </c>
      <c r="BY58" s="33">
        <f t="shared" ca="1" si="58"/>
        <v>9.8645151882303904E-3</v>
      </c>
      <c r="BZ58" s="33">
        <f t="shared" ca="1" si="58"/>
        <v>1.2988375251005973E-2</v>
      </c>
      <c r="CA58" s="33">
        <f t="shared" ca="1" si="59"/>
        <v>1.1806014597796347E-2</v>
      </c>
      <c r="CB58" s="33">
        <f t="shared" ca="1" si="59"/>
        <v>1.442253496637463E-2</v>
      </c>
      <c r="CC58" s="33">
        <f t="shared" ca="1" si="59"/>
        <v>1.1027124542605127E-2</v>
      </c>
      <c r="CD58" s="33">
        <f t="shared" ca="1" si="59"/>
        <v>1.2930528177288427E-2</v>
      </c>
      <c r="CE58" s="33">
        <f t="shared" ca="1" si="59"/>
        <v>1.0868564542219071E-2</v>
      </c>
      <c r="CF58" s="33">
        <f t="shared" ca="1" si="59"/>
        <v>9.833178739610501E-3</v>
      </c>
      <c r="CG58" s="33">
        <f t="shared" ca="1" si="59"/>
        <v>1.1280115159265726E-2</v>
      </c>
      <c r="CH58" s="33">
        <f t="shared" ca="1" si="59"/>
        <v>8.9364720142233855E-3</v>
      </c>
      <c r="CI58" s="33">
        <f t="shared" ca="1" si="59"/>
        <v>1.2156152602635254E-2</v>
      </c>
      <c r="CJ58" s="33">
        <f t="shared" ca="1" si="59"/>
        <v>1.2602914777391928E-2</v>
      </c>
      <c r="CK58" s="33">
        <f t="shared" ca="1" si="60"/>
        <v>1.2465734031344804E-2</v>
      </c>
      <c r="CL58" s="33">
        <f t="shared" ca="1" si="60"/>
        <v>1.1397324292455883E-2</v>
      </c>
      <c r="CM58" s="33">
        <f t="shared" ca="1" si="60"/>
        <v>1.1210208749069498E-2</v>
      </c>
      <c r="CN58" s="33">
        <f t="shared" ca="1" si="60"/>
        <v>1.0736114644467033E-2</v>
      </c>
      <c r="CO58" s="33">
        <f t="shared" ca="1" si="60"/>
        <v>1.1494414358815952E-2</v>
      </c>
      <c r="CP58" s="33">
        <f t="shared" ca="1" si="60"/>
        <v>1.0915218208312448E-2</v>
      </c>
      <c r="CQ58" s="33">
        <f t="shared" ca="1" si="60"/>
        <v>1.1284987764800337E-2</v>
      </c>
      <c r="CR58" s="33">
        <f t="shared" ca="1" si="60"/>
        <v>1.2782106072611529E-2</v>
      </c>
      <c r="CS58" s="33">
        <f t="shared" ca="1" si="60"/>
        <v>1.0215991907460052E-2</v>
      </c>
      <c r="CT58" s="33">
        <f t="shared" ca="1" si="60"/>
        <v>9.3245709018890833E-3</v>
      </c>
      <c r="CU58" s="33">
        <f t="shared" ca="1" si="61"/>
        <v>1.0858221482875565E-2</v>
      </c>
      <c r="CV58" s="33">
        <f t="shared" ca="1" si="61"/>
        <v>1.1799580657784768E-2</v>
      </c>
      <c r="CW58" s="33">
        <f t="shared" ca="1" si="61"/>
        <v>1.2441143790575706E-2</v>
      </c>
      <c r="CX58" s="33">
        <f t="shared" ca="1" si="61"/>
        <v>1.0695139586319418E-2</v>
      </c>
      <c r="CY58" s="33">
        <f t="shared" ca="1" si="61"/>
        <v>1.0799089968552389E-2</v>
      </c>
      <c r="CZ58" s="33">
        <f t="shared" ca="1" si="61"/>
        <v>1.2037934051417809E-2</v>
      </c>
      <c r="DA58" s="33">
        <f t="shared" ca="1" si="61"/>
        <v>1.310481620582339E-2</v>
      </c>
      <c r="DB58" s="33">
        <f t="shared" ca="1" si="61"/>
        <v>1.1109668224378144E-2</v>
      </c>
      <c r="DC58" s="33">
        <f t="shared" ca="1" si="61"/>
        <v>1.1730676012967442E-2</v>
      </c>
      <c r="DD58" s="33">
        <f t="shared" ca="1" si="61"/>
        <v>1.2821658464896872E-2</v>
      </c>
      <c r="DE58" s="33">
        <f t="shared" ca="1" si="62"/>
        <v>1.1193998829946114E-2</v>
      </c>
      <c r="DF58" s="33">
        <f t="shared" ca="1" si="62"/>
        <v>1.0489879847628085E-2</v>
      </c>
      <c r="DG58" s="33">
        <f t="shared" ca="1" si="62"/>
        <v>9.8437098268455338E-3</v>
      </c>
      <c r="DH58" s="33">
        <f t="shared" ca="1" si="62"/>
        <v>9.7320358636415263E-3</v>
      </c>
      <c r="DI58" s="33">
        <f t="shared" ca="1" si="62"/>
        <v>1.3230649029438553E-2</v>
      </c>
      <c r="DJ58" s="33">
        <f t="shared" ca="1" si="62"/>
        <v>1.2714062975507871E-2</v>
      </c>
      <c r="DK58" s="33">
        <f t="shared" ca="1" si="62"/>
        <v>9.0856144514810319E-3</v>
      </c>
      <c r="DL58" s="33">
        <f t="shared" ca="1" si="62"/>
        <v>1.1482642200820833E-2</v>
      </c>
      <c r="DM58" s="33">
        <f t="shared" ca="1" si="62"/>
        <v>1.2657124124945709E-2</v>
      </c>
      <c r="DN58" s="33">
        <f t="shared" ca="1" si="62"/>
        <v>1.2758563969846599E-2</v>
      </c>
      <c r="DO58" s="12"/>
      <c r="DP58" s="12"/>
      <c r="DQ58" s="12"/>
    </row>
    <row r="59" spans="1:121" x14ac:dyDescent="0.2">
      <c r="I59" s="32">
        <v>46204</v>
      </c>
      <c r="J59" s="33">
        <f t="shared" ca="1" si="42"/>
        <v>9.8864928435048165E-3</v>
      </c>
      <c r="K59" s="9">
        <v>2871.8507999999997</v>
      </c>
      <c r="L59" s="9">
        <f t="shared" ca="1" si="11"/>
        <v>160754.00419456931</v>
      </c>
      <c r="N59" s="6">
        <v>55</v>
      </c>
      <c r="O59" s="5">
        <v>3.9188089333220764</v>
      </c>
      <c r="P59" s="9">
        <v>683438.83337654232</v>
      </c>
      <c r="R59" s="32">
        <v>46204</v>
      </c>
      <c r="S59" s="33">
        <f t="shared" ca="1" si="53"/>
        <v>1.0713659795061807E-2</v>
      </c>
      <c r="T59" s="33">
        <f t="shared" ca="1" si="53"/>
        <v>1.2423482964813133E-2</v>
      </c>
      <c r="U59" s="33">
        <f t="shared" ca="1" si="53"/>
        <v>1.3455560766781591E-2</v>
      </c>
      <c r="V59" s="33">
        <f t="shared" ca="1" si="53"/>
        <v>1.2249129083861235E-2</v>
      </c>
      <c r="W59" s="33">
        <f t="shared" ca="1" si="53"/>
        <v>1.0839957355508129E-2</v>
      </c>
      <c r="X59" s="33">
        <f t="shared" ca="1" si="53"/>
        <v>1.0010153774863558E-2</v>
      </c>
      <c r="Y59" s="33">
        <f t="shared" ca="1" si="53"/>
        <v>1.0235471433002047E-2</v>
      </c>
      <c r="Z59" s="33">
        <f t="shared" ca="1" si="53"/>
        <v>1.396458567186824E-2</v>
      </c>
      <c r="AA59" s="33">
        <f t="shared" ca="1" si="53"/>
        <v>1.3049749578072194E-2</v>
      </c>
      <c r="AB59" s="33">
        <f t="shared" ca="1" si="53"/>
        <v>1.236167689313326E-2</v>
      </c>
      <c r="AC59" s="33">
        <f t="shared" ca="1" si="54"/>
        <v>1.0255870626132917E-2</v>
      </c>
      <c r="AD59" s="33">
        <f t="shared" ca="1" si="54"/>
        <v>9.8026700684156025E-3</v>
      </c>
      <c r="AE59" s="33">
        <f t="shared" ca="1" si="54"/>
        <v>9.7958280415573716E-3</v>
      </c>
      <c r="AF59" s="33">
        <f t="shared" ca="1" si="54"/>
        <v>1.0142781255257093E-2</v>
      </c>
      <c r="AG59" s="33">
        <f t="shared" ca="1" si="54"/>
        <v>1.1584308201344852E-2</v>
      </c>
      <c r="AH59" s="33">
        <f t="shared" ca="1" si="54"/>
        <v>1.0083063747273252E-2</v>
      </c>
      <c r="AI59" s="33">
        <f t="shared" ca="1" si="54"/>
        <v>1.5837815880430359E-2</v>
      </c>
      <c r="AJ59" s="33">
        <f t="shared" ca="1" si="54"/>
        <v>1.0045837964632476E-2</v>
      </c>
      <c r="AK59" s="33">
        <f t="shared" ca="1" si="54"/>
        <v>1.0575339225405418E-2</v>
      </c>
      <c r="AL59" s="33">
        <f t="shared" ca="1" si="54"/>
        <v>1.3824608262030743E-2</v>
      </c>
      <c r="AM59" s="33">
        <f t="shared" ca="1" si="55"/>
        <v>1.2745516233307811E-2</v>
      </c>
      <c r="AN59" s="33">
        <f t="shared" ca="1" si="55"/>
        <v>1.0560295167566692E-2</v>
      </c>
      <c r="AO59" s="33">
        <f t="shared" ca="1" si="55"/>
        <v>1.2097300684877353E-2</v>
      </c>
      <c r="AP59" s="33">
        <f t="shared" ca="1" si="55"/>
        <v>1.1075711443843629E-2</v>
      </c>
      <c r="AQ59" s="33">
        <f t="shared" ca="1" si="55"/>
        <v>1.274463000930078E-2</v>
      </c>
      <c r="AR59" s="33">
        <f t="shared" ca="1" si="55"/>
        <v>1.0167510994797931E-2</v>
      </c>
      <c r="AS59" s="33">
        <f t="shared" ca="1" si="55"/>
        <v>1.0967233786819632E-2</v>
      </c>
      <c r="AT59" s="33">
        <f t="shared" ca="1" si="55"/>
        <v>9.2581094613288298E-3</v>
      </c>
      <c r="AU59" s="33">
        <f t="shared" ca="1" si="55"/>
        <v>1.1039299458185835E-2</v>
      </c>
      <c r="AV59" s="33">
        <f t="shared" ca="1" si="55"/>
        <v>1.2676988302161112E-2</v>
      </c>
      <c r="AW59" s="33">
        <f t="shared" ca="1" si="56"/>
        <v>1.0753982912156937E-2</v>
      </c>
      <c r="AX59" s="33">
        <f t="shared" ca="1" si="56"/>
        <v>1.1440992928395177E-2</v>
      </c>
      <c r="AY59" s="33">
        <f t="shared" ca="1" si="56"/>
        <v>1.1071373503148308E-2</v>
      </c>
      <c r="AZ59" s="33">
        <f t="shared" ca="1" si="56"/>
        <v>1.2633655066783728E-2</v>
      </c>
      <c r="BA59" s="33">
        <f t="shared" ca="1" si="56"/>
        <v>1.2401471643455293E-2</v>
      </c>
      <c r="BB59" s="33">
        <f t="shared" ca="1" si="56"/>
        <v>9.4814608841014177E-3</v>
      </c>
      <c r="BC59" s="33">
        <f t="shared" ca="1" si="56"/>
        <v>8.7169950532935275E-3</v>
      </c>
      <c r="BD59" s="33">
        <f t="shared" ca="1" si="56"/>
        <v>1.3636664435244739E-2</v>
      </c>
      <c r="BE59" s="33">
        <f t="shared" ca="1" si="56"/>
        <v>1.1508453512937958E-2</v>
      </c>
      <c r="BF59" s="33">
        <f t="shared" ca="1" si="56"/>
        <v>1.2151943901270298E-2</v>
      </c>
      <c r="BG59" s="33">
        <f t="shared" ca="1" si="57"/>
        <v>9.9925967106154045E-3</v>
      </c>
      <c r="BH59" s="33">
        <f t="shared" ca="1" si="57"/>
        <v>1.0131895492121205E-2</v>
      </c>
      <c r="BI59" s="33">
        <f t="shared" ca="1" si="57"/>
        <v>1.1388847645819999E-2</v>
      </c>
      <c r="BJ59" s="33">
        <f t="shared" ca="1" si="57"/>
        <v>1.2321715636519358E-2</v>
      </c>
      <c r="BK59" s="33">
        <f t="shared" ca="1" si="57"/>
        <v>1.3793161759393329E-2</v>
      </c>
      <c r="BL59" s="33">
        <f t="shared" ca="1" si="57"/>
        <v>1.3243049438706482E-2</v>
      </c>
      <c r="BM59" s="33">
        <f t="shared" ca="1" si="57"/>
        <v>1.1548207032761396E-2</v>
      </c>
      <c r="BN59" s="33">
        <f t="shared" ca="1" si="57"/>
        <v>1.3054449541873681E-2</v>
      </c>
      <c r="BO59" s="33">
        <f t="shared" ca="1" si="57"/>
        <v>1.2735480141945832E-2</v>
      </c>
      <c r="BP59" s="33">
        <f t="shared" ca="1" si="57"/>
        <v>1.3395553198486895E-2</v>
      </c>
      <c r="BQ59" s="33">
        <f t="shared" ca="1" si="58"/>
        <v>8.8930685052810189E-3</v>
      </c>
      <c r="BR59" s="33">
        <f t="shared" ca="1" si="58"/>
        <v>9.7281547698089086E-3</v>
      </c>
      <c r="BS59" s="33">
        <f t="shared" ca="1" si="58"/>
        <v>1.1873906190752787E-2</v>
      </c>
      <c r="BT59" s="33">
        <f t="shared" ca="1" si="58"/>
        <v>1.2672334262260259E-2</v>
      </c>
      <c r="BU59" s="33">
        <f t="shared" ca="1" si="58"/>
        <v>1.3682165672807549E-2</v>
      </c>
      <c r="BV59" s="33">
        <f t="shared" ca="1" si="58"/>
        <v>1.1434790577493829E-2</v>
      </c>
      <c r="BW59" s="33">
        <f t="shared" ca="1" si="58"/>
        <v>9.3167241106677356E-3</v>
      </c>
      <c r="BX59" s="33">
        <f t="shared" ca="1" si="58"/>
        <v>9.9699588985655441E-3</v>
      </c>
      <c r="BY59" s="33">
        <f t="shared" ca="1" si="58"/>
        <v>1.1532987859883258E-2</v>
      </c>
      <c r="BZ59" s="33">
        <f t="shared" ca="1" si="58"/>
        <v>1.1275428931184023E-2</v>
      </c>
      <c r="CA59" s="33">
        <f t="shared" ca="1" si="59"/>
        <v>1.1369895676123679E-2</v>
      </c>
      <c r="CB59" s="33">
        <f t="shared" ca="1" si="59"/>
        <v>9.4572441085752721E-3</v>
      </c>
      <c r="CC59" s="33">
        <f t="shared" ca="1" si="59"/>
        <v>1.0343297330941017E-2</v>
      </c>
      <c r="CD59" s="33">
        <f t="shared" ca="1" si="59"/>
        <v>1.1754538535550568E-2</v>
      </c>
      <c r="CE59" s="33">
        <f t="shared" ca="1" si="59"/>
        <v>1.1400729022369049E-2</v>
      </c>
      <c r="CF59" s="33">
        <f t="shared" ca="1" si="59"/>
        <v>1.1747839667804693E-2</v>
      </c>
      <c r="CG59" s="33">
        <f t="shared" ca="1" si="59"/>
        <v>1.1713596720756959E-2</v>
      </c>
      <c r="CH59" s="33">
        <f t="shared" ca="1" si="59"/>
        <v>1.0369883736064936E-2</v>
      </c>
      <c r="CI59" s="33">
        <f t="shared" ca="1" si="59"/>
        <v>1.0282557143863561E-2</v>
      </c>
      <c r="CJ59" s="33">
        <f t="shared" ca="1" si="59"/>
        <v>1.1841975782254946E-2</v>
      </c>
      <c r="CK59" s="33">
        <f t="shared" ca="1" si="60"/>
        <v>1.2512045233768004E-2</v>
      </c>
      <c r="CL59" s="33">
        <f t="shared" ca="1" si="60"/>
        <v>1.0233386991001261E-2</v>
      </c>
      <c r="CM59" s="33">
        <f t="shared" ca="1" si="60"/>
        <v>1.1892153725500355E-2</v>
      </c>
      <c r="CN59" s="33">
        <f t="shared" ca="1" si="60"/>
        <v>1.0016390716811537E-2</v>
      </c>
      <c r="CO59" s="33">
        <f t="shared" ca="1" si="60"/>
        <v>9.1713713353589431E-3</v>
      </c>
      <c r="CP59" s="33">
        <f t="shared" ca="1" si="60"/>
        <v>1.1169913218770729E-2</v>
      </c>
      <c r="CQ59" s="33">
        <f t="shared" ca="1" si="60"/>
        <v>9.4758485137630931E-3</v>
      </c>
      <c r="CR59" s="33">
        <f t="shared" ca="1" si="60"/>
        <v>1.0466209783582776E-2</v>
      </c>
      <c r="CS59" s="33">
        <f t="shared" ca="1" si="60"/>
        <v>1.050716799894701E-2</v>
      </c>
      <c r="CT59" s="33">
        <f t="shared" ca="1" si="60"/>
        <v>1.1997815774531061E-2</v>
      </c>
      <c r="CU59" s="33">
        <f t="shared" ca="1" si="61"/>
        <v>1.1334507684106074E-2</v>
      </c>
      <c r="CV59" s="33">
        <f t="shared" ca="1" si="61"/>
        <v>1.2219934933368011E-2</v>
      </c>
      <c r="CW59" s="33">
        <f t="shared" ca="1" si="61"/>
        <v>1.0931218719371437E-2</v>
      </c>
      <c r="CX59" s="33">
        <f t="shared" ca="1" si="61"/>
        <v>1.2627183755423347E-2</v>
      </c>
      <c r="CY59" s="33">
        <f t="shared" ca="1" si="61"/>
        <v>1.0671613280931011E-2</v>
      </c>
      <c r="CZ59" s="33">
        <f t="shared" ca="1" si="61"/>
        <v>9.2038501819022445E-3</v>
      </c>
      <c r="DA59" s="33">
        <f t="shared" ca="1" si="61"/>
        <v>1.0318262018337547E-2</v>
      </c>
      <c r="DB59" s="33">
        <f t="shared" ca="1" si="61"/>
        <v>9.6093838586603971E-3</v>
      </c>
      <c r="DC59" s="33">
        <f t="shared" ca="1" si="61"/>
        <v>1.1740202522079831E-2</v>
      </c>
      <c r="DD59" s="33">
        <f t="shared" ca="1" si="61"/>
        <v>1.0271291714316106E-2</v>
      </c>
      <c r="DE59" s="33">
        <f t="shared" ca="1" si="62"/>
        <v>1.350656451653809E-2</v>
      </c>
      <c r="DF59" s="33">
        <f t="shared" ca="1" si="62"/>
        <v>8.5775689791614783E-3</v>
      </c>
      <c r="DG59" s="33">
        <f t="shared" ca="1" si="62"/>
        <v>1.0535567911481273E-2</v>
      </c>
      <c r="DH59" s="33">
        <f t="shared" ca="1" si="62"/>
        <v>1.1962274445126767E-2</v>
      </c>
      <c r="DI59" s="33">
        <f t="shared" ca="1" si="62"/>
        <v>1.2695708449964507E-2</v>
      </c>
      <c r="DJ59" s="33">
        <f t="shared" ca="1" si="62"/>
        <v>1.0818019889103163E-2</v>
      </c>
      <c r="DK59" s="33">
        <f t="shared" ca="1" si="62"/>
        <v>8.643944394570318E-3</v>
      </c>
      <c r="DL59" s="33">
        <f t="shared" ca="1" si="62"/>
        <v>1.2989243429833687E-2</v>
      </c>
      <c r="DM59" s="33">
        <f t="shared" ca="1" si="62"/>
        <v>1.0949134099734473E-2</v>
      </c>
      <c r="DN59" s="33">
        <f t="shared" ca="1" si="62"/>
        <v>1.0190030701340176E-2</v>
      </c>
      <c r="DO59" s="12"/>
      <c r="DP59" s="12"/>
      <c r="DQ59" s="12"/>
    </row>
    <row r="60" spans="1:121" x14ac:dyDescent="0.2">
      <c r="I60" s="32">
        <v>46235</v>
      </c>
      <c r="J60" s="33">
        <f t="shared" ca="1" si="42"/>
        <v>1.0595396737921059E-2</v>
      </c>
      <c r="K60" s="9">
        <v>2871.8507999999997</v>
      </c>
      <c r="L60" s="9">
        <f t="shared" ca="1" si="11"/>
        <v>165338.16271709313</v>
      </c>
      <c r="N60" s="6">
        <v>56</v>
      </c>
      <c r="O60" s="5">
        <v>3.9714684941899385</v>
      </c>
      <c r="P60" s="9">
        <v>692981.31058762211</v>
      </c>
      <c r="R60" s="32">
        <v>46235</v>
      </c>
      <c r="S60" s="33">
        <f t="shared" ca="1" si="53"/>
        <v>1.1036692237944672E-2</v>
      </c>
      <c r="T60" s="33">
        <f t="shared" ca="1" si="53"/>
        <v>1.0368058625793397E-2</v>
      </c>
      <c r="U60" s="33">
        <f t="shared" ca="1" si="53"/>
        <v>1.1749298157472887E-2</v>
      </c>
      <c r="V60" s="33">
        <f t="shared" ca="1" si="53"/>
        <v>1.1392076018762513E-2</v>
      </c>
      <c r="W60" s="33">
        <f t="shared" ca="1" si="53"/>
        <v>1.1709309062361279E-2</v>
      </c>
      <c r="X60" s="33">
        <f t="shared" ca="1" si="53"/>
        <v>9.9917316589762228E-3</v>
      </c>
      <c r="Y60" s="33">
        <f t="shared" ca="1" si="53"/>
        <v>1.2655195960746735E-2</v>
      </c>
      <c r="Z60" s="33">
        <f t="shared" ca="1" si="53"/>
        <v>1.0607825055061488E-2</v>
      </c>
      <c r="AA60" s="33">
        <f t="shared" ca="1" si="53"/>
        <v>1.0834442520323926E-2</v>
      </c>
      <c r="AB60" s="33">
        <f t="shared" ca="1" si="53"/>
        <v>1.1510080330197483E-2</v>
      </c>
      <c r="AC60" s="33">
        <f t="shared" ca="1" si="54"/>
        <v>1.182945419439062E-2</v>
      </c>
      <c r="AD60" s="33">
        <f t="shared" ca="1" si="54"/>
        <v>9.6286113942343592E-3</v>
      </c>
      <c r="AE60" s="33">
        <f t="shared" ca="1" si="54"/>
        <v>1.1502545570098017E-2</v>
      </c>
      <c r="AF60" s="33">
        <f t="shared" ca="1" si="54"/>
        <v>1.150880585953217E-2</v>
      </c>
      <c r="AG60" s="33">
        <f t="shared" ca="1" si="54"/>
        <v>1.0813113397780962E-2</v>
      </c>
      <c r="AH60" s="33">
        <f t="shared" ca="1" si="54"/>
        <v>1.4558529891165881E-2</v>
      </c>
      <c r="AI60" s="33">
        <f t="shared" ca="1" si="54"/>
        <v>9.808285100897313E-3</v>
      </c>
      <c r="AJ60" s="33">
        <f t="shared" ca="1" si="54"/>
        <v>1.3002159277168673E-2</v>
      </c>
      <c r="AK60" s="33">
        <f t="shared" ca="1" si="54"/>
        <v>9.1327470733206639E-3</v>
      </c>
      <c r="AL60" s="33">
        <f t="shared" ca="1" si="54"/>
        <v>1.0467011544308373E-2</v>
      </c>
      <c r="AM60" s="33">
        <f t="shared" ca="1" si="55"/>
        <v>1.2763868308974616E-2</v>
      </c>
      <c r="AN60" s="33">
        <f t="shared" ca="1" si="55"/>
        <v>1.3031239504783446E-2</v>
      </c>
      <c r="AO60" s="33">
        <f t="shared" ca="1" si="55"/>
        <v>1.0567837429672022E-2</v>
      </c>
      <c r="AP60" s="33">
        <f t="shared" ca="1" si="55"/>
        <v>1.3000366383019067E-2</v>
      </c>
      <c r="AQ60" s="33">
        <f t="shared" ca="1" si="55"/>
        <v>1.3090612824855064E-2</v>
      </c>
      <c r="AR60" s="33">
        <f t="shared" ca="1" si="55"/>
        <v>1.211794573257129E-2</v>
      </c>
      <c r="AS60" s="33">
        <f t="shared" ca="1" si="55"/>
        <v>1.0739456016311124E-2</v>
      </c>
      <c r="AT60" s="33">
        <f t="shared" ca="1" si="55"/>
        <v>1.1991242863180433E-2</v>
      </c>
      <c r="AU60" s="33">
        <f t="shared" ca="1" si="55"/>
        <v>1.1031100832139951E-2</v>
      </c>
      <c r="AV60" s="33">
        <f t="shared" ca="1" si="55"/>
        <v>1.512400339172937E-2</v>
      </c>
      <c r="AW60" s="33">
        <f t="shared" ca="1" si="56"/>
        <v>1.1919924259578713E-2</v>
      </c>
      <c r="AX60" s="33">
        <f t="shared" ca="1" si="56"/>
        <v>1.3059176004977805E-2</v>
      </c>
      <c r="AY60" s="33">
        <f t="shared" ca="1" si="56"/>
        <v>1.15065312755952E-2</v>
      </c>
      <c r="AZ60" s="33">
        <f t="shared" ca="1" si="56"/>
        <v>1.2004901576483597E-2</v>
      </c>
      <c r="BA60" s="33">
        <f t="shared" ca="1" si="56"/>
        <v>1.1159221595611512E-2</v>
      </c>
      <c r="BB60" s="33">
        <f t="shared" ca="1" si="56"/>
        <v>1.3155660179821655E-2</v>
      </c>
      <c r="BC60" s="33">
        <f t="shared" ca="1" si="56"/>
        <v>1.107757825475255E-2</v>
      </c>
      <c r="BD60" s="33">
        <f t="shared" ca="1" si="56"/>
        <v>9.7314018341007127E-3</v>
      </c>
      <c r="BE60" s="33">
        <f t="shared" ca="1" si="56"/>
        <v>1.0896621061241347E-2</v>
      </c>
      <c r="BF60" s="33">
        <f t="shared" ca="1" si="56"/>
        <v>1.1666447741880435E-2</v>
      </c>
      <c r="BG60" s="33">
        <f t="shared" ca="1" si="57"/>
        <v>1.0238251888674488E-2</v>
      </c>
      <c r="BH60" s="33">
        <f t="shared" ca="1" si="57"/>
        <v>1.0240983018708991E-2</v>
      </c>
      <c r="BI60" s="33">
        <f t="shared" ca="1" si="57"/>
        <v>1.198756555995842E-2</v>
      </c>
      <c r="BJ60" s="33">
        <f t="shared" ca="1" si="57"/>
        <v>1.2607426565883869E-2</v>
      </c>
      <c r="BK60" s="33">
        <f t="shared" ca="1" si="57"/>
        <v>1.1460486903817135E-2</v>
      </c>
      <c r="BL60" s="33">
        <f t="shared" ca="1" si="57"/>
        <v>1.39497581949164E-2</v>
      </c>
      <c r="BM60" s="33">
        <f t="shared" ca="1" si="57"/>
        <v>1.0773288891918861E-2</v>
      </c>
      <c r="BN60" s="33">
        <f t="shared" ca="1" si="57"/>
        <v>1.2154821445711315E-2</v>
      </c>
      <c r="BO60" s="33">
        <f t="shared" ca="1" si="57"/>
        <v>1.0301043946959333E-2</v>
      </c>
      <c r="BP60" s="33">
        <f t="shared" ca="1" si="57"/>
        <v>9.4452044365857229E-3</v>
      </c>
      <c r="BQ60" s="33">
        <f t="shared" ca="1" si="58"/>
        <v>9.3785906199688983E-3</v>
      </c>
      <c r="BR60" s="33">
        <f t="shared" ca="1" si="58"/>
        <v>1.1897653710890004E-2</v>
      </c>
      <c r="BS60" s="33">
        <f t="shared" ca="1" si="58"/>
        <v>1.0532303231706395E-2</v>
      </c>
      <c r="BT60" s="33">
        <f t="shared" ca="1" si="58"/>
        <v>9.6888038688023193E-3</v>
      </c>
      <c r="BU60" s="33">
        <f t="shared" ca="1" si="58"/>
        <v>1.0921954825450216E-2</v>
      </c>
      <c r="BV60" s="33">
        <f t="shared" ca="1" si="58"/>
        <v>1.0325963377164156E-2</v>
      </c>
      <c r="BW60" s="33">
        <f t="shared" ca="1" si="58"/>
        <v>9.8730113253202127E-3</v>
      </c>
      <c r="BX60" s="33">
        <f t="shared" ca="1" si="58"/>
        <v>1.171546092692821E-2</v>
      </c>
      <c r="BY60" s="33">
        <f t="shared" ca="1" si="58"/>
        <v>1.268715289684998E-2</v>
      </c>
      <c r="BZ60" s="33">
        <f t="shared" ca="1" si="58"/>
        <v>1.4136934398247215E-2</v>
      </c>
      <c r="CA60" s="33">
        <f t="shared" ca="1" si="59"/>
        <v>1.1516474033399426E-2</v>
      </c>
      <c r="CB60" s="33">
        <f t="shared" ca="1" si="59"/>
        <v>9.5840607400203698E-3</v>
      </c>
      <c r="CC60" s="33">
        <f t="shared" ca="1" si="59"/>
        <v>1.1831154368930209E-2</v>
      </c>
      <c r="CD60" s="33">
        <f t="shared" ca="1" si="59"/>
        <v>1.4218365071178279E-2</v>
      </c>
      <c r="CE60" s="33">
        <f t="shared" ca="1" si="59"/>
        <v>1.0537079432032217E-2</v>
      </c>
      <c r="CF60" s="33">
        <f t="shared" ca="1" si="59"/>
        <v>1.0807537555120547E-2</v>
      </c>
      <c r="CG60" s="33">
        <f t="shared" ca="1" si="59"/>
        <v>1.1819703585711702E-2</v>
      </c>
      <c r="CH60" s="33">
        <f t="shared" ca="1" si="59"/>
        <v>1.1871502340118394E-2</v>
      </c>
      <c r="CI60" s="33">
        <f t="shared" ca="1" si="59"/>
        <v>9.1360006151125807E-3</v>
      </c>
      <c r="CJ60" s="33">
        <f t="shared" ca="1" si="59"/>
        <v>9.6486276454362443E-3</v>
      </c>
      <c r="CK60" s="33">
        <f t="shared" ca="1" si="60"/>
        <v>1.0545261510125189E-2</v>
      </c>
      <c r="CL60" s="33">
        <f t="shared" ca="1" si="60"/>
        <v>9.9584749521674856E-3</v>
      </c>
      <c r="CM60" s="33">
        <f t="shared" ca="1" si="60"/>
        <v>1.11222519340423E-2</v>
      </c>
      <c r="CN60" s="33">
        <f t="shared" ca="1" si="60"/>
        <v>1.2671964210421945E-2</v>
      </c>
      <c r="CO60" s="33">
        <f t="shared" ca="1" si="60"/>
        <v>1.1453083311877473E-2</v>
      </c>
      <c r="CP60" s="33">
        <f t="shared" ca="1" si="60"/>
        <v>1.1672841498332691E-2</v>
      </c>
      <c r="CQ60" s="33">
        <f t="shared" ca="1" si="60"/>
        <v>1.0627832062687985E-2</v>
      </c>
      <c r="CR60" s="33">
        <f t="shared" ca="1" si="60"/>
        <v>1.3200800806132363E-2</v>
      </c>
      <c r="CS60" s="33">
        <f t="shared" ca="1" si="60"/>
        <v>9.7039096160647913E-3</v>
      </c>
      <c r="CT60" s="33">
        <f t="shared" ca="1" si="60"/>
        <v>1.3245941940930287E-2</v>
      </c>
      <c r="CU60" s="33">
        <f t="shared" ca="1" si="61"/>
        <v>1.3036564638091245E-2</v>
      </c>
      <c r="CV60" s="33">
        <f t="shared" ca="1" si="61"/>
        <v>1.2995419025358793E-2</v>
      </c>
      <c r="CW60" s="33">
        <f t="shared" ca="1" si="61"/>
        <v>9.7867276280566035E-3</v>
      </c>
      <c r="CX60" s="33">
        <f t="shared" ca="1" si="61"/>
        <v>1.0695524440019966E-2</v>
      </c>
      <c r="CY60" s="33">
        <f t="shared" ca="1" si="61"/>
        <v>1.3830798871032078E-2</v>
      </c>
      <c r="CZ60" s="33">
        <f t="shared" ca="1" si="61"/>
        <v>9.6397312816611166E-3</v>
      </c>
      <c r="DA60" s="33">
        <f t="shared" ca="1" si="61"/>
        <v>7.9168696704528148E-3</v>
      </c>
      <c r="DB60" s="33">
        <f t="shared" ca="1" si="61"/>
        <v>1.0916435556050588E-2</v>
      </c>
      <c r="DC60" s="33">
        <f t="shared" ca="1" si="61"/>
        <v>1.0357914908416203E-2</v>
      </c>
      <c r="DD60" s="33">
        <f t="shared" ca="1" si="61"/>
        <v>1.1463374841933204E-2</v>
      </c>
      <c r="DE60" s="33">
        <f t="shared" ca="1" si="62"/>
        <v>1.1771651418558534E-2</v>
      </c>
      <c r="DF60" s="33">
        <f t="shared" ca="1" si="62"/>
        <v>1.0376688858483071E-2</v>
      </c>
      <c r="DG60" s="33">
        <f t="shared" ca="1" si="62"/>
        <v>1.2646852542400652E-2</v>
      </c>
      <c r="DH60" s="33">
        <f t="shared" ca="1" si="62"/>
        <v>1.1394222259463939E-2</v>
      </c>
      <c r="DI60" s="33">
        <f t="shared" ca="1" si="62"/>
        <v>1.1215592701690497E-2</v>
      </c>
      <c r="DJ60" s="33">
        <f t="shared" ca="1" si="62"/>
        <v>1.1634634260396662E-2</v>
      </c>
      <c r="DK60" s="33">
        <f t="shared" ca="1" si="62"/>
        <v>1.1654817889525703E-2</v>
      </c>
      <c r="DL60" s="33">
        <f t="shared" ca="1" si="62"/>
        <v>1.0606259221205214E-2</v>
      </c>
      <c r="DM60" s="33">
        <f t="shared" ca="1" si="62"/>
        <v>1.0584263568997693E-2</v>
      </c>
      <c r="DN60" s="33">
        <f t="shared" ca="1" si="62"/>
        <v>1.455791587472296E-2</v>
      </c>
      <c r="DO60" s="12"/>
      <c r="DP60" s="12"/>
      <c r="DQ60" s="12"/>
    </row>
    <row r="61" spans="1:121" x14ac:dyDescent="0.2">
      <c r="I61" s="32">
        <v>46266</v>
      </c>
      <c r="J61" s="33">
        <f t="shared" ca="1" si="42"/>
        <v>1.171780324771346E-2</v>
      </c>
      <c r="K61" s="9">
        <v>2871.8507999999997</v>
      </c>
      <c r="L61" s="9">
        <f t="shared" ca="1" si="11"/>
        <v>170158.80908009823</v>
      </c>
      <c r="N61" s="6">
        <v>57</v>
      </c>
      <c r="O61" s="5">
        <v>3.991914327544674</v>
      </c>
      <c r="P61" s="9">
        <v>687816.60901993921</v>
      </c>
      <c r="R61" s="32">
        <v>46266</v>
      </c>
      <c r="S61" s="33">
        <f t="shared" ca="1" si="53"/>
        <v>1.1215418547261123E-2</v>
      </c>
      <c r="T61" s="33">
        <f t="shared" ca="1" si="53"/>
        <v>1.2284277900741675E-2</v>
      </c>
      <c r="U61" s="33">
        <f t="shared" ca="1" si="53"/>
        <v>1.1643135480914413E-2</v>
      </c>
      <c r="V61" s="33">
        <f t="shared" ca="1" si="53"/>
        <v>9.0672371790012276E-3</v>
      </c>
      <c r="W61" s="33">
        <f t="shared" ca="1" si="53"/>
        <v>1.1865178595669905E-2</v>
      </c>
      <c r="X61" s="33">
        <f t="shared" ca="1" si="53"/>
        <v>1.2188197915011502E-2</v>
      </c>
      <c r="Y61" s="33">
        <f t="shared" ca="1" si="53"/>
        <v>1.3441094265899895E-2</v>
      </c>
      <c r="Z61" s="33">
        <f t="shared" ca="1" si="53"/>
        <v>9.104622639043429E-3</v>
      </c>
      <c r="AA61" s="33">
        <f t="shared" ca="1" si="53"/>
        <v>1.1041383770044415E-2</v>
      </c>
      <c r="AB61" s="33">
        <f t="shared" ca="1" si="53"/>
        <v>1.3833419563069682E-2</v>
      </c>
      <c r="AC61" s="33">
        <f t="shared" ca="1" si="54"/>
        <v>1.1673855873268187E-2</v>
      </c>
      <c r="AD61" s="33">
        <f t="shared" ca="1" si="54"/>
        <v>1.3182271284910204E-2</v>
      </c>
      <c r="AE61" s="33">
        <f t="shared" ca="1" si="54"/>
        <v>1.0229831656954862E-2</v>
      </c>
      <c r="AF61" s="33">
        <f t="shared" ca="1" si="54"/>
        <v>7.646992959313449E-3</v>
      </c>
      <c r="AG61" s="33">
        <f t="shared" ca="1" si="54"/>
        <v>1.2357752817060712E-2</v>
      </c>
      <c r="AH61" s="33">
        <f t="shared" ca="1" si="54"/>
        <v>1.2180831999012147E-2</v>
      </c>
      <c r="AI61" s="33">
        <f t="shared" ca="1" si="54"/>
        <v>1.2937972591542883E-2</v>
      </c>
      <c r="AJ61" s="33">
        <f t="shared" ca="1" si="54"/>
        <v>9.915447909759588E-3</v>
      </c>
      <c r="AK61" s="33">
        <f t="shared" ca="1" si="54"/>
        <v>8.8432082930946874E-3</v>
      </c>
      <c r="AL61" s="33">
        <f t="shared" ca="1" si="54"/>
        <v>1.4785131982809219E-2</v>
      </c>
      <c r="AM61" s="33">
        <f t="shared" ca="1" si="55"/>
        <v>1.2511360657876825E-2</v>
      </c>
      <c r="AN61" s="33">
        <f t="shared" ca="1" si="55"/>
        <v>9.3462284819714764E-3</v>
      </c>
      <c r="AO61" s="33">
        <f t="shared" ca="1" si="55"/>
        <v>8.8534329089472938E-3</v>
      </c>
      <c r="AP61" s="33">
        <f t="shared" ca="1" si="55"/>
        <v>1.2280731513278031E-2</v>
      </c>
      <c r="AQ61" s="33">
        <f t="shared" ca="1" si="55"/>
        <v>9.9764751339238029E-3</v>
      </c>
      <c r="AR61" s="33">
        <f t="shared" ca="1" si="55"/>
        <v>1.2319080912884663E-2</v>
      </c>
      <c r="AS61" s="33">
        <f t="shared" ca="1" si="55"/>
        <v>1.1656916700144513E-2</v>
      </c>
      <c r="AT61" s="33">
        <f t="shared" ca="1" si="55"/>
        <v>1.0996693531146341E-2</v>
      </c>
      <c r="AU61" s="33">
        <f t="shared" ca="1" si="55"/>
        <v>1.2690216606309705E-2</v>
      </c>
      <c r="AV61" s="33">
        <f t="shared" ca="1" si="55"/>
        <v>1.2264651719865495E-2</v>
      </c>
      <c r="AW61" s="33">
        <f t="shared" ca="1" si="56"/>
        <v>1.0943155443345598E-2</v>
      </c>
      <c r="AX61" s="33">
        <f t="shared" ca="1" si="56"/>
        <v>8.1555768847958801E-3</v>
      </c>
      <c r="AY61" s="33">
        <f t="shared" ca="1" si="56"/>
        <v>1.1046237090446973E-2</v>
      </c>
      <c r="AZ61" s="33">
        <f t="shared" ca="1" si="56"/>
        <v>1.2588459762924166E-2</v>
      </c>
      <c r="BA61" s="33">
        <f t="shared" ca="1" si="56"/>
        <v>1.2861478148488099E-2</v>
      </c>
      <c r="BB61" s="33">
        <f t="shared" ca="1" si="56"/>
        <v>1.1291185676486001E-2</v>
      </c>
      <c r="BC61" s="33">
        <f t="shared" ca="1" si="56"/>
        <v>1.1442121460808913E-2</v>
      </c>
      <c r="BD61" s="33">
        <f t="shared" ca="1" si="56"/>
        <v>8.9019517839357461E-3</v>
      </c>
      <c r="BE61" s="33">
        <f t="shared" ca="1" si="56"/>
        <v>1.1702964093172926E-2</v>
      </c>
      <c r="BF61" s="33">
        <f t="shared" ca="1" si="56"/>
        <v>9.7087729844012177E-3</v>
      </c>
      <c r="BG61" s="33">
        <f t="shared" ca="1" si="57"/>
        <v>1.0299159950605707E-2</v>
      </c>
      <c r="BH61" s="33">
        <f t="shared" ca="1" si="57"/>
        <v>9.6162402712270424E-3</v>
      </c>
      <c r="BI61" s="33">
        <f t="shared" ca="1" si="57"/>
        <v>8.0741413717768037E-3</v>
      </c>
      <c r="BJ61" s="33">
        <f t="shared" ca="1" si="57"/>
        <v>1.2875326832992138E-2</v>
      </c>
      <c r="BK61" s="33">
        <f t="shared" ca="1" si="57"/>
        <v>1.4814475648499251E-2</v>
      </c>
      <c r="BL61" s="33">
        <f t="shared" ca="1" si="57"/>
        <v>1.1263636281782896E-2</v>
      </c>
      <c r="BM61" s="33">
        <f t="shared" ca="1" si="57"/>
        <v>1.0576137856926966E-2</v>
      </c>
      <c r="BN61" s="33">
        <f t="shared" ca="1" si="57"/>
        <v>1.1445648856158293E-2</v>
      </c>
      <c r="BO61" s="33">
        <f t="shared" ca="1" si="57"/>
        <v>1.1584355188447481E-2</v>
      </c>
      <c r="BP61" s="33">
        <f t="shared" ca="1" si="57"/>
        <v>1.0756184175672263E-2</v>
      </c>
      <c r="BQ61" s="33">
        <f t="shared" ca="1" si="58"/>
        <v>1.1746777164404991E-2</v>
      </c>
      <c r="BR61" s="33">
        <f t="shared" ca="1" si="58"/>
        <v>1.122444135795797E-2</v>
      </c>
      <c r="BS61" s="33">
        <f t="shared" ca="1" si="58"/>
        <v>1.350997756451445E-2</v>
      </c>
      <c r="BT61" s="33">
        <f t="shared" ca="1" si="58"/>
        <v>1.2693413020572038E-2</v>
      </c>
      <c r="BU61" s="33">
        <f t="shared" ca="1" si="58"/>
        <v>1.2695869643309118E-2</v>
      </c>
      <c r="BV61" s="33">
        <f t="shared" ca="1" si="58"/>
        <v>1.1395549570752429E-2</v>
      </c>
      <c r="BW61" s="33">
        <f t="shared" ca="1" si="58"/>
        <v>1.2384890494032715E-2</v>
      </c>
      <c r="BX61" s="33">
        <f t="shared" ca="1" si="58"/>
        <v>1.2620442546940032E-2</v>
      </c>
      <c r="BY61" s="33">
        <f t="shared" ca="1" si="58"/>
        <v>1.2809044188176097E-2</v>
      </c>
      <c r="BZ61" s="33">
        <f t="shared" ca="1" si="58"/>
        <v>1.0230400259323294E-2</v>
      </c>
      <c r="CA61" s="33">
        <f t="shared" ca="1" si="59"/>
        <v>9.1160401083946636E-3</v>
      </c>
      <c r="CB61" s="33">
        <f t="shared" ca="1" si="59"/>
        <v>1.1828343415616539E-2</v>
      </c>
      <c r="CC61" s="33">
        <f t="shared" ca="1" si="59"/>
        <v>1.3413007835252122E-2</v>
      </c>
      <c r="CD61" s="33">
        <f t="shared" ca="1" si="59"/>
        <v>1.1540676293060569E-2</v>
      </c>
      <c r="CE61" s="33">
        <f t="shared" ca="1" si="59"/>
        <v>1.0991571421321835E-2</v>
      </c>
      <c r="CF61" s="33">
        <f t="shared" ca="1" si="59"/>
        <v>1.3501788870988865E-2</v>
      </c>
      <c r="CG61" s="33">
        <f t="shared" ca="1" si="59"/>
        <v>1.0673995122746558E-2</v>
      </c>
      <c r="CH61" s="33">
        <f t="shared" ca="1" si="59"/>
        <v>1.2188332926036645E-2</v>
      </c>
      <c r="CI61" s="33">
        <f t="shared" ca="1" si="59"/>
        <v>1.3473918043131604E-2</v>
      </c>
      <c r="CJ61" s="33">
        <f t="shared" ca="1" si="59"/>
        <v>1.3315392690723855E-2</v>
      </c>
      <c r="CK61" s="33">
        <f t="shared" ca="1" si="60"/>
        <v>1.0730445149717447E-2</v>
      </c>
      <c r="CL61" s="33">
        <f t="shared" ca="1" si="60"/>
        <v>1.2191427911596012E-2</v>
      </c>
      <c r="CM61" s="33">
        <f t="shared" ca="1" si="60"/>
        <v>1.341997108762865E-2</v>
      </c>
      <c r="CN61" s="33">
        <f t="shared" ca="1" si="60"/>
        <v>9.2321819486685941E-3</v>
      </c>
      <c r="CO61" s="33">
        <f t="shared" ca="1" si="60"/>
        <v>1.0133333727562224E-2</v>
      </c>
      <c r="CP61" s="33">
        <f t="shared" ca="1" si="60"/>
        <v>1.1401038466959064E-2</v>
      </c>
      <c r="CQ61" s="33">
        <f t="shared" ca="1" si="60"/>
        <v>1.1539827362951026E-2</v>
      </c>
      <c r="CR61" s="33">
        <f t="shared" ca="1" si="60"/>
        <v>1.0473767073579386E-2</v>
      </c>
      <c r="CS61" s="33">
        <f t="shared" ca="1" si="60"/>
        <v>1.1377071492721644E-2</v>
      </c>
      <c r="CT61" s="33">
        <f t="shared" ca="1" si="60"/>
        <v>1.0049163450108593E-2</v>
      </c>
      <c r="CU61" s="33">
        <f t="shared" ca="1" si="61"/>
        <v>1.428253039110005E-2</v>
      </c>
      <c r="CV61" s="33">
        <f t="shared" ca="1" si="61"/>
        <v>9.6097246288513061E-3</v>
      </c>
      <c r="CW61" s="33">
        <f t="shared" ca="1" si="61"/>
        <v>1.2269572960320293E-2</v>
      </c>
      <c r="CX61" s="33">
        <f t="shared" ca="1" si="61"/>
        <v>1.1692835824984191E-2</v>
      </c>
      <c r="CY61" s="33">
        <f t="shared" ca="1" si="61"/>
        <v>1.1734641624805078E-2</v>
      </c>
      <c r="CZ61" s="33">
        <f t="shared" ca="1" si="61"/>
        <v>1.3390407108204924E-2</v>
      </c>
      <c r="DA61" s="33">
        <f t="shared" ca="1" si="61"/>
        <v>9.0428695386103354E-3</v>
      </c>
      <c r="DB61" s="33">
        <f t="shared" ca="1" si="61"/>
        <v>1.1258012051097934E-2</v>
      </c>
      <c r="DC61" s="33">
        <f t="shared" ca="1" si="61"/>
        <v>1.2155908545980025E-2</v>
      </c>
      <c r="DD61" s="33">
        <f t="shared" ca="1" si="61"/>
        <v>8.9335167225437235E-3</v>
      </c>
      <c r="DE61" s="33">
        <f t="shared" ca="1" si="62"/>
        <v>1.4038917164574479E-2</v>
      </c>
      <c r="DF61" s="33">
        <f t="shared" ca="1" si="62"/>
        <v>1.3017142488054972E-2</v>
      </c>
      <c r="DG61" s="33">
        <f t="shared" ca="1" si="62"/>
        <v>1.4654882165558188E-2</v>
      </c>
      <c r="DH61" s="33">
        <f t="shared" ca="1" si="62"/>
        <v>1.0595146072842631E-2</v>
      </c>
      <c r="DI61" s="33">
        <f t="shared" ca="1" si="62"/>
        <v>1.0103381516877393E-2</v>
      </c>
      <c r="DJ61" s="33">
        <f t="shared" ca="1" si="62"/>
        <v>1.1775584710012419E-2</v>
      </c>
      <c r="DK61" s="33">
        <f t="shared" ca="1" si="62"/>
        <v>1.1977276152693717E-2</v>
      </c>
      <c r="DL61" s="33">
        <f t="shared" ca="1" si="62"/>
        <v>1.1224519469479031E-2</v>
      </c>
      <c r="DM61" s="33">
        <f t="shared" ca="1" si="62"/>
        <v>1.0185126468039554E-2</v>
      </c>
      <c r="DN61" s="33">
        <f t="shared" ca="1" si="62"/>
        <v>9.3284807073754604E-3</v>
      </c>
      <c r="DO61" s="12"/>
      <c r="DP61" s="12"/>
      <c r="DQ61" s="12"/>
    </row>
    <row r="62" spans="1:121" x14ac:dyDescent="0.2">
      <c r="I62" s="32">
        <v>46296</v>
      </c>
      <c r="J62" s="33">
        <f t="shared" ca="1" si="42"/>
        <v>1.2856594773884473E-2</v>
      </c>
      <c r="K62" s="9">
        <v>2871.8507999999997</v>
      </c>
      <c r="L62" s="9">
        <f t="shared" ca="1" si="11"/>
        <v>175232.44614447802</v>
      </c>
      <c r="N62" s="6">
        <v>58</v>
      </c>
      <c r="O62" s="5">
        <v>3.9942843596082964</v>
      </c>
      <c r="P62" s="9">
        <v>694854.07443211053</v>
      </c>
      <c r="R62" s="32">
        <v>46296</v>
      </c>
      <c r="S62" s="33">
        <f t="shared" ca="1" si="53"/>
        <v>1.3761516755619721E-2</v>
      </c>
      <c r="T62" s="33">
        <f t="shared" ca="1" si="53"/>
        <v>1.0712738976916925E-2</v>
      </c>
      <c r="U62" s="33">
        <f t="shared" ca="1" si="53"/>
        <v>1.0440109633184922E-2</v>
      </c>
      <c r="V62" s="33">
        <f t="shared" ca="1" si="53"/>
        <v>1.212599799463775E-2</v>
      </c>
      <c r="W62" s="33">
        <f t="shared" ca="1" si="53"/>
        <v>1.2555540755195427E-2</v>
      </c>
      <c r="X62" s="33">
        <f t="shared" ca="1" si="53"/>
        <v>1.0278028466336455E-2</v>
      </c>
      <c r="Y62" s="33">
        <f t="shared" ca="1" si="53"/>
        <v>1.1684415972531038E-2</v>
      </c>
      <c r="Z62" s="33">
        <f t="shared" ca="1" si="53"/>
        <v>1.1735218230877168E-2</v>
      </c>
      <c r="AA62" s="33">
        <f t="shared" ca="1" si="53"/>
        <v>8.6105023461792649E-3</v>
      </c>
      <c r="AB62" s="33">
        <f t="shared" ca="1" si="53"/>
        <v>1.2445604464229825E-2</v>
      </c>
      <c r="AC62" s="33">
        <f t="shared" ca="1" si="54"/>
        <v>1.0093303075310284E-2</v>
      </c>
      <c r="AD62" s="33">
        <f t="shared" ca="1" si="54"/>
        <v>1.1752618155145942E-2</v>
      </c>
      <c r="AE62" s="33">
        <f t="shared" ca="1" si="54"/>
        <v>1.1704769875169519E-2</v>
      </c>
      <c r="AF62" s="33">
        <f t="shared" ca="1" si="54"/>
        <v>1.1634963035310818E-2</v>
      </c>
      <c r="AG62" s="33">
        <f t="shared" ca="1" si="54"/>
        <v>1.1255481271955168E-2</v>
      </c>
      <c r="AH62" s="33">
        <f t="shared" ca="1" si="54"/>
        <v>9.0533208763165993E-3</v>
      </c>
      <c r="AI62" s="33">
        <f t="shared" ca="1" si="54"/>
        <v>1.1067043566201341E-2</v>
      </c>
      <c r="AJ62" s="33">
        <f t="shared" ca="1" si="54"/>
        <v>1.0927650736991637E-2</v>
      </c>
      <c r="AK62" s="33">
        <f t="shared" ca="1" si="54"/>
        <v>1.201628104525731E-2</v>
      </c>
      <c r="AL62" s="33">
        <f t="shared" ca="1" si="54"/>
        <v>9.0786943125312457E-3</v>
      </c>
      <c r="AM62" s="33">
        <f t="shared" ca="1" si="55"/>
        <v>1.1649916709868121E-2</v>
      </c>
      <c r="AN62" s="33">
        <f t="shared" ca="1" si="55"/>
        <v>1.1835819107848275E-2</v>
      </c>
      <c r="AO62" s="33">
        <f t="shared" ca="1" si="55"/>
        <v>1.0065768978342157E-2</v>
      </c>
      <c r="AP62" s="33">
        <f t="shared" ca="1" si="55"/>
        <v>7.6262624580042499E-3</v>
      </c>
      <c r="AQ62" s="33">
        <f t="shared" ca="1" si="55"/>
        <v>1.2342614622418667E-2</v>
      </c>
      <c r="AR62" s="33">
        <f t="shared" ca="1" si="55"/>
        <v>1.2636965375276947E-2</v>
      </c>
      <c r="AS62" s="33">
        <f t="shared" ca="1" si="55"/>
        <v>9.3156769453769106E-3</v>
      </c>
      <c r="AT62" s="33">
        <f t="shared" ca="1" si="55"/>
        <v>1.3148340068214961E-2</v>
      </c>
      <c r="AU62" s="33">
        <f t="shared" ca="1" si="55"/>
        <v>1.0598316229992064E-2</v>
      </c>
      <c r="AV62" s="33">
        <f t="shared" ca="1" si="55"/>
        <v>1.2200544787845271E-2</v>
      </c>
      <c r="AW62" s="33">
        <f t="shared" ca="1" si="56"/>
        <v>8.6524472907694855E-3</v>
      </c>
      <c r="AX62" s="33">
        <f t="shared" ca="1" si="56"/>
        <v>1.0744377289975553E-2</v>
      </c>
      <c r="AY62" s="33">
        <f t="shared" ca="1" si="56"/>
        <v>1.1008222324948363E-2</v>
      </c>
      <c r="AZ62" s="33">
        <f t="shared" ca="1" si="56"/>
        <v>1.1342648113681228E-2</v>
      </c>
      <c r="BA62" s="33">
        <f t="shared" ca="1" si="56"/>
        <v>1.0384509543460898E-2</v>
      </c>
      <c r="BB62" s="33">
        <f t="shared" ca="1" si="56"/>
        <v>1.1735652638729211E-2</v>
      </c>
      <c r="BC62" s="33">
        <f t="shared" ca="1" si="56"/>
        <v>1.3352602669549808E-2</v>
      </c>
      <c r="BD62" s="33">
        <f t="shared" ca="1" si="56"/>
        <v>1.1263270978284735E-2</v>
      </c>
      <c r="BE62" s="33">
        <f t="shared" ca="1" si="56"/>
        <v>1.2294967596331693E-2</v>
      </c>
      <c r="BF62" s="33">
        <f t="shared" ca="1" si="56"/>
        <v>1.0430707541212867E-2</v>
      </c>
      <c r="BG62" s="33">
        <f t="shared" ca="1" si="57"/>
        <v>9.9235666973944252E-3</v>
      </c>
      <c r="BH62" s="33">
        <f t="shared" ca="1" si="57"/>
        <v>1.1486380806016772E-2</v>
      </c>
      <c r="BI62" s="33">
        <f t="shared" ca="1" si="57"/>
        <v>1.1021509981906565E-2</v>
      </c>
      <c r="BJ62" s="33">
        <f t="shared" ca="1" si="57"/>
        <v>1.231075648709256E-2</v>
      </c>
      <c r="BK62" s="33">
        <f t="shared" ca="1" si="57"/>
        <v>1.2197267998600287E-2</v>
      </c>
      <c r="BL62" s="33">
        <f t="shared" ca="1" si="57"/>
        <v>1.3035390104499641E-2</v>
      </c>
      <c r="BM62" s="33">
        <f t="shared" ca="1" si="57"/>
        <v>1.2291948465431969E-2</v>
      </c>
      <c r="BN62" s="33">
        <f t="shared" ca="1" si="57"/>
        <v>1.1672683841425256E-2</v>
      </c>
      <c r="BO62" s="33">
        <f t="shared" ca="1" si="57"/>
        <v>1.2283661469293989E-2</v>
      </c>
      <c r="BP62" s="33">
        <f t="shared" ca="1" si="57"/>
        <v>1.0005825898150023E-2</v>
      </c>
      <c r="BQ62" s="33">
        <f t="shared" ca="1" si="58"/>
        <v>9.9162114405945585E-3</v>
      </c>
      <c r="BR62" s="33">
        <f t="shared" ca="1" si="58"/>
        <v>1.1599193761292132E-2</v>
      </c>
      <c r="BS62" s="33">
        <f t="shared" ca="1" si="58"/>
        <v>1.3459439892542346E-2</v>
      </c>
      <c r="BT62" s="33">
        <f t="shared" ca="1" si="58"/>
        <v>1.3190789825611603E-2</v>
      </c>
      <c r="BU62" s="33">
        <f t="shared" ca="1" si="58"/>
        <v>1.2133984216717405E-2</v>
      </c>
      <c r="BV62" s="33">
        <f t="shared" ca="1" si="58"/>
        <v>1.0416409320495777E-2</v>
      </c>
      <c r="BW62" s="33">
        <f t="shared" ca="1" si="58"/>
        <v>1.3107287594465188E-2</v>
      </c>
      <c r="BX62" s="33">
        <f t="shared" ca="1" si="58"/>
        <v>1.1256570980382758E-2</v>
      </c>
      <c r="BY62" s="33">
        <f t="shared" ca="1" si="58"/>
        <v>1.0118156493884582E-2</v>
      </c>
      <c r="BZ62" s="33">
        <f t="shared" ca="1" si="58"/>
        <v>1.0966862824053568E-2</v>
      </c>
      <c r="CA62" s="33">
        <f t="shared" ca="1" si="59"/>
        <v>8.5410061936817411E-3</v>
      </c>
      <c r="CB62" s="33">
        <f t="shared" ca="1" si="59"/>
        <v>1.0976276772795276E-2</v>
      </c>
      <c r="CC62" s="33">
        <f t="shared" ca="1" si="59"/>
        <v>1.1451849291717218E-2</v>
      </c>
      <c r="CD62" s="33">
        <f t="shared" ca="1" si="59"/>
        <v>1.1904145018513869E-2</v>
      </c>
      <c r="CE62" s="33">
        <f t="shared" ca="1" si="59"/>
        <v>1.0714443950341853E-2</v>
      </c>
      <c r="CF62" s="33">
        <f t="shared" ca="1" si="59"/>
        <v>1.2268383583548521E-2</v>
      </c>
      <c r="CG62" s="33">
        <f t="shared" ca="1" si="59"/>
        <v>1.2018269601017062E-2</v>
      </c>
      <c r="CH62" s="33">
        <f t="shared" ca="1" si="59"/>
        <v>1.1971161824169999E-2</v>
      </c>
      <c r="CI62" s="33">
        <f t="shared" ca="1" si="59"/>
        <v>1.3394481074022588E-2</v>
      </c>
      <c r="CJ62" s="33">
        <f t="shared" ca="1" si="59"/>
        <v>1.0893936003542269E-2</v>
      </c>
      <c r="CK62" s="33">
        <f t="shared" ca="1" si="60"/>
        <v>1.1969418976380961E-2</v>
      </c>
      <c r="CL62" s="33">
        <f t="shared" ca="1" si="60"/>
        <v>1.3334156448160836E-2</v>
      </c>
      <c r="CM62" s="33">
        <f t="shared" ca="1" si="60"/>
        <v>1.0032398417614783E-2</v>
      </c>
      <c r="CN62" s="33">
        <f t="shared" ca="1" si="60"/>
        <v>1.2389435154182117E-2</v>
      </c>
      <c r="CO62" s="33">
        <f t="shared" ca="1" si="60"/>
        <v>9.8468317387867266E-3</v>
      </c>
      <c r="CP62" s="33">
        <f t="shared" ca="1" si="60"/>
        <v>1.3521756971911212E-2</v>
      </c>
      <c r="CQ62" s="33">
        <f t="shared" ca="1" si="60"/>
        <v>1.0106934279177599E-2</v>
      </c>
      <c r="CR62" s="33">
        <f t="shared" ca="1" si="60"/>
        <v>1.2290149031793891E-2</v>
      </c>
      <c r="CS62" s="33">
        <f t="shared" ca="1" si="60"/>
        <v>1.3379852396356872E-2</v>
      </c>
      <c r="CT62" s="33">
        <f t="shared" ca="1" si="60"/>
        <v>8.4329855412077319E-3</v>
      </c>
      <c r="CU62" s="33">
        <f t="shared" ca="1" si="61"/>
        <v>1.1696106360939956E-2</v>
      </c>
      <c r="CV62" s="33">
        <f t="shared" ca="1" si="61"/>
        <v>1.2062320534772865E-2</v>
      </c>
      <c r="CW62" s="33">
        <f t="shared" ca="1" si="61"/>
        <v>1.374082177863542E-2</v>
      </c>
      <c r="CX62" s="33">
        <f t="shared" ca="1" si="61"/>
        <v>1.0191413388447423E-2</v>
      </c>
      <c r="CY62" s="33">
        <f t="shared" ca="1" si="61"/>
        <v>1.1999438536418213E-2</v>
      </c>
      <c r="CZ62" s="33">
        <f t="shared" ca="1" si="61"/>
        <v>1.2438619733381341E-2</v>
      </c>
      <c r="DA62" s="33">
        <f t="shared" ca="1" si="61"/>
        <v>9.2241441489933247E-3</v>
      </c>
      <c r="DB62" s="33">
        <f t="shared" ca="1" si="61"/>
        <v>1.1675527898314985E-2</v>
      </c>
      <c r="DC62" s="33">
        <f t="shared" ca="1" si="61"/>
        <v>1.1336936594746657E-2</v>
      </c>
      <c r="DD62" s="33">
        <f t="shared" ca="1" si="61"/>
        <v>1.1660377065980635E-2</v>
      </c>
      <c r="DE62" s="33">
        <f t="shared" ca="1" si="62"/>
        <v>1.0741987670064047E-2</v>
      </c>
      <c r="DF62" s="33">
        <f t="shared" ca="1" si="62"/>
        <v>9.6090515374951165E-3</v>
      </c>
      <c r="DG62" s="33">
        <f t="shared" ca="1" si="62"/>
        <v>1.0619706560693113E-2</v>
      </c>
      <c r="DH62" s="33">
        <f t="shared" ca="1" si="62"/>
        <v>1.340367678665005E-2</v>
      </c>
      <c r="DI62" s="33">
        <f t="shared" ca="1" si="62"/>
        <v>1.2702556702628941E-2</v>
      </c>
      <c r="DJ62" s="33">
        <f t="shared" ca="1" si="62"/>
        <v>1.1794491284153379E-2</v>
      </c>
      <c r="DK62" s="33">
        <f t="shared" ca="1" si="62"/>
        <v>9.6339222715627077E-3</v>
      </c>
      <c r="DL62" s="33">
        <f t="shared" ca="1" si="62"/>
        <v>1.0588167590202032E-2</v>
      </c>
      <c r="DM62" s="33">
        <f t="shared" ca="1" si="62"/>
        <v>1.1751365252910213E-2</v>
      </c>
      <c r="DN62" s="33">
        <f t="shared" ca="1" si="62"/>
        <v>1.1684170923265569E-2</v>
      </c>
      <c r="DO62" s="12"/>
      <c r="DP62" s="12"/>
      <c r="DQ62" s="12"/>
    </row>
    <row r="63" spans="1:121" x14ac:dyDescent="0.2">
      <c r="I63" s="32">
        <v>46327</v>
      </c>
      <c r="J63" s="33">
        <f t="shared" ca="1" si="42"/>
        <v>1.3248777193142524E-2</v>
      </c>
      <c r="K63" s="9">
        <v>2871.8507999999997</v>
      </c>
      <c r="L63" s="9">
        <f t="shared" ca="1" si="11"/>
        <v>180441.36000906114</v>
      </c>
      <c r="N63" s="6">
        <v>59</v>
      </c>
      <c r="O63" s="5">
        <v>3.9760648044372302</v>
      </c>
      <c r="P63" s="9">
        <v>686204.43832880165</v>
      </c>
      <c r="R63" s="32">
        <v>46327</v>
      </c>
      <c r="S63" s="33">
        <f t="shared" ca="1" si="53"/>
        <v>1.104618119835421E-2</v>
      </c>
      <c r="T63" s="33">
        <f t="shared" ca="1" si="53"/>
        <v>1.3831479369263525E-2</v>
      </c>
      <c r="U63" s="33">
        <f t="shared" ca="1" si="53"/>
        <v>1.2011659922567483E-2</v>
      </c>
      <c r="V63" s="33">
        <f t="shared" ca="1" si="53"/>
        <v>9.6830278951204989E-3</v>
      </c>
      <c r="W63" s="33">
        <f t="shared" ca="1" si="53"/>
        <v>1.1703039726745782E-2</v>
      </c>
      <c r="X63" s="33">
        <f t="shared" ca="1" si="53"/>
        <v>1.0702480222171143E-2</v>
      </c>
      <c r="Y63" s="33">
        <f t="shared" ca="1" si="53"/>
        <v>8.3409554441942584E-3</v>
      </c>
      <c r="Z63" s="33">
        <f t="shared" ca="1" si="53"/>
        <v>1.311144638671533E-2</v>
      </c>
      <c r="AA63" s="33">
        <f t="shared" ca="1" si="53"/>
        <v>1.288527458296942E-2</v>
      </c>
      <c r="AB63" s="33">
        <f t="shared" ca="1" si="53"/>
        <v>9.4952889489795037E-3</v>
      </c>
      <c r="AC63" s="33">
        <f t="shared" ca="1" si="54"/>
        <v>1.0691145443006596E-2</v>
      </c>
      <c r="AD63" s="33">
        <f t="shared" ca="1" si="54"/>
        <v>9.6620941319849763E-3</v>
      </c>
      <c r="AE63" s="33">
        <f t="shared" ca="1" si="54"/>
        <v>1.1487131468376056E-2</v>
      </c>
      <c r="AF63" s="33">
        <f t="shared" ca="1" si="54"/>
        <v>9.3494273003710375E-3</v>
      </c>
      <c r="AG63" s="33">
        <f t="shared" ca="1" si="54"/>
        <v>1.2707489000050094E-2</v>
      </c>
      <c r="AH63" s="33">
        <f t="shared" ca="1" si="54"/>
        <v>1.1500091970594893E-2</v>
      </c>
      <c r="AI63" s="33">
        <f t="shared" ca="1" si="54"/>
        <v>1.1666733756119402E-2</v>
      </c>
      <c r="AJ63" s="33">
        <f t="shared" ca="1" si="54"/>
        <v>7.9788190028507941E-3</v>
      </c>
      <c r="AK63" s="33">
        <f t="shared" ca="1" si="54"/>
        <v>9.4811392075758883E-3</v>
      </c>
      <c r="AL63" s="33">
        <f t="shared" ca="1" si="54"/>
        <v>1.2337049308561549E-2</v>
      </c>
      <c r="AM63" s="33">
        <f t="shared" ca="1" si="55"/>
        <v>9.2953775825000921E-3</v>
      </c>
      <c r="AN63" s="33">
        <f t="shared" ca="1" si="55"/>
        <v>1.1461684452372499E-2</v>
      </c>
      <c r="AO63" s="33">
        <f t="shared" ca="1" si="55"/>
        <v>1.2793469850238942E-2</v>
      </c>
      <c r="AP63" s="33">
        <f t="shared" ca="1" si="55"/>
        <v>9.9212882765345005E-3</v>
      </c>
      <c r="AQ63" s="33">
        <f t="shared" ca="1" si="55"/>
        <v>9.4386422447729022E-3</v>
      </c>
      <c r="AR63" s="33">
        <f t="shared" ca="1" si="55"/>
        <v>1.1521657936622775E-2</v>
      </c>
      <c r="AS63" s="33">
        <f t="shared" ca="1" si="55"/>
        <v>1.1275831152247819E-2</v>
      </c>
      <c r="AT63" s="33">
        <f t="shared" ca="1" si="55"/>
        <v>1.0552556063487321E-2</v>
      </c>
      <c r="AU63" s="33">
        <f t="shared" ca="1" si="55"/>
        <v>1.1991330691182661E-2</v>
      </c>
      <c r="AV63" s="33">
        <f t="shared" ca="1" si="55"/>
        <v>9.3182759420748079E-3</v>
      </c>
      <c r="AW63" s="33">
        <f t="shared" ca="1" si="56"/>
        <v>1.4387804005391618E-2</v>
      </c>
      <c r="AX63" s="33">
        <f t="shared" ca="1" si="56"/>
        <v>1.0630189351712888E-2</v>
      </c>
      <c r="AY63" s="33">
        <f t="shared" ca="1" si="56"/>
        <v>1.0910785337428541E-2</v>
      </c>
      <c r="AZ63" s="33">
        <f t="shared" ca="1" si="56"/>
        <v>1.0742119970140403E-2</v>
      </c>
      <c r="BA63" s="33">
        <f t="shared" ca="1" si="56"/>
        <v>7.4092102795973664E-3</v>
      </c>
      <c r="BB63" s="33">
        <f t="shared" ca="1" si="56"/>
        <v>1.4835492893810056E-2</v>
      </c>
      <c r="BC63" s="33">
        <f t="shared" ca="1" si="56"/>
        <v>1.0203697245910734E-2</v>
      </c>
      <c r="BD63" s="33">
        <f t="shared" ca="1" si="56"/>
        <v>1.1803577619932984E-2</v>
      </c>
      <c r="BE63" s="33">
        <f t="shared" ca="1" si="56"/>
        <v>1.2444808317850794E-2</v>
      </c>
      <c r="BF63" s="33">
        <f t="shared" ca="1" si="56"/>
        <v>1.3136063339926398E-2</v>
      </c>
      <c r="BG63" s="33">
        <f t="shared" ca="1" si="57"/>
        <v>1.3270080352464486E-2</v>
      </c>
      <c r="BH63" s="33">
        <f t="shared" ca="1" si="57"/>
        <v>1.0631107527686734E-2</v>
      </c>
      <c r="BI63" s="33">
        <f t="shared" ca="1" si="57"/>
        <v>8.6108525883889474E-3</v>
      </c>
      <c r="BJ63" s="33">
        <f t="shared" ca="1" si="57"/>
        <v>8.8390154991934665E-3</v>
      </c>
      <c r="BK63" s="33">
        <f t="shared" ca="1" si="57"/>
        <v>1.5164674302269501E-2</v>
      </c>
      <c r="BL63" s="33">
        <f t="shared" ca="1" si="57"/>
        <v>1.1344728981008044E-2</v>
      </c>
      <c r="BM63" s="33">
        <f t="shared" ca="1" si="57"/>
        <v>1.0044531202640655E-2</v>
      </c>
      <c r="BN63" s="33">
        <f t="shared" ca="1" si="57"/>
        <v>1.2358678655613662E-2</v>
      </c>
      <c r="BO63" s="33">
        <f t="shared" ca="1" si="57"/>
        <v>1.174749437703369E-2</v>
      </c>
      <c r="BP63" s="33">
        <f t="shared" ca="1" si="57"/>
        <v>1.1586137313689873E-2</v>
      </c>
      <c r="BQ63" s="33">
        <f t="shared" ca="1" si="58"/>
        <v>1.3237859090169718E-2</v>
      </c>
      <c r="BR63" s="33">
        <f t="shared" ca="1" si="58"/>
        <v>1.2861676378000309E-2</v>
      </c>
      <c r="BS63" s="33">
        <f t="shared" ca="1" si="58"/>
        <v>1.1535152977030713E-2</v>
      </c>
      <c r="BT63" s="33">
        <f t="shared" ca="1" si="58"/>
        <v>8.1288674907583989E-3</v>
      </c>
      <c r="BU63" s="33">
        <f t="shared" ca="1" si="58"/>
        <v>8.2187672269365443E-3</v>
      </c>
      <c r="BV63" s="33">
        <f t="shared" ca="1" si="58"/>
        <v>8.9580757645621682E-3</v>
      </c>
      <c r="BW63" s="33">
        <f t="shared" ca="1" si="58"/>
        <v>1.1172231978291947E-2</v>
      </c>
      <c r="BX63" s="33">
        <f t="shared" ca="1" si="58"/>
        <v>1.1714091688808194E-2</v>
      </c>
      <c r="BY63" s="33">
        <f t="shared" ca="1" si="58"/>
        <v>9.709687617013801E-3</v>
      </c>
      <c r="BZ63" s="33">
        <f t="shared" ca="1" si="58"/>
        <v>7.4566004857328635E-3</v>
      </c>
      <c r="CA63" s="33">
        <f t="shared" ca="1" si="59"/>
        <v>1.0871987479002799E-2</v>
      </c>
      <c r="CB63" s="33">
        <f t="shared" ca="1" si="59"/>
        <v>1.1891239924012425E-2</v>
      </c>
      <c r="CC63" s="33">
        <f t="shared" ca="1" si="59"/>
        <v>1.2660332864983739E-2</v>
      </c>
      <c r="CD63" s="33">
        <f t="shared" ca="1" si="59"/>
        <v>1.1386970980369612E-2</v>
      </c>
      <c r="CE63" s="33">
        <f t="shared" ca="1" si="59"/>
        <v>1.1422265236704645E-2</v>
      </c>
      <c r="CF63" s="33">
        <f t="shared" ca="1" si="59"/>
        <v>1.4467270360822184E-2</v>
      </c>
      <c r="CG63" s="33">
        <f t="shared" ca="1" si="59"/>
        <v>9.3803029093476788E-3</v>
      </c>
      <c r="CH63" s="33">
        <f t="shared" ca="1" si="59"/>
        <v>1.2527151669446127E-2</v>
      </c>
      <c r="CI63" s="33">
        <f t="shared" ca="1" si="59"/>
        <v>1.2085859429421928E-2</v>
      </c>
      <c r="CJ63" s="33">
        <f t="shared" ca="1" si="59"/>
        <v>1.2792446893170975E-2</v>
      </c>
      <c r="CK63" s="33">
        <f t="shared" ca="1" si="60"/>
        <v>1.2453576433397649E-2</v>
      </c>
      <c r="CL63" s="33">
        <f t="shared" ca="1" si="60"/>
        <v>1.0201070824253974E-2</v>
      </c>
      <c r="CM63" s="33">
        <f t="shared" ca="1" si="60"/>
        <v>1.2579773171312102E-2</v>
      </c>
      <c r="CN63" s="33">
        <f t="shared" ca="1" si="60"/>
        <v>1.1206310188171753E-2</v>
      </c>
      <c r="CO63" s="33">
        <f t="shared" ca="1" si="60"/>
        <v>1.319221975924614E-2</v>
      </c>
      <c r="CP63" s="33">
        <f t="shared" ca="1" si="60"/>
        <v>1.2369990012204121E-2</v>
      </c>
      <c r="CQ63" s="33">
        <f t="shared" ca="1" si="60"/>
        <v>1.1104343616186564E-2</v>
      </c>
      <c r="CR63" s="33">
        <f t="shared" ca="1" si="60"/>
        <v>1.0304006916226915E-2</v>
      </c>
      <c r="CS63" s="33">
        <f t="shared" ca="1" si="60"/>
        <v>1.3271970526942043E-2</v>
      </c>
      <c r="CT63" s="33">
        <f t="shared" ca="1" si="60"/>
        <v>1.1788000650297918E-2</v>
      </c>
      <c r="CU63" s="33">
        <f t="shared" ca="1" si="61"/>
        <v>1.3069901883357172E-2</v>
      </c>
      <c r="CV63" s="33">
        <f t="shared" ca="1" si="61"/>
        <v>1.3200169611149337E-2</v>
      </c>
      <c r="CW63" s="33">
        <f t="shared" ca="1" si="61"/>
        <v>1.149215626634828E-2</v>
      </c>
      <c r="CX63" s="33">
        <f t="shared" ca="1" si="61"/>
        <v>1.3955243657909478E-2</v>
      </c>
      <c r="CY63" s="33">
        <f t="shared" ca="1" si="61"/>
        <v>1.1542979408281301E-2</v>
      </c>
      <c r="CZ63" s="33">
        <f t="shared" ca="1" si="61"/>
        <v>1.1671075086484026E-2</v>
      </c>
      <c r="DA63" s="33">
        <f t="shared" ca="1" si="61"/>
        <v>1.13358962924113E-2</v>
      </c>
      <c r="DB63" s="33">
        <f t="shared" ca="1" si="61"/>
        <v>9.7399205707045522E-3</v>
      </c>
      <c r="DC63" s="33">
        <f t="shared" ca="1" si="61"/>
        <v>1.0389341432748486E-2</v>
      </c>
      <c r="DD63" s="33">
        <f t="shared" ca="1" si="61"/>
        <v>1.4555109569159392E-2</v>
      </c>
      <c r="DE63" s="33">
        <f t="shared" ca="1" si="62"/>
        <v>8.3878020782162752E-3</v>
      </c>
      <c r="DF63" s="33">
        <f t="shared" ca="1" si="62"/>
        <v>1.1063634163555817E-2</v>
      </c>
      <c r="DG63" s="33">
        <f t="shared" ca="1" si="62"/>
        <v>1.0577198102020719E-2</v>
      </c>
      <c r="DH63" s="33">
        <f t="shared" ca="1" si="62"/>
        <v>1.4003502723462888E-2</v>
      </c>
      <c r="DI63" s="33">
        <f t="shared" ca="1" si="62"/>
        <v>1.1992403489555476E-2</v>
      </c>
      <c r="DJ63" s="33">
        <f t="shared" ca="1" si="62"/>
        <v>1.0653649518224796E-2</v>
      </c>
      <c r="DK63" s="33">
        <f t="shared" ca="1" si="62"/>
        <v>1.1833728058424052E-2</v>
      </c>
      <c r="DL63" s="33">
        <f t="shared" ca="1" si="62"/>
        <v>1.1410555724865091E-2</v>
      </c>
      <c r="DM63" s="33">
        <f t="shared" ca="1" si="62"/>
        <v>1.1372382209941646E-2</v>
      </c>
      <c r="DN63" s="33">
        <f t="shared" ca="1" si="62"/>
        <v>1.0181720230927241E-2</v>
      </c>
      <c r="DO63" s="12"/>
      <c r="DP63" s="12"/>
      <c r="DQ63" s="12"/>
    </row>
    <row r="64" spans="1:121" x14ac:dyDescent="0.2">
      <c r="I64" s="32">
        <v>46357</v>
      </c>
      <c r="J64" s="33">
        <f t="shared" ca="1" si="42"/>
        <v>9.8330491835410816E-3</v>
      </c>
      <c r="K64" s="9">
        <v>2871.8507999999997</v>
      </c>
      <c r="L64" s="9">
        <f t="shared" ca="1" si="11"/>
        <v>185096.25157388579</v>
      </c>
      <c r="N64" s="6">
        <v>60</v>
      </c>
      <c r="O64" s="5">
        <v>3.8388790808755973</v>
      </c>
      <c r="P64" s="9">
        <v>678659.74758832308</v>
      </c>
      <c r="R64" s="32">
        <v>46357</v>
      </c>
      <c r="S64" s="33">
        <f t="shared" ca="1" si="53"/>
        <v>1.0409212686473723E-2</v>
      </c>
      <c r="T64" s="33">
        <f t="shared" ca="1" si="53"/>
        <v>1.0700003550225389E-2</v>
      </c>
      <c r="U64" s="33">
        <f t="shared" ca="1" si="53"/>
        <v>1.0286032283132443E-2</v>
      </c>
      <c r="V64" s="33">
        <f t="shared" ca="1" si="53"/>
        <v>1.0865910475525806E-2</v>
      </c>
      <c r="W64" s="33">
        <f t="shared" ca="1" si="53"/>
        <v>1.1740946832363545E-2</v>
      </c>
      <c r="X64" s="33">
        <f t="shared" ca="1" si="53"/>
        <v>1.0351418670767146E-2</v>
      </c>
      <c r="Y64" s="33">
        <f t="shared" ca="1" si="53"/>
        <v>1.1045933280942775E-2</v>
      </c>
      <c r="Z64" s="33">
        <f t="shared" ca="1" si="53"/>
        <v>1.3063176052872941E-2</v>
      </c>
      <c r="AA64" s="33">
        <f t="shared" ca="1" si="53"/>
        <v>1.1547262980297445E-2</v>
      </c>
      <c r="AB64" s="33">
        <f t="shared" ca="1" si="53"/>
        <v>1.4004497054359202E-2</v>
      </c>
      <c r="AC64" s="33">
        <f t="shared" ca="1" si="54"/>
        <v>9.2695087086960073E-3</v>
      </c>
      <c r="AD64" s="33">
        <f t="shared" ca="1" si="54"/>
        <v>1.1456308428317264E-2</v>
      </c>
      <c r="AE64" s="33">
        <f t="shared" ca="1" si="54"/>
        <v>1.1160434447504508E-2</v>
      </c>
      <c r="AF64" s="33">
        <f t="shared" ca="1" si="54"/>
        <v>1.2101238740962335E-2</v>
      </c>
      <c r="AG64" s="33">
        <f t="shared" ca="1" si="54"/>
        <v>1.0563583489041401E-2</v>
      </c>
      <c r="AH64" s="33">
        <f t="shared" ca="1" si="54"/>
        <v>1.4537967026780318E-2</v>
      </c>
      <c r="AI64" s="33">
        <f t="shared" ca="1" si="54"/>
        <v>1.0458548112230123E-2</v>
      </c>
      <c r="AJ64" s="33">
        <f t="shared" ca="1" si="54"/>
        <v>9.1651062289798378E-3</v>
      </c>
      <c r="AK64" s="33">
        <f t="shared" ca="1" si="54"/>
        <v>7.0990068203022746E-3</v>
      </c>
      <c r="AL64" s="33">
        <f t="shared" ca="1" si="54"/>
        <v>9.9368607490939904E-3</v>
      </c>
      <c r="AM64" s="33">
        <f t="shared" ca="1" si="55"/>
        <v>1.1478853609297334E-2</v>
      </c>
      <c r="AN64" s="33">
        <f t="shared" ca="1" si="55"/>
        <v>1.048214553337351E-2</v>
      </c>
      <c r="AO64" s="33">
        <f t="shared" ca="1" si="55"/>
        <v>1.0041718262013158E-2</v>
      </c>
      <c r="AP64" s="33">
        <f t="shared" ca="1" si="55"/>
        <v>1.2122064147276502E-2</v>
      </c>
      <c r="AQ64" s="33">
        <f t="shared" ca="1" si="55"/>
        <v>9.7030705952918968E-3</v>
      </c>
      <c r="AR64" s="33">
        <f t="shared" ca="1" si="55"/>
        <v>9.2734299203169734E-3</v>
      </c>
      <c r="AS64" s="33">
        <f t="shared" ca="1" si="55"/>
        <v>1.1269304083712867E-2</v>
      </c>
      <c r="AT64" s="33">
        <f t="shared" ca="1" si="55"/>
        <v>1.2224317807424501E-2</v>
      </c>
      <c r="AU64" s="33">
        <f t="shared" ca="1" si="55"/>
        <v>1.0076895180515247E-2</v>
      </c>
      <c r="AV64" s="33">
        <f t="shared" ca="1" si="55"/>
        <v>1.1610022159357573E-2</v>
      </c>
      <c r="AW64" s="33">
        <f t="shared" ca="1" si="56"/>
        <v>1.2817224243301929E-2</v>
      </c>
      <c r="AX64" s="33">
        <f t="shared" ca="1" si="56"/>
        <v>1.1925558702046372E-2</v>
      </c>
      <c r="AY64" s="33">
        <f t="shared" ca="1" si="56"/>
        <v>1.4978420125484802E-2</v>
      </c>
      <c r="AZ64" s="33">
        <f t="shared" ca="1" si="56"/>
        <v>1.2057452185597766E-2</v>
      </c>
      <c r="BA64" s="33">
        <f t="shared" ca="1" si="56"/>
        <v>1.215320479962515E-2</v>
      </c>
      <c r="BB64" s="33">
        <f t="shared" ca="1" si="56"/>
        <v>1.2816941599630158E-2</v>
      </c>
      <c r="BC64" s="33">
        <f t="shared" ca="1" si="56"/>
        <v>1.2403124019442054E-2</v>
      </c>
      <c r="BD64" s="33">
        <f t="shared" ca="1" si="56"/>
        <v>1.1167820604208954E-2</v>
      </c>
      <c r="BE64" s="33">
        <f t="shared" ca="1" si="56"/>
        <v>1.3803954553022933E-2</v>
      </c>
      <c r="BF64" s="33">
        <f t="shared" ca="1" si="56"/>
        <v>1.2003994467778988E-2</v>
      </c>
      <c r="BG64" s="33">
        <f t="shared" ca="1" si="57"/>
        <v>1.1819382529156977E-2</v>
      </c>
      <c r="BH64" s="33">
        <f t="shared" ca="1" si="57"/>
        <v>1.5091403339652667E-2</v>
      </c>
      <c r="BI64" s="33">
        <f t="shared" ca="1" si="57"/>
        <v>1.240583183007859E-2</v>
      </c>
      <c r="BJ64" s="33">
        <f t="shared" ca="1" si="57"/>
        <v>9.1309980220601744E-3</v>
      </c>
      <c r="BK64" s="33">
        <f t="shared" ca="1" si="57"/>
        <v>1.3861835758152528E-2</v>
      </c>
      <c r="BL64" s="33">
        <f t="shared" ca="1" si="57"/>
        <v>1.1855339109023005E-2</v>
      </c>
      <c r="BM64" s="33">
        <f t="shared" ca="1" si="57"/>
        <v>1.168884389679401E-2</v>
      </c>
      <c r="BN64" s="33">
        <f t="shared" ca="1" si="57"/>
        <v>1.3180429655297896E-2</v>
      </c>
      <c r="BO64" s="33">
        <f t="shared" ca="1" si="57"/>
        <v>1.2748888695204595E-2</v>
      </c>
      <c r="BP64" s="33">
        <f t="shared" ca="1" si="57"/>
        <v>1.3751677105879864E-2</v>
      </c>
      <c r="BQ64" s="33">
        <f t="shared" ca="1" si="58"/>
        <v>1.299615970199923E-2</v>
      </c>
      <c r="BR64" s="33">
        <f t="shared" ca="1" si="58"/>
        <v>1.1271820190145125E-2</v>
      </c>
      <c r="BS64" s="33">
        <f t="shared" ca="1" si="58"/>
        <v>1.2151640321117499E-2</v>
      </c>
      <c r="BT64" s="33">
        <f t="shared" ca="1" si="58"/>
        <v>1.3352139328765037E-2</v>
      </c>
      <c r="BU64" s="33">
        <f t="shared" ca="1" si="58"/>
        <v>1.4240239007173687E-2</v>
      </c>
      <c r="BV64" s="33">
        <f t="shared" ca="1" si="58"/>
        <v>1.2614333152816664E-2</v>
      </c>
      <c r="BW64" s="33">
        <f t="shared" ca="1" si="58"/>
        <v>1.0806434537238792E-2</v>
      </c>
      <c r="BX64" s="33">
        <f t="shared" ca="1" si="58"/>
        <v>1.1764748392892257E-2</v>
      </c>
      <c r="BY64" s="33">
        <f t="shared" ca="1" si="58"/>
        <v>1.1150609479352555E-2</v>
      </c>
      <c r="BZ64" s="33">
        <f t="shared" ca="1" si="58"/>
        <v>1.2074265347581072E-2</v>
      </c>
      <c r="CA64" s="33">
        <f t="shared" ca="1" si="59"/>
        <v>9.6625923974393985E-3</v>
      </c>
      <c r="CB64" s="33">
        <f t="shared" ca="1" si="59"/>
        <v>1.048946921409763E-2</v>
      </c>
      <c r="CC64" s="33">
        <f t="shared" ca="1" si="59"/>
        <v>1.2877921848846698E-2</v>
      </c>
      <c r="CD64" s="33">
        <f t="shared" ca="1" si="59"/>
        <v>1.3095657907762091E-2</v>
      </c>
      <c r="CE64" s="33">
        <f t="shared" ca="1" si="59"/>
        <v>1.1910810672914898E-2</v>
      </c>
      <c r="CF64" s="33">
        <f t="shared" ca="1" si="59"/>
        <v>1.416675820886875E-2</v>
      </c>
      <c r="CG64" s="33">
        <f t="shared" ca="1" si="59"/>
        <v>1.2463737989349235E-2</v>
      </c>
      <c r="CH64" s="33">
        <f t="shared" ca="1" si="59"/>
        <v>1.3158486084475427E-2</v>
      </c>
      <c r="CI64" s="33">
        <f t="shared" ca="1" si="59"/>
        <v>1.0688459684048301E-2</v>
      </c>
      <c r="CJ64" s="33">
        <f t="shared" ca="1" si="59"/>
        <v>1.2786528344118725E-2</v>
      </c>
      <c r="CK64" s="33">
        <f t="shared" ca="1" si="60"/>
        <v>1.2814677629064105E-2</v>
      </c>
      <c r="CL64" s="33">
        <f t="shared" ca="1" si="60"/>
        <v>9.0120009616895917E-3</v>
      </c>
      <c r="CM64" s="33">
        <f t="shared" ca="1" si="60"/>
        <v>1.2278257581098644E-2</v>
      </c>
      <c r="CN64" s="33">
        <f t="shared" ca="1" si="60"/>
        <v>1.1441965898588147E-2</v>
      </c>
      <c r="CO64" s="33">
        <f t="shared" ca="1" si="60"/>
        <v>1.0129106015049207E-2</v>
      </c>
      <c r="CP64" s="33">
        <f t="shared" ca="1" si="60"/>
        <v>1.1200050296103534E-2</v>
      </c>
      <c r="CQ64" s="33">
        <f t="shared" ca="1" si="60"/>
        <v>1.1025184241025762E-2</v>
      </c>
      <c r="CR64" s="33">
        <f t="shared" ca="1" si="60"/>
        <v>1.0886677890599425E-2</v>
      </c>
      <c r="CS64" s="33">
        <f t="shared" ca="1" si="60"/>
        <v>1.1010199116852405E-2</v>
      </c>
      <c r="CT64" s="33">
        <f t="shared" ca="1" si="60"/>
        <v>1.0693647134909402E-2</v>
      </c>
      <c r="CU64" s="33">
        <f t="shared" ca="1" si="61"/>
        <v>1.2388203602488067E-2</v>
      </c>
      <c r="CV64" s="33">
        <f t="shared" ca="1" si="61"/>
        <v>1.1829380971806884E-2</v>
      </c>
      <c r="CW64" s="33">
        <f t="shared" ca="1" si="61"/>
        <v>1.0202894282109458E-2</v>
      </c>
      <c r="CX64" s="33">
        <f t="shared" ca="1" si="61"/>
        <v>1.1385968444329297E-2</v>
      </c>
      <c r="CY64" s="33">
        <f t="shared" ca="1" si="61"/>
        <v>1.2412540491428013E-2</v>
      </c>
      <c r="CZ64" s="33">
        <f t="shared" ca="1" si="61"/>
        <v>9.8778167156058014E-3</v>
      </c>
      <c r="DA64" s="33">
        <f t="shared" ca="1" si="61"/>
        <v>1.3236881482512826E-2</v>
      </c>
      <c r="DB64" s="33">
        <f t="shared" ca="1" si="61"/>
        <v>1.1841543817082238E-2</v>
      </c>
      <c r="DC64" s="33">
        <f t="shared" ca="1" si="61"/>
        <v>1.0643677374387995E-2</v>
      </c>
      <c r="DD64" s="33">
        <f t="shared" ca="1" si="61"/>
        <v>1.1341760288818198E-2</v>
      </c>
      <c r="DE64" s="33">
        <f t="shared" ca="1" si="62"/>
        <v>1.186088080246812E-2</v>
      </c>
      <c r="DF64" s="33">
        <f t="shared" ca="1" si="62"/>
        <v>1.3267237205699637E-2</v>
      </c>
      <c r="DG64" s="33">
        <f t="shared" ca="1" si="62"/>
        <v>9.4329588420371847E-3</v>
      </c>
      <c r="DH64" s="33">
        <f t="shared" ca="1" si="62"/>
        <v>8.9665271061740142E-3</v>
      </c>
      <c r="DI64" s="33">
        <f t="shared" ca="1" si="62"/>
        <v>1.1728324451173845E-2</v>
      </c>
      <c r="DJ64" s="33">
        <f t="shared" ca="1" si="62"/>
        <v>1.1345223167472366E-2</v>
      </c>
      <c r="DK64" s="33">
        <f t="shared" ca="1" si="62"/>
        <v>1.2588591361152939E-2</v>
      </c>
      <c r="DL64" s="33">
        <f t="shared" ca="1" si="62"/>
        <v>1.1945688352778573E-2</v>
      </c>
      <c r="DM64" s="33">
        <f t="shared" ca="1" si="62"/>
        <v>9.9387475002400381E-3</v>
      </c>
      <c r="DN64" s="33">
        <f t="shared" ca="1" si="62"/>
        <v>1.2029225448025632E-2</v>
      </c>
      <c r="DO64" s="12"/>
      <c r="DP64" s="12"/>
      <c r="DQ64" s="12"/>
    </row>
    <row r="65" spans="9:121" x14ac:dyDescent="0.2">
      <c r="I65" s="32">
        <v>46388</v>
      </c>
      <c r="J65" s="33">
        <f t="shared" ca="1" si="42"/>
        <v>1.0708417775630258E-2</v>
      </c>
      <c r="K65" s="9">
        <v>2871.8507999999997</v>
      </c>
      <c r="L65" s="9">
        <f t="shared" ca="1" si="11"/>
        <v>189960.84086028152</v>
      </c>
      <c r="N65" s="6">
        <v>61</v>
      </c>
      <c r="O65" s="5">
        <v>3.915918400933414</v>
      </c>
      <c r="P65" s="9">
        <v>685291.70212263684</v>
      </c>
      <c r="R65" s="32">
        <v>46388</v>
      </c>
      <c r="S65" s="33">
        <f t="shared" ref="S65:AB74" ca="1" si="63">_xlfn.NORM.INV(RAND(),$A$52,$B$45)</f>
        <v>1.2346647955198879E-2</v>
      </c>
      <c r="T65" s="33">
        <f t="shared" ca="1" si="63"/>
        <v>1.4383146528962493E-2</v>
      </c>
      <c r="U65" s="33">
        <f t="shared" ca="1" si="63"/>
        <v>8.3298789681649846E-3</v>
      </c>
      <c r="V65" s="33">
        <f t="shared" ca="1" si="63"/>
        <v>1.3007436734628551E-2</v>
      </c>
      <c r="W65" s="33">
        <f t="shared" ca="1" si="63"/>
        <v>1.0635763137886112E-2</v>
      </c>
      <c r="X65" s="33">
        <f t="shared" ca="1" si="63"/>
        <v>1.3699676979179967E-2</v>
      </c>
      <c r="Y65" s="33">
        <f t="shared" ca="1" si="63"/>
        <v>1.4086680395864411E-2</v>
      </c>
      <c r="Z65" s="33">
        <f t="shared" ca="1" si="63"/>
        <v>1.1284100743393918E-2</v>
      </c>
      <c r="AA65" s="33">
        <f t="shared" ca="1" si="63"/>
        <v>8.8818886116007155E-3</v>
      </c>
      <c r="AB65" s="33">
        <f t="shared" ca="1" si="63"/>
        <v>9.0778918634295512E-3</v>
      </c>
      <c r="AC65" s="33">
        <f t="shared" ref="AC65:AL74" ca="1" si="64">_xlfn.NORM.INV(RAND(),$A$52,$B$45)</f>
        <v>1.0821760592193766E-2</v>
      </c>
      <c r="AD65" s="33">
        <f t="shared" ca="1" si="64"/>
        <v>1.0868436985337357E-2</v>
      </c>
      <c r="AE65" s="33">
        <f t="shared" ca="1" si="64"/>
        <v>1.0921661657670462E-2</v>
      </c>
      <c r="AF65" s="33">
        <f t="shared" ca="1" si="64"/>
        <v>1.2243628907001732E-2</v>
      </c>
      <c r="AG65" s="33">
        <f t="shared" ca="1" si="64"/>
        <v>1.1301421372591637E-2</v>
      </c>
      <c r="AH65" s="33">
        <f t="shared" ca="1" si="64"/>
        <v>1.222621956864698E-2</v>
      </c>
      <c r="AI65" s="33">
        <f t="shared" ca="1" si="64"/>
        <v>1.1443753562954566E-2</v>
      </c>
      <c r="AJ65" s="33">
        <f t="shared" ca="1" si="64"/>
        <v>1.1571330286341431E-2</v>
      </c>
      <c r="AK65" s="33">
        <f t="shared" ca="1" si="64"/>
        <v>9.6710367894433623E-3</v>
      </c>
      <c r="AL65" s="33">
        <f t="shared" ca="1" si="64"/>
        <v>1.1913441810459186E-2</v>
      </c>
      <c r="AM65" s="33">
        <f t="shared" ref="AM65:AV74" ca="1" si="65">_xlfn.NORM.INV(RAND(),$A$52,$B$45)</f>
        <v>1.1083193258250447E-2</v>
      </c>
      <c r="AN65" s="33">
        <f t="shared" ca="1" si="65"/>
        <v>1.1050499726594264E-2</v>
      </c>
      <c r="AO65" s="33">
        <f t="shared" ca="1" si="65"/>
        <v>1.2247890141837633E-2</v>
      </c>
      <c r="AP65" s="33">
        <f t="shared" ca="1" si="65"/>
        <v>1.1635913550073776E-2</v>
      </c>
      <c r="AQ65" s="33">
        <f t="shared" ca="1" si="65"/>
        <v>9.7695831096420837E-3</v>
      </c>
      <c r="AR65" s="33">
        <f t="shared" ca="1" si="65"/>
        <v>9.8885233153838299E-3</v>
      </c>
      <c r="AS65" s="33">
        <f t="shared" ca="1" si="65"/>
        <v>1.114490715990814E-2</v>
      </c>
      <c r="AT65" s="33">
        <f t="shared" ca="1" si="65"/>
        <v>1.0302801023693596E-2</v>
      </c>
      <c r="AU65" s="33">
        <f t="shared" ca="1" si="65"/>
        <v>1.1776381031559657E-2</v>
      </c>
      <c r="AV65" s="33">
        <f t="shared" ca="1" si="65"/>
        <v>1.0534385358031169E-2</v>
      </c>
      <c r="AW65" s="33">
        <f t="shared" ref="AW65:BF74" ca="1" si="66">_xlfn.NORM.INV(RAND(),$A$52,$B$45)</f>
        <v>1.1905161351744485E-2</v>
      </c>
      <c r="AX65" s="33">
        <f t="shared" ca="1" si="66"/>
        <v>1.1651383943436469E-2</v>
      </c>
      <c r="AY65" s="33">
        <f t="shared" ca="1" si="66"/>
        <v>1.2293500488714628E-2</v>
      </c>
      <c r="AZ65" s="33">
        <f t="shared" ca="1" si="66"/>
        <v>1.0410488037071654E-2</v>
      </c>
      <c r="BA65" s="33">
        <f t="shared" ca="1" si="66"/>
        <v>1.1753496482510678E-2</v>
      </c>
      <c r="BB65" s="33">
        <f t="shared" ca="1" si="66"/>
        <v>1.0962472925048537E-2</v>
      </c>
      <c r="BC65" s="33">
        <f t="shared" ca="1" si="66"/>
        <v>8.2975384210002747E-3</v>
      </c>
      <c r="BD65" s="33">
        <f t="shared" ca="1" si="66"/>
        <v>1.1052844184278012E-2</v>
      </c>
      <c r="BE65" s="33">
        <f t="shared" ca="1" si="66"/>
        <v>1.1849192595976284E-2</v>
      </c>
      <c r="BF65" s="33">
        <f t="shared" ca="1" si="66"/>
        <v>9.5883191981676885E-3</v>
      </c>
      <c r="BG65" s="33">
        <f t="shared" ref="BG65:BP74" ca="1" si="67">_xlfn.NORM.INV(RAND(),$A$52,$B$45)</f>
        <v>1.0292482939758922E-2</v>
      </c>
      <c r="BH65" s="33">
        <f t="shared" ca="1" si="67"/>
        <v>1.1739912273508317E-2</v>
      </c>
      <c r="BI65" s="33">
        <f t="shared" ca="1" si="67"/>
        <v>1.1573761753896093E-2</v>
      </c>
      <c r="BJ65" s="33">
        <f t="shared" ca="1" si="67"/>
        <v>1.0791689064206198E-2</v>
      </c>
      <c r="BK65" s="33">
        <f t="shared" ca="1" si="67"/>
        <v>1.1907188512335175E-2</v>
      </c>
      <c r="BL65" s="33">
        <f t="shared" ca="1" si="67"/>
        <v>1.1152975454985713E-2</v>
      </c>
      <c r="BM65" s="33">
        <f t="shared" ca="1" si="67"/>
        <v>1.1382054949486641E-2</v>
      </c>
      <c r="BN65" s="33">
        <f t="shared" ca="1" si="67"/>
        <v>1.1962266141702205E-2</v>
      </c>
      <c r="BO65" s="33">
        <f t="shared" ca="1" si="67"/>
        <v>1.1339220351958786E-2</v>
      </c>
      <c r="BP65" s="33">
        <f t="shared" ca="1" si="67"/>
        <v>1.1523168935029663E-2</v>
      </c>
      <c r="BQ65" s="33">
        <f t="shared" ref="BQ65:BZ74" ca="1" si="68">_xlfn.NORM.INV(RAND(),$A$52,$B$45)</f>
        <v>1.1015618841530853E-2</v>
      </c>
      <c r="BR65" s="33">
        <f t="shared" ca="1" si="68"/>
        <v>1.019220481770753E-2</v>
      </c>
      <c r="BS65" s="33">
        <f t="shared" ca="1" si="68"/>
        <v>9.5949877797022656E-3</v>
      </c>
      <c r="BT65" s="33">
        <f t="shared" ca="1" si="68"/>
        <v>8.8957353319184043E-3</v>
      </c>
      <c r="BU65" s="33">
        <f t="shared" ca="1" si="68"/>
        <v>1.2326760853305052E-2</v>
      </c>
      <c r="BV65" s="33">
        <f t="shared" ca="1" si="68"/>
        <v>9.9656234698220214E-3</v>
      </c>
      <c r="BW65" s="33">
        <f t="shared" ca="1" si="68"/>
        <v>1.0313683871425373E-2</v>
      </c>
      <c r="BX65" s="33">
        <f t="shared" ca="1" si="68"/>
        <v>1.4918519386611083E-2</v>
      </c>
      <c r="BY65" s="33">
        <f t="shared" ca="1" si="68"/>
        <v>1.1287705054884958E-2</v>
      </c>
      <c r="BZ65" s="33">
        <f t="shared" ca="1" si="68"/>
        <v>9.4601073863657993E-3</v>
      </c>
      <c r="CA65" s="33">
        <f t="shared" ref="CA65:CJ74" ca="1" si="69">_xlfn.NORM.INV(RAND(),$A$52,$B$45)</f>
        <v>1.0085125372814386E-2</v>
      </c>
      <c r="CB65" s="33">
        <f t="shared" ca="1" si="69"/>
        <v>1.0745167864344485E-2</v>
      </c>
      <c r="CC65" s="33">
        <f t="shared" ca="1" si="69"/>
        <v>1.1641015930786964E-2</v>
      </c>
      <c r="CD65" s="33">
        <f t="shared" ca="1" si="69"/>
        <v>1.0807160889300263E-2</v>
      </c>
      <c r="CE65" s="33">
        <f t="shared" ca="1" si="69"/>
        <v>7.9808108480418482E-3</v>
      </c>
      <c r="CF65" s="33">
        <f t="shared" ca="1" si="69"/>
        <v>1.1080723958056433E-2</v>
      </c>
      <c r="CG65" s="33">
        <f t="shared" ca="1" si="69"/>
        <v>1.1204590482323725E-2</v>
      </c>
      <c r="CH65" s="33">
        <f t="shared" ca="1" si="69"/>
        <v>9.8026559730041256E-3</v>
      </c>
      <c r="CI65" s="33">
        <f t="shared" ca="1" si="69"/>
        <v>1.2356817590087998E-2</v>
      </c>
      <c r="CJ65" s="33">
        <f t="shared" ca="1" si="69"/>
        <v>9.7435971866775238E-3</v>
      </c>
      <c r="CK65" s="33">
        <f t="shared" ref="CK65:CT74" ca="1" si="70">_xlfn.NORM.INV(RAND(),$A$52,$B$45)</f>
        <v>9.7400294161901577E-3</v>
      </c>
      <c r="CL65" s="33">
        <f t="shared" ca="1" si="70"/>
        <v>8.6199685828072959E-3</v>
      </c>
      <c r="CM65" s="33">
        <f t="shared" ca="1" si="70"/>
        <v>1.0354676689090998E-2</v>
      </c>
      <c r="CN65" s="33">
        <f t="shared" ca="1" si="70"/>
        <v>1.0208767375912337E-2</v>
      </c>
      <c r="CO65" s="33">
        <f t="shared" ca="1" si="70"/>
        <v>1.2054696020058068E-2</v>
      </c>
      <c r="CP65" s="33">
        <f t="shared" ca="1" si="70"/>
        <v>1.1848023265668816E-2</v>
      </c>
      <c r="CQ65" s="33">
        <f t="shared" ca="1" si="70"/>
        <v>1.2406816113397601E-2</v>
      </c>
      <c r="CR65" s="33">
        <f t="shared" ca="1" si="70"/>
        <v>7.7408331452282503E-3</v>
      </c>
      <c r="CS65" s="33">
        <f t="shared" ca="1" si="70"/>
        <v>1.1518777312624635E-2</v>
      </c>
      <c r="CT65" s="33">
        <f t="shared" ca="1" si="70"/>
        <v>1.1130360631187426E-2</v>
      </c>
      <c r="CU65" s="33">
        <f t="shared" ref="CU65:DD74" ca="1" si="71">_xlfn.NORM.INV(RAND(),$A$52,$B$45)</f>
        <v>1.1819640499490476E-2</v>
      </c>
      <c r="CV65" s="33">
        <f t="shared" ca="1" si="71"/>
        <v>1.2224557181074363E-2</v>
      </c>
      <c r="CW65" s="33">
        <f t="shared" ca="1" si="71"/>
        <v>1.4822780297187444E-2</v>
      </c>
      <c r="CX65" s="33">
        <f t="shared" ca="1" si="71"/>
        <v>1.2246452601627747E-2</v>
      </c>
      <c r="CY65" s="33">
        <f t="shared" ca="1" si="71"/>
        <v>1.2212731867561758E-2</v>
      </c>
      <c r="CZ65" s="33">
        <f t="shared" ca="1" si="71"/>
        <v>1.0478001087598641E-2</v>
      </c>
      <c r="DA65" s="33">
        <f t="shared" ca="1" si="71"/>
        <v>1.3810911832372832E-2</v>
      </c>
      <c r="DB65" s="33">
        <f t="shared" ca="1" si="71"/>
        <v>1.080759486974003E-2</v>
      </c>
      <c r="DC65" s="33">
        <f t="shared" ca="1" si="71"/>
        <v>1.3268255375625189E-2</v>
      </c>
      <c r="DD65" s="33">
        <f t="shared" ca="1" si="71"/>
        <v>1.2909409415451054E-2</v>
      </c>
      <c r="DE65" s="33">
        <f t="shared" ref="DE65:DN74" ca="1" si="72">_xlfn.NORM.INV(RAND(),$A$52,$B$45)</f>
        <v>1.2279745517169885E-2</v>
      </c>
      <c r="DF65" s="33">
        <f t="shared" ca="1" si="72"/>
        <v>1.0884410387110542E-2</v>
      </c>
      <c r="DG65" s="33">
        <f t="shared" ca="1" si="72"/>
        <v>1.3068306078150918E-2</v>
      </c>
      <c r="DH65" s="33">
        <f t="shared" ca="1" si="72"/>
        <v>1.0273001477346538E-2</v>
      </c>
      <c r="DI65" s="33">
        <f t="shared" ca="1" si="72"/>
        <v>1.2591382380806228E-2</v>
      </c>
      <c r="DJ65" s="33">
        <f t="shared" ca="1" si="72"/>
        <v>1.0357008294171462E-2</v>
      </c>
      <c r="DK65" s="33">
        <f t="shared" ca="1" si="72"/>
        <v>1.1170177190374879E-2</v>
      </c>
      <c r="DL65" s="33">
        <f t="shared" ca="1" si="72"/>
        <v>1.0639244956658999E-2</v>
      </c>
      <c r="DM65" s="33">
        <f t="shared" ca="1" si="72"/>
        <v>1.0018209797098025E-2</v>
      </c>
      <c r="DN65" s="33">
        <f t="shared" ca="1" si="72"/>
        <v>1.1677243159387207E-2</v>
      </c>
      <c r="DO65" s="12"/>
      <c r="DP65" s="12"/>
      <c r="DQ65" s="12"/>
    </row>
    <row r="66" spans="9:121" x14ac:dyDescent="0.2">
      <c r="I66" s="32">
        <v>46419</v>
      </c>
      <c r="J66" s="33">
        <f t="shared" ca="1" si="42"/>
        <v>1.170555364426263E-2</v>
      </c>
      <c r="K66" s="9">
        <v>2986.7248319999999</v>
      </c>
      <c r="L66" s="9">
        <f t="shared" ca="1" si="11"/>
        <v>195184.22764965298</v>
      </c>
      <c r="N66" s="6">
        <v>62</v>
      </c>
      <c r="O66" s="5">
        <v>3.8490487478068944</v>
      </c>
      <c r="P66" s="9">
        <v>673326.56886443275</v>
      </c>
      <c r="R66" s="32">
        <v>46419</v>
      </c>
      <c r="S66" s="33">
        <f t="shared" ca="1" si="63"/>
        <v>1.2050206146325741E-2</v>
      </c>
      <c r="T66" s="33">
        <f t="shared" ca="1" si="63"/>
        <v>1.2002877471180449E-2</v>
      </c>
      <c r="U66" s="33">
        <f t="shared" ca="1" si="63"/>
        <v>1.1033424286835862E-2</v>
      </c>
      <c r="V66" s="33">
        <f t="shared" ca="1" si="63"/>
        <v>1.1425850593302842E-2</v>
      </c>
      <c r="W66" s="33">
        <f t="shared" ca="1" si="63"/>
        <v>1.2709411382548727E-2</v>
      </c>
      <c r="X66" s="33">
        <f t="shared" ca="1" si="63"/>
        <v>1.1916142928499504E-2</v>
      </c>
      <c r="Y66" s="33">
        <f t="shared" ca="1" si="63"/>
        <v>1.0257710740462028E-2</v>
      </c>
      <c r="Z66" s="33">
        <f t="shared" ca="1" si="63"/>
        <v>1.2648822341616505E-2</v>
      </c>
      <c r="AA66" s="33">
        <f t="shared" ca="1" si="63"/>
        <v>1.2759287591189333E-2</v>
      </c>
      <c r="AB66" s="33">
        <f t="shared" ca="1" si="63"/>
        <v>1.1443894467293648E-2</v>
      </c>
      <c r="AC66" s="33">
        <f t="shared" ca="1" si="64"/>
        <v>1.0562048935663551E-2</v>
      </c>
      <c r="AD66" s="33">
        <f t="shared" ca="1" si="64"/>
        <v>1.2758755317527773E-2</v>
      </c>
      <c r="AE66" s="33">
        <f t="shared" ca="1" si="64"/>
        <v>1.0041072335337577E-2</v>
      </c>
      <c r="AF66" s="33">
        <f t="shared" ca="1" si="64"/>
        <v>1.1473679797089844E-2</v>
      </c>
      <c r="AG66" s="33">
        <f t="shared" ca="1" si="64"/>
        <v>1.1330877662239131E-2</v>
      </c>
      <c r="AH66" s="33">
        <f t="shared" ca="1" si="64"/>
        <v>1.2313409503292348E-2</v>
      </c>
      <c r="AI66" s="33">
        <f t="shared" ca="1" si="64"/>
        <v>1.0010807394157379E-2</v>
      </c>
      <c r="AJ66" s="33">
        <f t="shared" ca="1" si="64"/>
        <v>1.2218184564222851E-2</v>
      </c>
      <c r="AK66" s="33">
        <f t="shared" ca="1" si="64"/>
        <v>1.2736135048914302E-2</v>
      </c>
      <c r="AL66" s="33">
        <f t="shared" ca="1" si="64"/>
        <v>1.3632616504351311E-2</v>
      </c>
      <c r="AM66" s="33">
        <f t="shared" ca="1" si="65"/>
        <v>1.4130183248152031E-2</v>
      </c>
      <c r="AN66" s="33">
        <f t="shared" ca="1" si="65"/>
        <v>1.267901468880003E-2</v>
      </c>
      <c r="AO66" s="33">
        <f t="shared" ca="1" si="65"/>
        <v>1.2235736858461693E-2</v>
      </c>
      <c r="AP66" s="33">
        <f t="shared" ca="1" si="65"/>
        <v>1.1691117004062853E-2</v>
      </c>
      <c r="AQ66" s="33">
        <f t="shared" ca="1" si="65"/>
        <v>1.009737407035044E-2</v>
      </c>
      <c r="AR66" s="33">
        <f t="shared" ca="1" si="65"/>
        <v>1.225140746812702E-2</v>
      </c>
      <c r="AS66" s="33">
        <f t="shared" ca="1" si="65"/>
        <v>1.2684693089927144E-2</v>
      </c>
      <c r="AT66" s="33">
        <f t="shared" ca="1" si="65"/>
        <v>1.1771079919591365E-2</v>
      </c>
      <c r="AU66" s="33">
        <f t="shared" ca="1" si="65"/>
        <v>1.0262367127850953E-2</v>
      </c>
      <c r="AV66" s="33">
        <f t="shared" ca="1" si="65"/>
        <v>1.3652068155321426E-2</v>
      </c>
      <c r="AW66" s="33">
        <f t="shared" ca="1" si="66"/>
        <v>1.1439940861511923E-2</v>
      </c>
      <c r="AX66" s="33">
        <f t="shared" ca="1" si="66"/>
        <v>1.0838734738141299E-2</v>
      </c>
      <c r="AY66" s="33">
        <f t="shared" ca="1" si="66"/>
        <v>9.9445079439411475E-3</v>
      </c>
      <c r="AZ66" s="33">
        <f t="shared" ca="1" si="66"/>
        <v>1.1713067778407547E-2</v>
      </c>
      <c r="BA66" s="33">
        <f t="shared" ca="1" si="66"/>
        <v>1.0142312819097379E-2</v>
      </c>
      <c r="BB66" s="33">
        <f t="shared" ca="1" si="66"/>
        <v>1.0198506999038598E-2</v>
      </c>
      <c r="BC66" s="33">
        <f t="shared" ca="1" si="66"/>
        <v>1.1460724112153641E-2</v>
      </c>
      <c r="BD66" s="33">
        <f t="shared" ca="1" si="66"/>
        <v>1.0851715616065219E-2</v>
      </c>
      <c r="BE66" s="33">
        <f t="shared" ca="1" si="66"/>
        <v>1.1221282026430052E-2</v>
      </c>
      <c r="BF66" s="33">
        <f t="shared" ca="1" si="66"/>
        <v>1.2207950737996675E-2</v>
      </c>
      <c r="BG66" s="33">
        <f t="shared" ca="1" si="67"/>
        <v>9.1128002833529183E-3</v>
      </c>
      <c r="BH66" s="33">
        <f t="shared" ca="1" si="67"/>
        <v>1.0380460345002795E-2</v>
      </c>
      <c r="BI66" s="33">
        <f t="shared" ca="1" si="67"/>
        <v>1.0167477398415272E-2</v>
      </c>
      <c r="BJ66" s="33">
        <f t="shared" ca="1" si="67"/>
        <v>1.2018158223747364E-2</v>
      </c>
      <c r="BK66" s="33">
        <f t="shared" ca="1" si="67"/>
        <v>1.1601428209548357E-2</v>
      </c>
      <c r="BL66" s="33">
        <f t="shared" ca="1" si="67"/>
        <v>1.0243106366821906E-2</v>
      </c>
      <c r="BM66" s="33">
        <f t="shared" ca="1" si="67"/>
        <v>1.1745414556200618E-2</v>
      </c>
      <c r="BN66" s="33">
        <f t="shared" ca="1" si="67"/>
        <v>1.0200506224454562E-2</v>
      </c>
      <c r="BO66" s="33">
        <f t="shared" ca="1" si="67"/>
        <v>9.3931640173904336E-3</v>
      </c>
      <c r="BP66" s="33">
        <f t="shared" ca="1" si="67"/>
        <v>1.0782857679778107E-2</v>
      </c>
      <c r="BQ66" s="33">
        <f t="shared" ca="1" si="68"/>
        <v>1.0474529637492135E-2</v>
      </c>
      <c r="BR66" s="33">
        <f t="shared" ca="1" si="68"/>
        <v>1.1136954261751745E-2</v>
      </c>
      <c r="BS66" s="33">
        <f t="shared" ca="1" si="68"/>
        <v>1.323758067863065E-2</v>
      </c>
      <c r="BT66" s="33">
        <f t="shared" ca="1" si="68"/>
        <v>9.6860272542359759E-3</v>
      </c>
      <c r="BU66" s="33">
        <f t="shared" ca="1" si="68"/>
        <v>1.4609533676483146E-2</v>
      </c>
      <c r="BV66" s="33">
        <f t="shared" ca="1" si="68"/>
        <v>1.4566995750541156E-2</v>
      </c>
      <c r="BW66" s="33">
        <f t="shared" ca="1" si="68"/>
        <v>1.1614258780090654E-2</v>
      </c>
      <c r="BX66" s="33">
        <f t="shared" ca="1" si="68"/>
        <v>1.2299233465939308E-2</v>
      </c>
      <c r="BY66" s="33">
        <f t="shared" ca="1" si="68"/>
        <v>1.4196134434328647E-2</v>
      </c>
      <c r="BZ66" s="33">
        <f t="shared" ca="1" si="68"/>
        <v>9.4167362399789553E-3</v>
      </c>
      <c r="CA66" s="33">
        <f t="shared" ca="1" si="69"/>
        <v>1.2222321970770269E-2</v>
      </c>
      <c r="CB66" s="33">
        <f t="shared" ca="1" si="69"/>
        <v>1.345293519150507E-2</v>
      </c>
      <c r="CC66" s="33">
        <f t="shared" ca="1" si="69"/>
        <v>1.3200223192833481E-2</v>
      </c>
      <c r="CD66" s="33">
        <f t="shared" ca="1" si="69"/>
        <v>1.1289526217899705E-2</v>
      </c>
      <c r="CE66" s="33">
        <f t="shared" ca="1" si="69"/>
        <v>8.5328146146640346E-3</v>
      </c>
      <c r="CF66" s="33">
        <f t="shared" ca="1" si="69"/>
        <v>1.0035413858937572E-2</v>
      </c>
      <c r="CG66" s="33">
        <f t="shared" ca="1" si="69"/>
        <v>1.2454973614995615E-2</v>
      </c>
      <c r="CH66" s="33">
        <f t="shared" ca="1" si="69"/>
        <v>8.901120397760311E-3</v>
      </c>
      <c r="CI66" s="33">
        <f t="shared" ca="1" si="69"/>
        <v>1.1703851433699173E-2</v>
      </c>
      <c r="CJ66" s="33">
        <f t="shared" ca="1" si="69"/>
        <v>1.1899314694596375E-2</v>
      </c>
      <c r="CK66" s="33">
        <f t="shared" ca="1" si="70"/>
        <v>9.1272487329455976E-3</v>
      </c>
      <c r="CL66" s="33">
        <f t="shared" ca="1" si="70"/>
        <v>1.0989424166471168E-2</v>
      </c>
      <c r="CM66" s="33">
        <f t="shared" ca="1" si="70"/>
        <v>1.0841903398864742E-2</v>
      </c>
      <c r="CN66" s="33">
        <f t="shared" ca="1" si="70"/>
        <v>9.9337507316702486E-3</v>
      </c>
      <c r="CO66" s="33">
        <f t="shared" ca="1" si="70"/>
        <v>1.0418418336953006E-2</v>
      </c>
      <c r="CP66" s="33">
        <f t="shared" ca="1" si="70"/>
        <v>1.2871184703313944E-2</v>
      </c>
      <c r="CQ66" s="33">
        <f t="shared" ca="1" si="70"/>
        <v>1.1168161700737556E-2</v>
      </c>
      <c r="CR66" s="33">
        <f t="shared" ca="1" si="70"/>
        <v>1.3594016482885846E-2</v>
      </c>
      <c r="CS66" s="33">
        <f t="shared" ca="1" si="70"/>
        <v>1.0565908211307935E-2</v>
      </c>
      <c r="CT66" s="33">
        <f t="shared" ca="1" si="70"/>
        <v>1.3016699968516458E-2</v>
      </c>
      <c r="CU66" s="33">
        <f t="shared" ca="1" si="71"/>
        <v>1.2852741331463665E-2</v>
      </c>
      <c r="CV66" s="33">
        <f t="shared" ca="1" si="71"/>
        <v>1.1208706415710706E-2</v>
      </c>
      <c r="CW66" s="33">
        <f t="shared" ca="1" si="71"/>
        <v>1.1827939823226514E-2</v>
      </c>
      <c r="CX66" s="33">
        <f t="shared" ca="1" si="71"/>
        <v>1.2273617956905389E-2</v>
      </c>
      <c r="CY66" s="33">
        <f t="shared" ca="1" si="71"/>
        <v>1.137333560938834E-2</v>
      </c>
      <c r="CZ66" s="33">
        <f t="shared" ca="1" si="71"/>
        <v>1.1156315460558524E-2</v>
      </c>
      <c r="DA66" s="33">
        <f t="shared" ca="1" si="71"/>
        <v>1.2613885118675812E-2</v>
      </c>
      <c r="DB66" s="33">
        <f t="shared" ca="1" si="71"/>
        <v>9.1332642797292678E-3</v>
      </c>
      <c r="DC66" s="33">
        <f t="shared" ca="1" si="71"/>
        <v>1.137410922144151E-2</v>
      </c>
      <c r="DD66" s="33">
        <f t="shared" ca="1" si="71"/>
        <v>1.0719319046284219E-2</v>
      </c>
      <c r="DE66" s="33">
        <f t="shared" ca="1" si="72"/>
        <v>1.0400053236980553E-2</v>
      </c>
      <c r="DF66" s="33">
        <f t="shared" ca="1" si="72"/>
        <v>1.0813747242980421E-2</v>
      </c>
      <c r="DG66" s="33">
        <f t="shared" ca="1" si="72"/>
        <v>1.000078700542211E-2</v>
      </c>
      <c r="DH66" s="33">
        <f t="shared" ca="1" si="72"/>
        <v>1.1675007766639163E-2</v>
      </c>
      <c r="DI66" s="33">
        <f t="shared" ca="1" si="72"/>
        <v>1.0766342786981787E-2</v>
      </c>
      <c r="DJ66" s="33">
        <f t="shared" ca="1" si="72"/>
        <v>9.7531285482045822E-3</v>
      </c>
      <c r="DK66" s="33">
        <f t="shared" ca="1" si="72"/>
        <v>1.0417340113013537E-2</v>
      </c>
      <c r="DL66" s="33">
        <f t="shared" ca="1" si="72"/>
        <v>1.1513908656405421E-2</v>
      </c>
      <c r="DM66" s="33">
        <f t="shared" ca="1" si="72"/>
        <v>1.1713007231260742E-2</v>
      </c>
      <c r="DN66" s="33">
        <f t="shared" ca="1" si="72"/>
        <v>1.1027191076558059E-2</v>
      </c>
      <c r="DO66" s="12"/>
      <c r="DP66" s="12"/>
      <c r="DQ66" s="12"/>
    </row>
    <row r="67" spans="9:121" x14ac:dyDescent="0.2">
      <c r="I67" s="32">
        <v>46447</v>
      </c>
      <c r="J67" s="33">
        <f t="shared" ca="1" si="42"/>
        <v>1.2161441048073436E-2</v>
      </c>
      <c r="K67" s="9">
        <v>2986.7248319999999</v>
      </c>
      <c r="L67" s="9">
        <f t="shared" ca="1" si="11"/>
        <v>200559.16658746163</v>
      </c>
      <c r="N67" s="6">
        <v>63</v>
      </c>
      <c r="O67" s="5">
        <v>3.9813848004506096</v>
      </c>
      <c r="P67" s="9">
        <v>692670.542630104</v>
      </c>
      <c r="R67" s="32">
        <v>46447</v>
      </c>
      <c r="S67" s="33">
        <f t="shared" ca="1" si="63"/>
        <v>1.1097747155558599E-2</v>
      </c>
      <c r="T67" s="33">
        <f t="shared" ca="1" si="63"/>
        <v>9.5506295074558774E-3</v>
      </c>
      <c r="U67" s="33">
        <f t="shared" ca="1" si="63"/>
        <v>1.332716904273672E-2</v>
      </c>
      <c r="V67" s="33">
        <f t="shared" ca="1" si="63"/>
        <v>1.0452609909744106E-2</v>
      </c>
      <c r="W67" s="33">
        <f t="shared" ca="1" si="63"/>
        <v>1.1516484040174982E-2</v>
      </c>
      <c r="X67" s="33">
        <f t="shared" ca="1" si="63"/>
        <v>1.08126001736908E-2</v>
      </c>
      <c r="Y67" s="33">
        <f t="shared" ca="1" si="63"/>
        <v>1.2177388885792683E-2</v>
      </c>
      <c r="Z67" s="33">
        <f t="shared" ca="1" si="63"/>
        <v>1.2467937778445765E-2</v>
      </c>
      <c r="AA67" s="33">
        <f t="shared" ca="1" si="63"/>
        <v>1.1408311735259297E-2</v>
      </c>
      <c r="AB67" s="33">
        <f t="shared" ca="1" si="63"/>
        <v>8.6483274057711189E-3</v>
      </c>
      <c r="AC67" s="33">
        <f t="shared" ca="1" si="64"/>
        <v>1.1147385831769052E-2</v>
      </c>
      <c r="AD67" s="33">
        <f t="shared" ca="1" si="64"/>
        <v>1.0383125662403896E-2</v>
      </c>
      <c r="AE67" s="33">
        <f t="shared" ca="1" si="64"/>
        <v>1.2077374211959509E-2</v>
      </c>
      <c r="AF67" s="33">
        <f t="shared" ca="1" si="64"/>
        <v>1.0195826855891568E-2</v>
      </c>
      <c r="AG67" s="33">
        <f t="shared" ca="1" si="64"/>
        <v>1.2123260403473767E-2</v>
      </c>
      <c r="AH67" s="33">
        <f t="shared" ca="1" si="64"/>
        <v>8.5145965655606601E-3</v>
      </c>
      <c r="AI67" s="33">
        <f t="shared" ca="1" si="64"/>
        <v>1.1155746619950927E-2</v>
      </c>
      <c r="AJ67" s="33">
        <f t="shared" ca="1" si="64"/>
        <v>1.0882958151488235E-2</v>
      </c>
      <c r="AK67" s="33">
        <f t="shared" ca="1" si="64"/>
        <v>1.305432557979899E-2</v>
      </c>
      <c r="AL67" s="33">
        <f t="shared" ca="1" si="64"/>
        <v>1.0208541912094353E-2</v>
      </c>
      <c r="AM67" s="33">
        <f t="shared" ca="1" si="65"/>
        <v>1.2827495346918896E-2</v>
      </c>
      <c r="AN67" s="33">
        <f t="shared" ca="1" si="65"/>
        <v>9.2170892819904461E-3</v>
      </c>
      <c r="AO67" s="33">
        <f t="shared" ca="1" si="65"/>
        <v>1.0831097407657777E-2</v>
      </c>
      <c r="AP67" s="33">
        <f t="shared" ca="1" si="65"/>
        <v>1.4030716573309735E-2</v>
      </c>
      <c r="AQ67" s="33">
        <f t="shared" ca="1" si="65"/>
        <v>1.0049145653811774E-2</v>
      </c>
      <c r="AR67" s="33">
        <f t="shared" ca="1" si="65"/>
        <v>1.262292760418357E-2</v>
      </c>
      <c r="AS67" s="33">
        <f t="shared" ca="1" si="65"/>
        <v>1.1287168421762073E-2</v>
      </c>
      <c r="AT67" s="33">
        <f t="shared" ca="1" si="65"/>
        <v>1.2377210530479636E-2</v>
      </c>
      <c r="AU67" s="33">
        <f t="shared" ca="1" si="65"/>
        <v>7.2020942929641252E-3</v>
      </c>
      <c r="AV67" s="33">
        <f t="shared" ca="1" si="65"/>
        <v>1.2022909981535441E-2</v>
      </c>
      <c r="AW67" s="33">
        <f t="shared" ca="1" si="66"/>
        <v>1.1048680534622298E-2</v>
      </c>
      <c r="AX67" s="33">
        <f t="shared" ca="1" si="66"/>
        <v>1.2665991141406067E-2</v>
      </c>
      <c r="AY67" s="33">
        <f t="shared" ca="1" si="66"/>
        <v>9.9310760467347797E-3</v>
      </c>
      <c r="AZ67" s="33">
        <f t="shared" ca="1" si="66"/>
        <v>9.1558157505868022E-3</v>
      </c>
      <c r="BA67" s="33">
        <f t="shared" ca="1" si="66"/>
        <v>1.0607117603529817E-2</v>
      </c>
      <c r="BB67" s="33">
        <f t="shared" ca="1" si="66"/>
        <v>1.1047630469197552E-2</v>
      </c>
      <c r="BC67" s="33">
        <f t="shared" ca="1" si="66"/>
        <v>1.1470364062346868E-2</v>
      </c>
      <c r="BD67" s="33">
        <f t="shared" ca="1" si="66"/>
        <v>1.3593033699392399E-2</v>
      </c>
      <c r="BE67" s="33">
        <f t="shared" ca="1" si="66"/>
        <v>1.1206323352062536E-2</v>
      </c>
      <c r="BF67" s="33">
        <f t="shared" ca="1" si="66"/>
        <v>1.0920629448501456E-2</v>
      </c>
      <c r="BG67" s="33">
        <f t="shared" ca="1" si="67"/>
        <v>1.275130356371371E-2</v>
      </c>
      <c r="BH67" s="33">
        <f t="shared" ca="1" si="67"/>
        <v>1.1381807532618008E-2</v>
      </c>
      <c r="BI67" s="33">
        <f t="shared" ca="1" si="67"/>
        <v>1.0345991307576529E-2</v>
      </c>
      <c r="BJ67" s="33">
        <f t="shared" ca="1" si="67"/>
        <v>1.077767275441093E-2</v>
      </c>
      <c r="BK67" s="33">
        <f t="shared" ca="1" si="67"/>
        <v>1.198176845306531E-2</v>
      </c>
      <c r="BL67" s="33">
        <f t="shared" ca="1" si="67"/>
        <v>1.1824577454447099E-2</v>
      </c>
      <c r="BM67" s="33">
        <f t="shared" ca="1" si="67"/>
        <v>1.0086375615261304E-2</v>
      </c>
      <c r="BN67" s="33">
        <f t="shared" ca="1" si="67"/>
        <v>1.1808637653554202E-2</v>
      </c>
      <c r="BO67" s="33">
        <f t="shared" ca="1" si="67"/>
        <v>1.3072898659893934E-2</v>
      </c>
      <c r="BP67" s="33">
        <f t="shared" ca="1" si="67"/>
        <v>1.3039064633588242E-2</v>
      </c>
      <c r="BQ67" s="33">
        <f t="shared" ca="1" si="68"/>
        <v>1.0736628519391899E-2</v>
      </c>
      <c r="BR67" s="33">
        <f t="shared" ca="1" si="68"/>
        <v>1.1923397830142695E-2</v>
      </c>
      <c r="BS67" s="33">
        <f t="shared" ca="1" si="68"/>
        <v>1.1285779529576294E-2</v>
      </c>
      <c r="BT67" s="33">
        <f t="shared" ca="1" si="68"/>
        <v>8.544873055799455E-3</v>
      </c>
      <c r="BU67" s="33">
        <f t="shared" ca="1" si="68"/>
        <v>9.0864132281446384E-3</v>
      </c>
      <c r="BV67" s="33">
        <f t="shared" ca="1" si="68"/>
        <v>1.3868115740434369E-2</v>
      </c>
      <c r="BW67" s="33">
        <f t="shared" ca="1" si="68"/>
        <v>1.1499846824808941E-2</v>
      </c>
      <c r="BX67" s="33">
        <f t="shared" ca="1" si="68"/>
        <v>1.0182055513195901E-2</v>
      </c>
      <c r="BY67" s="33">
        <f t="shared" ca="1" si="68"/>
        <v>9.7182862219630031E-3</v>
      </c>
      <c r="BZ67" s="33">
        <f t="shared" ca="1" si="68"/>
        <v>1.0779789657912561E-2</v>
      </c>
      <c r="CA67" s="33">
        <f t="shared" ca="1" si="69"/>
        <v>9.1176512182696914E-3</v>
      </c>
      <c r="CB67" s="33">
        <f t="shared" ca="1" si="69"/>
        <v>1.2179888301881945E-2</v>
      </c>
      <c r="CC67" s="33">
        <f t="shared" ca="1" si="69"/>
        <v>1.0767188924367567E-2</v>
      </c>
      <c r="CD67" s="33">
        <f t="shared" ca="1" si="69"/>
        <v>1.110279140652338E-2</v>
      </c>
      <c r="CE67" s="33">
        <f t="shared" ca="1" si="69"/>
        <v>1.2078974149918719E-2</v>
      </c>
      <c r="CF67" s="33">
        <f t="shared" ca="1" si="69"/>
        <v>1.1713851730107562E-2</v>
      </c>
      <c r="CG67" s="33">
        <f t="shared" ca="1" si="69"/>
        <v>1.0865580530974197E-2</v>
      </c>
      <c r="CH67" s="33">
        <f t="shared" ca="1" si="69"/>
        <v>9.1176167883728447E-3</v>
      </c>
      <c r="CI67" s="33">
        <f t="shared" ca="1" si="69"/>
        <v>1.1546494337818937E-2</v>
      </c>
      <c r="CJ67" s="33">
        <f t="shared" ca="1" si="69"/>
        <v>1.4143849355730341E-2</v>
      </c>
      <c r="CK67" s="33">
        <f t="shared" ca="1" si="70"/>
        <v>1.2057532539241623E-2</v>
      </c>
      <c r="CL67" s="33">
        <f t="shared" ca="1" si="70"/>
        <v>9.079504920115956E-3</v>
      </c>
      <c r="CM67" s="33">
        <f t="shared" ca="1" si="70"/>
        <v>1.1911957457892268E-2</v>
      </c>
      <c r="CN67" s="33">
        <f t="shared" ca="1" si="70"/>
        <v>1.1633673017720392E-2</v>
      </c>
      <c r="CO67" s="33">
        <f t="shared" ca="1" si="70"/>
        <v>1.1864612203109106E-2</v>
      </c>
      <c r="CP67" s="33">
        <f t="shared" ca="1" si="70"/>
        <v>1.0881409270576445E-2</v>
      </c>
      <c r="CQ67" s="33">
        <f t="shared" ca="1" si="70"/>
        <v>1.2871977670409646E-2</v>
      </c>
      <c r="CR67" s="33">
        <f t="shared" ca="1" si="70"/>
        <v>9.909704225438562E-3</v>
      </c>
      <c r="CS67" s="33">
        <f t="shared" ca="1" si="70"/>
        <v>1.0506107224799664E-2</v>
      </c>
      <c r="CT67" s="33">
        <f t="shared" ca="1" si="70"/>
        <v>1.0118449259800332E-2</v>
      </c>
      <c r="CU67" s="33">
        <f t="shared" ca="1" si="71"/>
        <v>1.1809280009099419E-2</v>
      </c>
      <c r="CV67" s="33">
        <f t="shared" ca="1" si="71"/>
        <v>1.2887436086580554E-2</v>
      </c>
      <c r="CW67" s="33">
        <f t="shared" ca="1" si="71"/>
        <v>1.1561325463934466E-2</v>
      </c>
      <c r="CX67" s="33">
        <f t="shared" ca="1" si="71"/>
        <v>1.0459291913557375E-2</v>
      </c>
      <c r="CY67" s="33">
        <f t="shared" ca="1" si="71"/>
        <v>1.2949305778326804E-2</v>
      </c>
      <c r="CZ67" s="33">
        <f t="shared" ca="1" si="71"/>
        <v>9.4048770956837724E-3</v>
      </c>
      <c r="DA67" s="33">
        <f t="shared" ca="1" si="71"/>
        <v>9.8960921772284615E-3</v>
      </c>
      <c r="DB67" s="33">
        <f t="shared" ca="1" si="71"/>
        <v>1.2231129272976848E-2</v>
      </c>
      <c r="DC67" s="33">
        <f t="shared" ca="1" si="71"/>
        <v>9.0529930349624293E-3</v>
      </c>
      <c r="DD67" s="33">
        <f t="shared" ca="1" si="71"/>
        <v>8.9475464842961819E-3</v>
      </c>
      <c r="DE67" s="33">
        <f t="shared" ca="1" si="72"/>
        <v>1.2730820361528776E-2</v>
      </c>
      <c r="DF67" s="33">
        <f t="shared" ca="1" si="72"/>
        <v>1.0188512400654468E-2</v>
      </c>
      <c r="DG67" s="33">
        <f t="shared" ca="1" si="72"/>
        <v>9.7762510723534788E-3</v>
      </c>
      <c r="DH67" s="33">
        <f t="shared" ca="1" si="72"/>
        <v>9.1045831582050717E-3</v>
      </c>
      <c r="DI67" s="33">
        <f t="shared" ca="1" si="72"/>
        <v>1.299634484789867E-2</v>
      </c>
      <c r="DJ67" s="33">
        <f t="shared" ca="1" si="72"/>
        <v>9.5393147308206177E-3</v>
      </c>
      <c r="DK67" s="33">
        <f t="shared" ca="1" si="72"/>
        <v>1.1382827995301265E-2</v>
      </c>
      <c r="DL67" s="33">
        <f t="shared" ca="1" si="72"/>
        <v>9.4676562282357945E-3</v>
      </c>
      <c r="DM67" s="33">
        <f t="shared" ca="1" si="72"/>
        <v>1.283063063175318E-2</v>
      </c>
      <c r="DN67" s="33">
        <f t="shared" ca="1" si="72"/>
        <v>1.2755143009388421E-2</v>
      </c>
      <c r="DO67" s="12"/>
      <c r="DP67" s="12"/>
      <c r="DQ67" s="12"/>
    </row>
    <row r="68" spans="9:121" x14ac:dyDescent="0.2">
      <c r="I68" s="32">
        <v>46478</v>
      </c>
      <c r="J68" s="33">
        <f t="shared" ca="1" si="42"/>
        <v>9.6772267750412158E-3</v>
      </c>
      <c r="K68" s="9">
        <v>2986.7248319999999</v>
      </c>
      <c r="L68" s="9">
        <f t="shared" ca="1" si="11"/>
        <v>205496.16937731591</v>
      </c>
      <c r="N68" s="6">
        <v>64</v>
      </c>
      <c r="O68" s="5">
        <v>3.9808993660431944</v>
      </c>
      <c r="P68" s="9">
        <v>694637.74595887167</v>
      </c>
      <c r="R68" s="32">
        <v>46478</v>
      </c>
      <c r="S68" s="33">
        <f t="shared" ca="1" si="63"/>
        <v>1.2163777045746164E-2</v>
      </c>
      <c r="T68" s="33">
        <f t="shared" ca="1" si="63"/>
        <v>7.8480638182195448E-3</v>
      </c>
      <c r="U68" s="33">
        <f t="shared" ca="1" si="63"/>
        <v>1.0563762837792793E-2</v>
      </c>
      <c r="V68" s="33">
        <f t="shared" ca="1" si="63"/>
        <v>1.3225442122257069E-2</v>
      </c>
      <c r="W68" s="33">
        <f t="shared" ca="1" si="63"/>
        <v>1.1385449571664369E-2</v>
      </c>
      <c r="X68" s="33">
        <f t="shared" ca="1" si="63"/>
        <v>1.3941389909809265E-2</v>
      </c>
      <c r="Y68" s="33">
        <f t="shared" ca="1" si="63"/>
        <v>1.1245292089369212E-2</v>
      </c>
      <c r="Z68" s="33">
        <f t="shared" ca="1" si="63"/>
        <v>9.7626544083308023E-3</v>
      </c>
      <c r="AA68" s="33">
        <f t="shared" ca="1" si="63"/>
        <v>1.0785411070355333E-2</v>
      </c>
      <c r="AB68" s="33">
        <f t="shared" ca="1" si="63"/>
        <v>1.3099336457418424E-2</v>
      </c>
      <c r="AC68" s="33">
        <f t="shared" ca="1" si="64"/>
        <v>8.5491151036795089E-3</v>
      </c>
      <c r="AD68" s="33">
        <f t="shared" ca="1" si="64"/>
        <v>1.0277863705175883E-2</v>
      </c>
      <c r="AE68" s="33">
        <f t="shared" ca="1" si="64"/>
        <v>1.2348653684794215E-2</v>
      </c>
      <c r="AF68" s="33">
        <f t="shared" ca="1" si="64"/>
        <v>1.3194369853656776E-2</v>
      </c>
      <c r="AG68" s="33">
        <f t="shared" ca="1" si="64"/>
        <v>1.174144362240544E-2</v>
      </c>
      <c r="AH68" s="33">
        <f t="shared" ca="1" si="64"/>
        <v>7.7034023644039617E-3</v>
      </c>
      <c r="AI68" s="33">
        <f t="shared" ca="1" si="64"/>
        <v>1.2278571370084729E-2</v>
      </c>
      <c r="AJ68" s="33">
        <f t="shared" ca="1" si="64"/>
        <v>1.1025035050883683E-2</v>
      </c>
      <c r="AK68" s="33">
        <f t="shared" ca="1" si="64"/>
        <v>1.3552085577509577E-2</v>
      </c>
      <c r="AL68" s="33">
        <f t="shared" ca="1" si="64"/>
        <v>1.3066944430816253E-2</v>
      </c>
      <c r="AM68" s="33">
        <f t="shared" ca="1" si="65"/>
        <v>1.2692139398873002E-2</v>
      </c>
      <c r="AN68" s="33">
        <f t="shared" ca="1" si="65"/>
        <v>1.0463285231443766E-2</v>
      </c>
      <c r="AO68" s="33">
        <f t="shared" ca="1" si="65"/>
        <v>1.1799764090620701E-2</v>
      </c>
      <c r="AP68" s="33">
        <f t="shared" ca="1" si="65"/>
        <v>8.1301231674366405E-3</v>
      </c>
      <c r="AQ68" s="33">
        <f t="shared" ca="1" si="65"/>
        <v>1.1559481972658962E-2</v>
      </c>
      <c r="AR68" s="33">
        <f t="shared" ca="1" si="65"/>
        <v>9.1525269780560227E-3</v>
      </c>
      <c r="AS68" s="33">
        <f t="shared" ca="1" si="65"/>
        <v>1.2109310807145387E-2</v>
      </c>
      <c r="AT68" s="33">
        <f t="shared" ca="1" si="65"/>
        <v>1.0831370776911552E-2</v>
      </c>
      <c r="AU68" s="33">
        <f t="shared" ca="1" si="65"/>
        <v>1.0598663622731347E-2</v>
      </c>
      <c r="AV68" s="33">
        <f t="shared" ca="1" si="65"/>
        <v>9.6810446101475295E-3</v>
      </c>
      <c r="AW68" s="33">
        <f t="shared" ca="1" si="66"/>
        <v>1.1874993629361818E-2</v>
      </c>
      <c r="AX68" s="33">
        <f t="shared" ca="1" si="66"/>
        <v>1.1219459913354719E-2</v>
      </c>
      <c r="AY68" s="33">
        <f t="shared" ca="1" si="66"/>
        <v>1.4960824239498847E-2</v>
      </c>
      <c r="AZ68" s="33">
        <f t="shared" ca="1" si="66"/>
        <v>1.1780609686694268E-2</v>
      </c>
      <c r="BA68" s="33">
        <f t="shared" ca="1" si="66"/>
        <v>1.0952546734659341E-2</v>
      </c>
      <c r="BB68" s="33">
        <f t="shared" ca="1" si="66"/>
        <v>1.1577997595295019E-2</v>
      </c>
      <c r="BC68" s="33">
        <f t="shared" ca="1" si="66"/>
        <v>1.0906390522344513E-2</v>
      </c>
      <c r="BD68" s="33">
        <f t="shared" ca="1" si="66"/>
        <v>8.646101865741794E-3</v>
      </c>
      <c r="BE68" s="33">
        <f t="shared" ca="1" si="66"/>
        <v>1.1195166480773908E-2</v>
      </c>
      <c r="BF68" s="33">
        <f t="shared" ca="1" si="66"/>
        <v>1.0499100694697353E-2</v>
      </c>
      <c r="BG68" s="33">
        <f t="shared" ca="1" si="67"/>
        <v>8.8662196851575503E-3</v>
      </c>
      <c r="BH68" s="33">
        <f t="shared" ca="1" si="67"/>
        <v>1.0857529258672576E-2</v>
      </c>
      <c r="BI68" s="33">
        <f t="shared" ca="1" si="67"/>
        <v>9.393653257910476E-3</v>
      </c>
      <c r="BJ68" s="33">
        <f t="shared" ca="1" si="67"/>
        <v>1.1406350694519611E-2</v>
      </c>
      <c r="BK68" s="33">
        <f t="shared" ca="1" si="67"/>
        <v>1.2188395012179977E-2</v>
      </c>
      <c r="BL68" s="33">
        <f t="shared" ca="1" si="67"/>
        <v>9.1427443092049806E-3</v>
      </c>
      <c r="BM68" s="33">
        <f t="shared" ca="1" si="67"/>
        <v>8.4600930498002214E-3</v>
      </c>
      <c r="BN68" s="33">
        <f t="shared" ca="1" si="67"/>
        <v>9.815046254962401E-3</v>
      </c>
      <c r="BO68" s="33">
        <f t="shared" ca="1" si="67"/>
        <v>1.0975060147078672E-2</v>
      </c>
      <c r="BP68" s="33">
        <f t="shared" ca="1" si="67"/>
        <v>1.3131493425730592E-2</v>
      </c>
      <c r="BQ68" s="33">
        <f t="shared" ca="1" si="68"/>
        <v>1.0225184650962262E-2</v>
      </c>
      <c r="BR68" s="33">
        <f t="shared" ca="1" si="68"/>
        <v>1.1138574313647422E-2</v>
      </c>
      <c r="BS68" s="33">
        <f t="shared" ca="1" si="68"/>
        <v>9.9432189077364955E-3</v>
      </c>
      <c r="BT68" s="33">
        <f t="shared" ca="1" si="68"/>
        <v>1.2153934098812623E-2</v>
      </c>
      <c r="BU68" s="33">
        <f t="shared" ca="1" si="68"/>
        <v>1.3764687834774128E-2</v>
      </c>
      <c r="BV68" s="33">
        <f t="shared" ca="1" si="68"/>
        <v>1.2883356520005187E-2</v>
      </c>
      <c r="BW68" s="33">
        <f t="shared" ca="1" si="68"/>
        <v>1.0425241307516438E-2</v>
      </c>
      <c r="BX68" s="33">
        <f t="shared" ca="1" si="68"/>
        <v>9.9966415125072403E-3</v>
      </c>
      <c r="BY68" s="33">
        <f t="shared" ca="1" si="68"/>
        <v>1.2865309445553936E-2</v>
      </c>
      <c r="BZ68" s="33">
        <f t="shared" ca="1" si="68"/>
        <v>9.6345401160068435E-3</v>
      </c>
      <c r="CA68" s="33">
        <f t="shared" ca="1" si="69"/>
        <v>1.2388222337476752E-2</v>
      </c>
      <c r="CB68" s="33">
        <f t="shared" ca="1" si="69"/>
        <v>1.1557153486701251E-2</v>
      </c>
      <c r="CC68" s="33">
        <f t="shared" ca="1" si="69"/>
        <v>9.4414930627625317E-3</v>
      </c>
      <c r="CD68" s="33">
        <f t="shared" ca="1" si="69"/>
        <v>1.1110053215740722E-2</v>
      </c>
      <c r="CE68" s="33">
        <f t="shared" ca="1" si="69"/>
        <v>1.1855663280835716E-2</v>
      </c>
      <c r="CF68" s="33">
        <f t="shared" ca="1" si="69"/>
        <v>1.2883636043955999E-2</v>
      </c>
      <c r="CG68" s="33">
        <f t="shared" ca="1" si="69"/>
        <v>1.083330986314248E-2</v>
      </c>
      <c r="CH68" s="33">
        <f t="shared" ca="1" si="69"/>
        <v>1.048768638072451E-2</v>
      </c>
      <c r="CI68" s="33">
        <f t="shared" ca="1" si="69"/>
        <v>1.126585929360611E-2</v>
      </c>
      <c r="CJ68" s="33">
        <f t="shared" ca="1" si="69"/>
        <v>1.2101389539232177E-2</v>
      </c>
      <c r="CK68" s="33">
        <f t="shared" ca="1" si="70"/>
        <v>1.2134953187912297E-2</v>
      </c>
      <c r="CL68" s="33">
        <f t="shared" ca="1" si="70"/>
        <v>7.6791093256069597E-3</v>
      </c>
      <c r="CM68" s="33">
        <f t="shared" ca="1" si="70"/>
        <v>1.1998524590621205E-2</v>
      </c>
      <c r="CN68" s="33">
        <f t="shared" ca="1" si="70"/>
        <v>1.1537622827171719E-2</v>
      </c>
      <c r="CO68" s="33">
        <f t="shared" ca="1" si="70"/>
        <v>1.0510531576443861E-2</v>
      </c>
      <c r="CP68" s="33">
        <f t="shared" ca="1" si="70"/>
        <v>1.0674703955104016E-2</v>
      </c>
      <c r="CQ68" s="33">
        <f t="shared" ca="1" si="70"/>
        <v>1.166377388464428E-2</v>
      </c>
      <c r="CR68" s="33">
        <f t="shared" ca="1" si="70"/>
        <v>1.1950284879366096E-2</v>
      </c>
      <c r="CS68" s="33">
        <f t="shared" ca="1" si="70"/>
        <v>1.3755734990742886E-2</v>
      </c>
      <c r="CT68" s="33">
        <f t="shared" ca="1" si="70"/>
        <v>1.3601227810950474E-2</v>
      </c>
      <c r="CU68" s="33">
        <f t="shared" ca="1" si="71"/>
        <v>1.1639570800605351E-2</v>
      </c>
      <c r="CV68" s="33">
        <f t="shared" ca="1" si="71"/>
        <v>1.1929815824386916E-2</v>
      </c>
      <c r="CW68" s="33">
        <f t="shared" ca="1" si="71"/>
        <v>1.1310691603806589E-2</v>
      </c>
      <c r="CX68" s="33">
        <f t="shared" ca="1" si="71"/>
        <v>1.1131112805397686E-2</v>
      </c>
      <c r="CY68" s="33">
        <f t="shared" ca="1" si="71"/>
        <v>1.2458651630895814E-2</v>
      </c>
      <c r="CZ68" s="33">
        <f t="shared" ca="1" si="71"/>
        <v>1.0315702149480802E-2</v>
      </c>
      <c r="DA68" s="33">
        <f t="shared" ca="1" si="71"/>
        <v>1.237901068314844E-2</v>
      </c>
      <c r="DB68" s="33">
        <f t="shared" ca="1" si="71"/>
        <v>9.9462702384503273E-3</v>
      </c>
      <c r="DC68" s="33">
        <f t="shared" ca="1" si="71"/>
        <v>1.0595511514789744E-2</v>
      </c>
      <c r="DD68" s="33">
        <f t="shared" ca="1" si="71"/>
        <v>1.1517745359263136E-2</v>
      </c>
      <c r="DE68" s="33">
        <f t="shared" ca="1" si="72"/>
        <v>1.0564292369939983E-2</v>
      </c>
      <c r="DF68" s="33">
        <f t="shared" ca="1" si="72"/>
        <v>9.5429724168223668E-3</v>
      </c>
      <c r="DG68" s="33">
        <f t="shared" ca="1" si="72"/>
        <v>1.256878676229402E-2</v>
      </c>
      <c r="DH68" s="33">
        <f t="shared" ca="1" si="72"/>
        <v>1.0328954770957629E-2</v>
      </c>
      <c r="DI68" s="33">
        <f t="shared" ca="1" si="72"/>
        <v>1.1842065942677973E-2</v>
      </c>
      <c r="DJ68" s="33">
        <f t="shared" ca="1" si="72"/>
        <v>1.2133955272874345E-2</v>
      </c>
      <c r="DK68" s="33">
        <f t="shared" ca="1" si="72"/>
        <v>1.2968090764647274E-2</v>
      </c>
      <c r="DL68" s="33">
        <f t="shared" ca="1" si="72"/>
        <v>1.2177886353554067E-2</v>
      </c>
      <c r="DM68" s="33">
        <f t="shared" ca="1" si="72"/>
        <v>1.2297825752884491E-2</v>
      </c>
      <c r="DN68" s="33">
        <f t="shared" ca="1" si="72"/>
        <v>9.9155427174910001E-3</v>
      </c>
      <c r="DO68" s="12"/>
      <c r="DP68" s="12"/>
      <c r="DQ68" s="12"/>
    </row>
    <row r="69" spans="9:121" x14ac:dyDescent="0.2">
      <c r="I69" s="32">
        <v>46508</v>
      </c>
      <c r="J69" s="33">
        <f t="shared" ref="J69:J100" ca="1" si="73">_xlfn.NORM.INV(RAND(),$A$52,$B$45)</f>
        <v>1.1548147847948515E-2</v>
      </c>
      <c r="K69" s="9">
        <v>2986.7248319999999</v>
      </c>
      <c r="L69" s="9">
        <f t="shared" ca="1" si="11"/>
        <v>210869.7497097718</v>
      </c>
      <c r="N69" s="6">
        <v>65</v>
      </c>
      <c r="O69" s="5">
        <v>3.9282523712428632</v>
      </c>
      <c r="P69" s="9">
        <v>688040.73403215304</v>
      </c>
      <c r="R69" s="32">
        <v>46508</v>
      </c>
      <c r="S69" s="33">
        <f t="shared" ca="1" si="63"/>
        <v>1.386690146307681E-2</v>
      </c>
      <c r="T69" s="33">
        <f t="shared" ca="1" si="63"/>
        <v>1.3113923295211383E-2</v>
      </c>
      <c r="U69" s="33">
        <f t="shared" ca="1" si="63"/>
        <v>1.0308255598332381E-2</v>
      </c>
      <c r="V69" s="33">
        <f t="shared" ca="1" si="63"/>
        <v>1.0524196510805068E-2</v>
      </c>
      <c r="W69" s="33">
        <f t="shared" ca="1" si="63"/>
        <v>1.2684124758660185E-2</v>
      </c>
      <c r="X69" s="33">
        <f t="shared" ca="1" si="63"/>
        <v>1.2592749291962212E-2</v>
      </c>
      <c r="Y69" s="33">
        <f t="shared" ca="1" si="63"/>
        <v>1.3449801663037093E-2</v>
      </c>
      <c r="Z69" s="33">
        <f t="shared" ca="1" si="63"/>
        <v>1.0404728625370382E-2</v>
      </c>
      <c r="AA69" s="33">
        <f t="shared" ca="1" si="63"/>
        <v>1.0080833839267354E-2</v>
      </c>
      <c r="AB69" s="33">
        <f t="shared" ca="1" si="63"/>
        <v>9.3996409008632216E-3</v>
      </c>
      <c r="AC69" s="33">
        <f t="shared" ca="1" si="64"/>
        <v>1.0920854925746286E-2</v>
      </c>
      <c r="AD69" s="33">
        <f t="shared" ca="1" si="64"/>
        <v>9.3782235794195451E-3</v>
      </c>
      <c r="AE69" s="33">
        <f t="shared" ca="1" si="64"/>
        <v>1.1212983702313007E-2</v>
      </c>
      <c r="AF69" s="33">
        <f t="shared" ca="1" si="64"/>
        <v>1.2011712662827127E-2</v>
      </c>
      <c r="AG69" s="33">
        <f t="shared" ca="1" si="64"/>
        <v>1.0516014909113421E-2</v>
      </c>
      <c r="AH69" s="33">
        <f t="shared" ca="1" si="64"/>
        <v>9.8937287346795785E-3</v>
      </c>
      <c r="AI69" s="33">
        <f t="shared" ca="1" si="64"/>
        <v>1.1759252871151113E-2</v>
      </c>
      <c r="AJ69" s="33">
        <f t="shared" ca="1" si="64"/>
        <v>1.0928428511145871E-2</v>
      </c>
      <c r="AK69" s="33">
        <f t="shared" ca="1" si="64"/>
        <v>1.0135131967767174E-2</v>
      </c>
      <c r="AL69" s="33">
        <f t="shared" ca="1" si="64"/>
        <v>1.0255555148392236E-2</v>
      </c>
      <c r="AM69" s="33">
        <f t="shared" ca="1" si="65"/>
        <v>1.2239113372622332E-2</v>
      </c>
      <c r="AN69" s="33">
        <f t="shared" ca="1" si="65"/>
        <v>1.1442248800253336E-2</v>
      </c>
      <c r="AO69" s="33">
        <f t="shared" ca="1" si="65"/>
        <v>1.1553969712393473E-2</v>
      </c>
      <c r="AP69" s="33">
        <f t="shared" ca="1" si="65"/>
        <v>1.2274262402934192E-2</v>
      </c>
      <c r="AQ69" s="33">
        <f t="shared" ca="1" si="65"/>
        <v>1.3054792865431585E-2</v>
      </c>
      <c r="AR69" s="33">
        <f t="shared" ca="1" si="65"/>
        <v>1.2261073373932565E-2</v>
      </c>
      <c r="AS69" s="33">
        <f t="shared" ca="1" si="65"/>
        <v>1.0223826915940155E-2</v>
      </c>
      <c r="AT69" s="33">
        <f t="shared" ca="1" si="65"/>
        <v>1.0753841828868254E-2</v>
      </c>
      <c r="AU69" s="33">
        <f t="shared" ca="1" si="65"/>
        <v>1.4238617248591254E-2</v>
      </c>
      <c r="AV69" s="33">
        <f t="shared" ca="1" si="65"/>
        <v>1.1522392583941209E-2</v>
      </c>
      <c r="AW69" s="33">
        <f t="shared" ca="1" si="66"/>
        <v>1.4236887685509885E-2</v>
      </c>
      <c r="AX69" s="33">
        <f t="shared" ca="1" si="66"/>
        <v>1.2122489042148389E-2</v>
      </c>
      <c r="AY69" s="33">
        <f t="shared" ca="1" si="66"/>
        <v>1.1553869459529166E-2</v>
      </c>
      <c r="AZ69" s="33">
        <f t="shared" ca="1" si="66"/>
        <v>1.0807924298033088E-2</v>
      </c>
      <c r="BA69" s="33">
        <f t="shared" ca="1" si="66"/>
        <v>1.0060021655080603E-2</v>
      </c>
      <c r="BB69" s="33">
        <f t="shared" ca="1" si="66"/>
        <v>1.1935948812279525E-2</v>
      </c>
      <c r="BC69" s="33">
        <f t="shared" ca="1" si="66"/>
        <v>8.7343967358793385E-3</v>
      </c>
      <c r="BD69" s="33">
        <f t="shared" ca="1" si="66"/>
        <v>1.2735497042444349E-2</v>
      </c>
      <c r="BE69" s="33">
        <f t="shared" ca="1" si="66"/>
        <v>9.3580323394523435E-3</v>
      </c>
      <c r="BF69" s="33">
        <f t="shared" ca="1" si="66"/>
        <v>1.1549788313450342E-2</v>
      </c>
      <c r="BG69" s="33">
        <f t="shared" ca="1" si="67"/>
        <v>1.0326844646569005E-2</v>
      </c>
      <c r="BH69" s="33">
        <f t="shared" ca="1" si="67"/>
        <v>1.1232329147377445E-2</v>
      </c>
      <c r="BI69" s="33">
        <f t="shared" ca="1" si="67"/>
        <v>1.2073863000893652E-2</v>
      </c>
      <c r="BJ69" s="33">
        <f t="shared" ca="1" si="67"/>
        <v>9.6056909194354202E-3</v>
      </c>
      <c r="BK69" s="33">
        <f t="shared" ca="1" si="67"/>
        <v>1.0530753188402305E-2</v>
      </c>
      <c r="BL69" s="33">
        <f t="shared" ca="1" si="67"/>
        <v>1.1867634537945456E-2</v>
      </c>
      <c r="BM69" s="33">
        <f t="shared" ca="1" si="67"/>
        <v>1.174071522108718E-2</v>
      </c>
      <c r="BN69" s="33">
        <f t="shared" ca="1" si="67"/>
        <v>1.1125315160758946E-2</v>
      </c>
      <c r="BO69" s="33">
        <f t="shared" ca="1" si="67"/>
        <v>9.7317312939845472E-3</v>
      </c>
      <c r="BP69" s="33">
        <f t="shared" ca="1" si="67"/>
        <v>1.0645506322685273E-2</v>
      </c>
      <c r="BQ69" s="33">
        <f t="shared" ca="1" si="68"/>
        <v>1.2328470999388788E-2</v>
      </c>
      <c r="BR69" s="33">
        <f t="shared" ca="1" si="68"/>
        <v>8.3909534933003082E-3</v>
      </c>
      <c r="BS69" s="33">
        <f t="shared" ca="1" si="68"/>
        <v>1.2874913864656414E-2</v>
      </c>
      <c r="BT69" s="33">
        <f t="shared" ca="1" si="68"/>
        <v>1.271445544224332E-2</v>
      </c>
      <c r="BU69" s="33">
        <f t="shared" ca="1" si="68"/>
        <v>9.1441669602570878E-3</v>
      </c>
      <c r="BV69" s="33">
        <f t="shared" ca="1" si="68"/>
        <v>8.952452293032289E-3</v>
      </c>
      <c r="BW69" s="33">
        <f t="shared" ca="1" si="68"/>
        <v>1.1929952390436812E-2</v>
      </c>
      <c r="BX69" s="33">
        <f t="shared" ca="1" si="68"/>
        <v>1.1797388641428168E-2</v>
      </c>
      <c r="BY69" s="33">
        <f t="shared" ca="1" si="68"/>
        <v>1.2223629025315817E-2</v>
      </c>
      <c r="BZ69" s="33">
        <f t="shared" ca="1" si="68"/>
        <v>9.9683836578923438E-3</v>
      </c>
      <c r="CA69" s="33">
        <f t="shared" ca="1" si="69"/>
        <v>1.179622807695343E-2</v>
      </c>
      <c r="CB69" s="33">
        <f t="shared" ca="1" si="69"/>
        <v>9.2838671061168908E-3</v>
      </c>
      <c r="CC69" s="33">
        <f t="shared" ca="1" si="69"/>
        <v>1.2500491897516583E-2</v>
      </c>
      <c r="CD69" s="33">
        <f t="shared" ca="1" si="69"/>
        <v>1.1142012562091281E-2</v>
      </c>
      <c r="CE69" s="33">
        <f t="shared" ca="1" si="69"/>
        <v>1.104169387374454E-2</v>
      </c>
      <c r="CF69" s="33">
        <f t="shared" ca="1" si="69"/>
        <v>1.1750746235879185E-2</v>
      </c>
      <c r="CG69" s="33">
        <f t="shared" ca="1" si="69"/>
        <v>1.1045276872111778E-2</v>
      </c>
      <c r="CH69" s="33">
        <f t="shared" ca="1" si="69"/>
        <v>9.7596307497108768E-3</v>
      </c>
      <c r="CI69" s="33">
        <f t="shared" ca="1" si="69"/>
        <v>1.3061288486637039E-2</v>
      </c>
      <c r="CJ69" s="33">
        <f t="shared" ca="1" si="69"/>
        <v>1.1420544189308098E-2</v>
      </c>
      <c r="CK69" s="33">
        <f t="shared" ca="1" si="70"/>
        <v>1.1656510666547869E-2</v>
      </c>
      <c r="CL69" s="33">
        <f t="shared" ca="1" si="70"/>
        <v>1.4036495801560973E-2</v>
      </c>
      <c r="CM69" s="33">
        <f t="shared" ca="1" si="70"/>
        <v>1.2600762382316652E-2</v>
      </c>
      <c r="CN69" s="33">
        <f t="shared" ca="1" si="70"/>
        <v>1.1872919764512636E-2</v>
      </c>
      <c r="CO69" s="33">
        <f t="shared" ca="1" si="70"/>
        <v>1.0493547826210373E-2</v>
      </c>
      <c r="CP69" s="33">
        <f t="shared" ca="1" si="70"/>
        <v>1.0420036153616037E-2</v>
      </c>
      <c r="CQ69" s="33">
        <f t="shared" ca="1" si="70"/>
        <v>1.183469437768396E-2</v>
      </c>
      <c r="CR69" s="33">
        <f t="shared" ca="1" si="70"/>
        <v>1.3572612072471815E-2</v>
      </c>
      <c r="CS69" s="33">
        <f t="shared" ca="1" si="70"/>
        <v>1.1409568272770733E-2</v>
      </c>
      <c r="CT69" s="33">
        <f t="shared" ca="1" si="70"/>
        <v>1.1978192412774877E-2</v>
      </c>
      <c r="CU69" s="33">
        <f t="shared" ca="1" si="71"/>
        <v>1.0123803294756626E-2</v>
      </c>
      <c r="CV69" s="33">
        <f t="shared" ca="1" si="71"/>
        <v>1.2164212596927704E-2</v>
      </c>
      <c r="CW69" s="33">
        <f t="shared" ca="1" si="71"/>
        <v>1.5252208344719579E-2</v>
      </c>
      <c r="CX69" s="33">
        <f t="shared" ca="1" si="71"/>
        <v>1.2150672635943705E-2</v>
      </c>
      <c r="CY69" s="33">
        <f t="shared" ca="1" si="71"/>
        <v>9.395642923559655E-3</v>
      </c>
      <c r="CZ69" s="33">
        <f t="shared" ca="1" si="71"/>
        <v>1.2535749260994189E-2</v>
      </c>
      <c r="DA69" s="33">
        <f t="shared" ca="1" si="71"/>
        <v>1.1723779186190558E-2</v>
      </c>
      <c r="DB69" s="33">
        <f t="shared" ca="1" si="71"/>
        <v>9.3316900025640481E-3</v>
      </c>
      <c r="DC69" s="33">
        <f t="shared" ca="1" si="71"/>
        <v>1.0242346794240284E-2</v>
      </c>
      <c r="DD69" s="33">
        <f t="shared" ca="1" si="71"/>
        <v>1.1697064039694258E-2</v>
      </c>
      <c r="DE69" s="33">
        <f t="shared" ca="1" si="72"/>
        <v>1.1022040263003857E-2</v>
      </c>
      <c r="DF69" s="33">
        <f t="shared" ca="1" si="72"/>
        <v>1.3645217838022645E-2</v>
      </c>
      <c r="DG69" s="33">
        <f t="shared" ca="1" si="72"/>
        <v>1.199800911733157E-2</v>
      </c>
      <c r="DH69" s="33">
        <f t="shared" ca="1" si="72"/>
        <v>1.1660561111513189E-2</v>
      </c>
      <c r="DI69" s="33">
        <f t="shared" ca="1" si="72"/>
        <v>1.2278813605059551E-2</v>
      </c>
      <c r="DJ69" s="33">
        <f t="shared" ca="1" si="72"/>
        <v>1.3092902758138906E-2</v>
      </c>
      <c r="DK69" s="33">
        <f t="shared" ca="1" si="72"/>
        <v>1.0134345392108618E-2</v>
      </c>
      <c r="DL69" s="33">
        <f t="shared" ca="1" si="72"/>
        <v>1.3294725586921227E-2</v>
      </c>
      <c r="DM69" s="33">
        <f t="shared" ca="1" si="72"/>
        <v>1.2067540976445034E-2</v>
      </c>
      <c r="DN69" s="33">
        <f t="shared" ca="1" si="72"/>
        <v>1.0140673796372675E-2</v>
      </c>
      <c r="DO69" s="12"/>
      <c r="DP69" s="12"/>
      <c r="DQ69" s="12"/>
    </row>
    <row r="70" spans="9:121" x14ac:dyDescent="0.2">
      <c r="I70" s="32">
        <v>46539</v>
      </c>
      <c r="J70" s="33">
        <f t="shared" ca="1" si="73"/>
        <v>9.6248035051588361E-3</v>
      </c>
      <c r="K70" s="9">
        <v>2986.7248319999999</v>
      </c>
      <c r="L70" s="9">
        <f t="shared" ca="1" si="11"/>
        <v>215895.85301299862</v>
      </c>
      <c r="N70" s="6">
        <v>66</v>
      </c>
      <c r="O70" s="5">
        <v>3.8545897065856036</v>
      </c>
      <c r="P70" s="9">
        <v>681544.47419727582</v>
      </c>
      <c r="R70" s="32">
        <v>46539</v>
      </c>
      <c r="S70" s="33">
        <f t="shared" ca="1" si="63"/>
        <v>1.2972035401852678E-2</v>
      </c>
      <c r="T70" s="33">
        <f t="shared" ca="1" si="63"/>
        <v>1.0376794598481216E-2</v>
      </c>
      <c r="U70" s="33">
        <f t="shared" ca="1" si="63"/>
        <v>1.1537111539780123E-2</v>
      </c>
      <c r="V70" s="33">
        <f t="shared" ca="1" si="63"/>
        <v>1.2199013374706897E-2</v>
      </c>
      <c r="W70" s="33">
        <f t="shared" ca="1" si="63"/>
        <v>1.4205629720521371E-2</v>
      </c>
      <c r="X70" s="33">
        <f t="shared" ca="1" si="63"/>
        <v>9.7322259479358068E-3</v>
      </c>
      <c r="Y70" s="33">
        <f t="shared" ca="1" si="63"/>
        <v>1.0220597509192915E-2</v>
      </c>
      <c r="Z70" s="33">
        <f t="shared" ca="1" si="63"/>
        <v>9.3252518635813762E-3</v>
      </c>
      <c r="AA70" s="33">
        <f t="shared" ca="1" si="63"/>
        <v>1.3941825060466446E-2</v>
      </c>
      <c r="AB70" s="33">
        <f t="shared" ca="1" si="63"/>
        <v>1.3862904575190675E-2</v>
      </c>
      <c r="AC70" s="33">
        <f t="shared" ca="1" si="64"/>
        <v>9.1852529637424223E-3</v>
      </c>
      <c r="AD70" s="33">
        <f t="shared" ca="1" si="64"/>
        <v>1.1352500123726692E-2</v>
      </c>
      <c r="AE70" s="33">
        <f t="shared" ca="1" si="64"/>
        <v>1.1550481709716962E-2</v>
      </c>
      <c r="AF70" s="33">
        <f t="shared" ca="1" si="64"/>
        <v>1.2933489235969514E-2</v>
      </c>
      <c r="AG70" s="33">
        <f t="shared" ca="1" si="64"/>
        <v>1.2861135265462514E-2</v>
      </c>
      <c r="AH70" s="33">
        <f t="shared" ca="1" si="64"/>
        <v>1.1824390898587918E-2</v>
      </c>
      <c r="AI70" s="33">
        <f t="shared" ca="1" si="64"/>
        <v>1.2619757970209766E-2</v>
      </c>
      <c r="AJ70" s="33">
        <f t="shared" ca="1" si="64"/>
        <v>1.2418323341434914E-2</v>
      </c>
      <c r="AK70" s="33">
        <f t="shared" ca="1" si="64"/>
        <v>1.0911381139303702E-2</v>
      </c>
      <c r="AL70" s="33">
        <f t="shared" ca="1" si="64"/>
        <v>1.3845807309043123E-2</v>
      </c>
      <c r="AM70" s="33">
        <f t="shared" ca="1" si="65"/>
        <v>1.425232491643548E-2</v>
      </c>
      <c r="AN70" s="33">
        <f t="shared" ca="1" si="65"/>
        <v>1.1659687907094351E-2</v>
      </c>
      <c r="AO70" s="33">
        <f t="shared" ca="1" si="65"/>
        <v>1.0401883157596228E-2</v>
      </c>
      <c r="AP70" s="33">
        <f t="shared" ca="1" si="65"/>
        <v>1.1599031724635018E-2</v>
      </c>
      <c r="AQ70" s="33">
        <f t="shared" ca="1" si="65"/>
        <v>1.2303440893595717E-2</v>
      </c>
      <c r="AR70" s="33">
        <f t="shared" ca="1" si="65"/>
        <v>1.0965808794421753E-2</v>
      </c>
      <c r="AS70" s="33">
        <f t="shared" ca="1" si="65"/>
        <v>1.2518602653094265E-2</v>
      </c>
      <c r="AT70" s="33">
        <f t="shared" ca="1" si="65"/>
        <v>9.6596683256746103E-3</v>
      </c>
      <c r="AU70" s="33">
        <f t="shared" ca="1" si="65"/>
        <v>9.5159961511077709E-3</v>
      </c>
      <c r="AV70" s="33">
        <f t="shared" ca="1" si="65"/>
        <v>1.0939154922745298E-2</v>
      </c>
      <c r="AW70" s="33">
        <f t="shared" ca="1" si="66"/>
        <v>1.0814955841603021E-2</v>
      </c>
      <c r="AX70" s="33">
        <f t="shared" ca="1" si="66"/>
        <v>1.2219186710674302E-2</v>
      </c>
      <c r="AY70" s="33">
        <f t="shared" ca="1" si="66"/>
        <v>1.325792974099769E-2</v>
      </c>
      <c r="AZ70" s="33">
        <f t="shared" ca="1" si="66"/>
        <v>1.145476271529516E-2</v>
      </c>
      <c r="BA70" s="33">
        <f t="shared" ca="1" si="66"/>
        <v>1.0560212483690219E-2</v>
      </c>
      <c r="BB70" s="33">
        <f t="shared" ca="1" si="66"/>
        <v>1.1460783103413327E-2</v>
      </c>
      <c r="BC70" s="33">
        <f t="shared" ca="1" si="66"/>
        <v>1.1951851242799625E-2</v>
      </c>
      <c r="BD70" s="33">
        <f t="shared" ca="1" si="66"/>
        <v>1.1053062867939041E-2</v>
      </c>
      <c r="BE70" s="33">
        <f t="shared" ca="1" si="66"/>
        <v>1.1480638557713037E-2</v>
      </c>
      <c r="BF70" s="33">
        <f t="shared" ca="1" si="66"/>
        <v>1.1583342631123442E-2</v>
      </c>
      <c r="BG70" s="33">
        <f t="shared" ca="1" si="67"/>
        <v>9.7513986718988574E-3</v>
      </c>
      <c r="BH70" s="33">
        <f t="shared" ca="1" si="67"/>
        <v>1.0924729960567588E-2</v>
      </c>
      <c r="BI70" s="33">
        <f t="shared" ca="1" si="67"/>
        <v>1.2761843962319811E-2</v>
      </c>
      <c r="BJ70" s="33">
        <f t="shared" ca="1" si="67"/>
        <v>8.8375330874218786E-3</v>
      </c>
      <c r="BK70" s="33">
        <f t="shared" ca="1" si="67"/>
        <v>1.1070314784340436E-2</v>
      </c>
      <c r="BL70" s="33">
        <f t="shared" ca="1" si="67"/>
        <v>9.1486034725143089E-3</v>
      </c>
      <c r="BM70" s="33">
        <f t="shared" ca="1" si="67"/>
        <v>1.0654801654669503E-2</v>
      </c>
      <c r="BN70" s="33">
        <f t="shared" ca="1" si="67"/>
        <v>1.1003953638175832E-2</v>
      </c>
      <c r="BO70" s="33">
        <f t="shared" ca="1" si="67"/>
        <v>1.152926257632373E-2</v>
      </c>
      <c r="BP70" s="33">
        <f t="shared" ca="1" si="67"/>
        <v>1.0237892030359109E-2</v>
      </c>
      <c r="BQ70" s="33">
        <f t="shared" ca="1" si="68"/>
        <v>1.0055482399205241E-2</v>
      </c>
      <c r="BR70" s="33">
        <f t="shared" ca="1" si="68"/>
        <v>1.1575123196930253E-2</v>
      </c>
      <c r="BS70" s="33">
        <f t="shared" ca="1" si="68"/>
        <v>9.3283677359887705E-3</v>
      </c>
      <c r="BT70" s="33">
        <f t="shared" ca="1" si="68"/>
        <v>1.2121964400888018E-2</v>
      </c>
      <c r="BU70" s="33">
        <f t="shared" ca="1" si="68"/>
        <v>1.1209578268063843E-2</v>
      </c>
      <c r="BV70" s="33">
        <f t="shared" ca="1" si="68"/>
        <v>1.4219947178583867E-2</v>
      </c>
      <c r="BW70" s="33">
        <f t="shared" ca="1" si="68"/>
        <v>1.2038160208932339E-2</v>
      </c>
      <c r="BX70" s="33">
        <f t="shared" ca="1" si="68"/>
        <v>1.2301935018647299E-2</v>
      </c>
      <c r="BY70" s="33">
        <f t="shared" ca="1" si="68"/>
        <v>1.2187105235679164E-2</v>
      </c>
      <c r="BZ70" s="33">
        <f t="shared" ca="1" si="68"/>
        <v>1.3341507152135704E-2</v>
      </c>
      <c r="CA70" s="33">
        <f t="shared" ca="1" si="69"/>
        <v>1.3420510247856676E-2</v>
      </c>
      <c r="CB70" s="33">
        <f t="shared" ca="1" si="69"/>
        <v>1.1979586165802377E-2</v>
      </c>
      <c r="CC70" s="33">
        <f t="shared" ca="1" si="69"/>
        <v>1.006327264170058E-2</v>
      </c>
      <c r="CD70" s="33">
        <f t="shared" ca="1" si="69"/>
        <v>1.0009939128126675E-2</v>
      </c>
      <c r="CE70" s="33">
        <f t="shared" ca="1" si="69"/>
        <v>1.1552979368619491E-2</v>
      </c>
      <c r="CF70" s="33">
        <f t="shared" ca="1" si="69"/>
        <v>9.8825752167592245E-3</v>
      </c>
      <c r="CG70" s="33">
        <f t="shared" ca="1" si="69"/>
        <v>1.0236164031161477E-2</v>
      </c>
      <c r="CH70" s="33">
        <f t="shared" ca="1" si="69"/>
        <v>9.4529502495898417E-3</v>
      </c>
      <c r="CI70" s="33">
        <f t="shared" ca="1" si="69"/>
        <v>1.3589774136657738E-2</v>
      </c>
      <c r="CJ70" s="33">
        <f t="shared" ca="1" si="69"/>
        <v>9.7952995000529942E-3</v>
      </c>
      <c r="CK70" s="33">
        <f t="shared" ca="1" si="70"/>
        <v>1.1866967231235941E-2</v>
      </c>
      <c r="CL70" s="33">
        <f t="shared" ca="1" si="70"/>
        <v>1.2398814341196163E-2</v>
      </c>
      <c r="CM70" s="33">
        <f t="shared" ca="1" si="70"/>
        <v>1.0628127429762393E-2</v>
      </c>
      <c r="CN70" s="33">
        <f t="shared" ca="1" si="70"/>
        <v>1.1608948717931977E-2</v>
      </c>
      <c r="CO70" s="33">
        <f t="shared" ca="1" si="70"/>
        <v>1.0617670174404277E-2</v>
      </c>
      <c r="CP70" s="33">
        <f t="shared" ca="1" si="70"/>
        <v>1.1595084335303735E-2</v>
      </c>
      <c r="CQ70" s="33">
        <f t="shared" ca="1" si="70"/>
        <v>1.0689591266125563E-2</v>
      </c>
      <c r="CR70" s="33">
        <f t="shared" ca="1" si="70"/>
        <v>1.0314975168077969E-2</v>
      </c>
      <c r="CS70" s="33">
        <f t="shared" ca="1" si="70"/>
        <v>1.1422952440445656E-2</v>
      </c>
      <c r="CT70" s="33">
        <f t="shared" ca="1" si="70"/>
        <v>8.7041014276465298E-3</v>
      </c>
      <c r="CU70" s="33">
        <f t="shared" ca="1" si="71"/>
        <v>1.0885223152274323E-2</v>
      </c>
      <c r="CV70" s="33">
        <f t="shared" ca="1" si="71"/>
        <v>1.5097526214117151E-2</v>
      </c>
      <c r="CW70" s="33">
        <f t="shared" ca="1" si="71"/>
        <v>1.1401212064684099E-2</v>
      </c>
      <c r="CX70" s="33">
        <f t="shared" ca="1" si="71"/>
        <v>1.1103041204737131E-2</v>
      </c>
      <c r="CY70" s="33">
        <f t="shared" ca="1" si="71"/>
        <v>1.0294669479539269E-2</v>
      </c>
      <c r="CZ70" s="33">
        <f t="shared" ca="1" si="71"/>
        <v>1.193413299232882E-2</v>
      </c>
      <c r="DA70" s="33">
        <f t="shared" ca="1" si="71"/>
        <v>1.0471423165784135E-2</v>
      </c>
      <c r="DB70" s="33">
        <f t="shared" ca="1" si="71"/>
        <v>1.4078407316057511E-2</v>
      </c>
      <c r="DC70" s="33">
        <f t="shared" ca="1" si="71"/>
        <v>1.1531660776239903E-2</v>
      </c>
      <c r="DD70" s="33">
        <f t="shared" ca="1" si="71"/>
        <v>1.38820270536527E-2</v>
      </c>
      <c r="DE70" s="33">
        <f t="shared" ca="1" si="72"/>
        <v>1.216669291090053E-2</v>
      </c>
      <c r="DF70" s="33">
        <f t="shared" ca="1" si="72"/>
        <v>1.088664091995897E-2</v>
      </c>
      <c r="DG70" s="33">
        <f t="shared" ca="1" si="72"/>
        <v>1.1025513477028914E-2</v>
      </c>
      <c r="DH70" s="33">
        <f t="shared" ca="1" si="72"/>
        <v>1.0327704878724635E-2</v>
      </c>
      <c r="DI70" s="33">
        <f t="shared" ca="1" si="72"/>
        <v>9.2011292622828974E-3</v>
      </c>
      <c r="DJ70" s="33">
        <f t="shared" ca="1" si="72"/>
        <v>1.0848638773241078E-2</v>
      </c>
      <c r="DK70" s="33">
        <f t="shared" ca="1" si="72"/>
        <v>1.1881417398579865E-2</v>
      </c>
      <c r="DL70" s="33">
        <f t="shared" ca="1" si="72"/>
        <v>1.141637287776712E-2</v>
      </c>
      <c r="DM70" s="33">
        <f t="shared" ca="1" si="72"/>
        <v>1.1891374520289886E-2</v>
      </c>
      <c r="DN70" s="33">
        <f t="shared" ca="1" si="72"/>
        <v>9.388937168759718E-3</v>
      </c>
      <c r="DO70" s="12"/>
      <c r="DP70" s="12"/>
      <c r="DQ70" s="12"/>
    </row>
    <row r="71" spans="9:121" x14ac:dyDescent="0.2">
      <c r="I71" s="32">
        <v>46569</v>
      </c>
      <c r="J71" s="33">
        <f t="shared" ca="1" si="73"/>
        <v>1.0133555493483897E-2</v>
      </c>
      <c r="K71" s="9">
        <v>2986.7248319999999</v>
      </c>
      <c r="L71" s="9">
        <f t="shared" ca="1" si="11"/>
        <v>221081.49304995465</v>
      </c>
      <c r="N71" s="6">
        <v>67</v>
      </c>
      <c r="O71" s="5">
        <v>3.7130656822915848</v>
      </c>
      <c r="P71" s="9">
        <v>666129.95151870407</v>
      </c>
      <c r="R71" s="32">
        <v>46569</v>
      </c>
      <c r="S71" s="33">
        <f t="shared" ca="1" si="63"/>
        <v>1.0386445042161411E-2</v>
      </c>
      <c r="T71" s="33">
        <f t="shared" ca="1" si="63"/>
        <v>1.2564095538060762E-2</v>
      </c>
      <c r="U71" s="33">
        <f t="shared" ca="1" si="63"/>
        <v>1.4240833661092626E-2</v>
      </c>
      <c r="V71" s="33">
        <f t="shared" ca="1" si="63"/>
        <v>1.4244525425507484E-2</v>
      </c>
      <c r="W71" s="33">
        <f t="shared" ca="1" si="63"/>
        <v>1.3650475499539919E-2</v>
      </c>
      <c r="X71" s="33">
        <f t="shared" ca="1" si="63"/>
        <v>1.5061034450666278E-2</v>
      </c>
      <c r="Y71" s="33">
        <f t="shared" ca="1" si="63"/>
        <v>8.767001132914596E-3</v>
      </c>
      <c r="Z71" s="33">
        <f t="shared" ca="1" si="63"/>
        <v>8.5783791528268247E-3</v>
      </c>
      <c r="AA71" s="33">
        <f t="shared" ca="1" si="63"/>
        <v>1.1969357287764959E-2</v>
      </c>
      <c r="AB71" s="33">
        <f t="shared" ca="1" si="63"/>
        <v>1.0345883563886892E-2</v>
      </c>
      <c r="AC71" s="33">
        <f t="shared" ca="1" si="64"/>
        <v>1.0329186922231491E-2</v>
      </c>
      <c r="AD71" s="33">
        <f t="shared" ca="1" si="64"/>
        <v>1.2324724368801294E-2</v>
      </c>
      <c r="AE71" s="33">
        <f t="shared" ca="1" si="64"/>
        <v>1.2600085219003302E-2</v>
      </c>
      <c r="AF71" s="33">
        <f t="shared" ca="1" si="64"/>
        <v>1.1360049382257058E-2</v>
      </c>
      <c r="AG71" s="33">
        <f t="shared" ca="1" si="64"/>
        <v>1.3599172022074359E-2</v>
      </c>
      <c r="AH71" s="33">
        <f t="shared" ca="1" si="64"/>
        <v>1.0716656810959542E-2</v>
      </c>
      <c r="AI71" s="33">
        <f t="shared" ca="1" si="64"/>
        <v>1.3573718239530736E-2</v>
      </c>
      <c r="AJ71" s="33">
        <f t="shared" ca="1" si="64"/>
        <v>1.3263311125598993E-2</v>
      </c>
      <c r="AK71" s="33">
        <f t="shared" ca="1" si="64"/>
        <v>1.0996416423301307E-2</v>
      </c>
      <c r="AL71" s="33">
        <f t="shared" ca="1" si="64"/>
        <v>1.1558515603264661E-2</v>
      </c>
      <c r="AM71" s="33">
        <f t="shared" ca="1" si="65"/>
        <v>1.3393595221333938E-2</v>
      </c>
      <c r="AN71" s="33">
        <f t="shared" ca="1" si="65"/>
        <v>1.3276404492045734E-2</v>
      </c>
      <c r="AO71" s="33">
        <f t="shared" ca="1" si="65"/>
        <v>9.9139716988899951E-3</v>
      </c>
      <c r="AP71" s="33">
        <f t="shared" ca="1" si="65"/>
        <v>1.0524138592180939E-2</v>
      </c>
      <c r="AQ71" s="33">
        <f t="shared" ca="1" si="65"/>
        <v>1.4248192174719015E-2</v>
      </c>
      <c r="AR71" s="33">
        <f t="shared" ca="1" si="65"/>
        <v>1.1455425581059768E-2</v>
      </c>
      <c r="AS71" s="33">
        <f t="shared" ca="1" si="65"/>
        <v>1.3547641197630097E-2</v>
      </c>
      <c r="AT71" s="33">
        <f t="shared" ca="1" si="65"/>
        <v>1.0735574278035965E-2</v>
      </c>
      <c r="AU71" s="33">
        <f t="shared" ca="1" si="65"/>
        <v>1.2383973625361392E-2</v>
      </c>
      <c r="AV71" s="33">
        <f t="shared" ca="1" si="65"/>
        <v>1.2407345424219998E-2</v>
      </c>
      <c r="AW71" s="33">
        <f t="shared" ca="1" si="66"/>
        <v>1.1538481706215218E-2</v>
      </c>
      <c r="AX71" s="33">
        <f t="shared" ca="1" si="66"/>
        <v>1.2971394593773678E-2</v>
      </c>
      <c r="AY71" s="33">
        <f t="shared" ca="1" si="66"/>
        <v>8.9886438317615218E-3</v>
      </c>
      <c r="AZ71" s="33">
        <f t="shared" ca="1" si="66"/>
        <v>1.1714069137217311E-2</v>
      </c>
      <c r="BA71" s="33">
        <f t="shared" ca="1" si="66"/>
        <v>1.3913779994167525E-2</v>
      </c>
      <c r="BB71" s="33">
        <f t="shared" ca="1" si="66"/>
        <v>1.0623402726421672E-2</v>
      </c>
      <c r="BC71" s="33">
        <f t="shared" ca="1" si="66"/>
        <v>1.1683829729269573E-2</v>
      </c>
      <c r="BD71" s="33">
        <f t="shared" ca="1" si="66"/>
        <v>1.1975825538288323E-2</v>
      </c>
      <c r="BE71" s="33">
        <f t="shared" ca="1" si="66"/>
        <v>1.1450004720449611E-2</v>
      </c>
      <c r="BF71" s="33">
        <f t="shared" ca="1" si="66"/>
        <v>1.0213812889148868E-2</v>
      </c>
      <c r="BG71" s="33">
        <f t="shared" ca="1" si="67"/>
        <v>1.113065529217176E-2</v>
      </c>
      <c r="BH71" s="33">
        <f t="shared" ca="1" si="67"/>
        <v>1.325181083758104E-2</v>
      </c>
      <c r="BI71" s="33">
        <f t="shared" ca="1" si="67"/>
        <v>9.7645126452755911E-3</v>
      </c>
      <c r="BJ71" s="33">
        <f t="shared" ca="1" si="67"/>
        <v>9.6237856102242142E-3</v>
      </c>
      <c r="BK71" s="33">
        <f t="shared" ca="1" si="67"/>
        <v>1.1485899604143599E-2</v>
      </c>
      <c r="BL71" s="33">
        <f t="shared" ca="1" si="67"/>
        <v>9.9696901786652803E-3</v>
      </c>
      <c r="BM71" s="33">
        <f t="shared" ca="1" si="67"/>
        <v>1.3070956377575391E-2</v>
      </c>
      <c r="BN71" s="33">
        <f t="shared" ca="1" si="67"/>
        <v>1.1754286194536466E-2</v>
      </c>
      <c r="BO71" s="33">
        <f t="shared" ca="1" si="67"/>
        <v>9.0638085432917202E-3</v>
      </c>
      <c r="BP71" s="33">
        <f t="shared" ca="1" si="67"/>
        <v>1.1141741600016972E-2</v>
      </c>
      <c r="BQ71" s="33">
        <f t="shared" ca="1" si="68"/>
        <v>1.0364374340008106E-2</v>
      </c>
      <c r="BR71" s="33">
        <f t="shared" ca="1" si="68"/>
        <v>9.0297828453733912E-3</v>
      </c>
      <c r="BS71" s="33">
        <f t="shared" ca="1" si="68"/>
        <v>1.3358975940986957E-2</v>
      </c>
      <c r="BT71" s="33">
        <f t="shared" ca="1" si="68"/>
        <v>1.127164354841435E-2</v>
      </c>
      <c r="BU71" s="33">
        <f t="shared" ca="1" si="68"/>
        <v>1.1498948858122384E-2</v>
      </c>
      <c r="BV71" s="33">
        <f t="shared" ca="1" si="68"/>
        <v>1.0740097577649217E-2</v>
      </c>
      <c r="BW71" s="33">
        <f t="shared" ca="1" si="68"/>
        <v>1.2627570015390525E-2</v>
      </c>
      <c r="BX71" s="33">
        <f t="shared" ca="1" si="68"/>
        <v>1.1508850107271797E-2</v>
      </c>
      <c r="BY71" s="33">
        <f t="shared" ca="1" si="68"/>
        <v>1.1174239530588014E-2</v>
      </c>
      <c r="BZ71" s="33">
        <f t="shared" ca="1" si="68"/>
        <v>9.6697114862263848E-3</v>
      </c>
      <c r="CA71" s="33">
        <f t="shared" ca="1" si="69"/>
        <v>9.9282319378356139E-3</v>
      </c>
      <c r="CB71" s="33">
        <f t="shared" ca="1" si="69"/>
        <v>1.1534444981815224E-2</v>
      </c>
      <c r="CC71" s="33">
        <f t="shared" ca="1" si="69"/>
        <v>1.261420457663852E-2</v>
      </c>
      <c r="CD71" s="33">
        <f t="shared" ca="1" si="69"/>
        <v>9.7515591419147195E-3</v>
      </c>
      <c r="CE71" s="33">
        <f t="shared" ca="1" si="69"/>
        <v>1.1191625356309161E-2</v>
      </c>
      <c r="CF71" s="33">
        <f t="shared" ca="1" si="69"/>
        <v>1.207520078148513E-2</v>
      </c>
      <c r="CG71" s="33">
        <f t="shared" ca="1" si="69"/>
        <v>1.0867651896608413E-2</v>
      </c>
      <c r="CH71" s="33">
        <f t="shared" ca="1" si="69"/>
        <v>1.4611761488168172E-2</v>
      </c>
      <c r="CI71" s="33">
        <f t="shared" ca="1" si="69"/>
        <v>1.3694024086597449E-2</v>
      </c>
      <c r="CJ71" s="33">
        <f t="shared" ca="1" si="69"/>
        <v>1.1504958989998166E-2</v>
      </c>
      <c r="CK71" s="33">
        <f t="shared" ca="1" si="70"/>
        <v>1.079394539462532E-2</v>
      </c>
      <c r="CL71" s="33">
        <f t="shared" ca="1" si="70"/>
        <v>1.315583211257336E-2</v>
      </c>
      <c r="CM71" s="33">
        <f t="shared" ca="1" si="70"/>
        <v>1.0495686480095063E-2</v>
      </c>
      <c r="CN71" s="33">
        <f t="shared" ca="1" si="70"/>
        <v>9.5614875843512259E-3</v>
      </c>
      <c r="CO71" s="33">
        <f t="shared" ca="1" si="70"/>
        <v>1.2023598500409008E-2</v>
      </c>
      <c r="CP71" s="33">
        <f t="shared" ca="1" si="70"/>
        <v>1.1768590193157862E-2</v>
      </c>
      <c r="CQ71" s="33">
        <f t="shared" ca="1" si="70"/>
        <v>1.1289679101896719E-2</v>
      </c>
      <c r="CR71" s="33">
        <f t="shared" ca="1" si="70"/>
        <v>1.2203287044956511E-2</v>
      </c>
      <c r="CS71" s="33">
        <f t="shared" ca="1" si="70"/>
        <v>1.1806859750290456E-2</v>
      </c>
      <c r="CT71" s="33">
        <f t="shared" ca="1" si="70"/>
        <v>1.3573167106250759E-2</v>
      </c>
      <c r="CU71" s="33">
        <f t="shared" ca="1" si="71"/>
        <v>1.3078751296584683E-2</v>
      </c>
      <c r="CV71" s="33">
        <f t="shared" ca="1" si="71"/>
        <v>1.2380224626648015E-2</v>
      </c>
      <c r="CW71" s="33">
        <f t="shared" ca="1" si="71"/>
        <v>1.0689134764215305E-2</v>
      </c>
      <c r="CX71" s="33">
        <f t="shared" ca="1" si="71"/>
        <v>1.3352128260593369E-2</v>
      </c>
      <c r="CY71" s="33">
        <f t="shared" ca="1" si="71"/>
        <v>1.3210979679003386E-2</v>
      </c>
      <c r="CZ71" s="33">
        <f t="shared" ca="1" si="71"/>
        <v>1.1393633714163479E-2</v>
      </c>
      <c r="DA71" s="33">
        <f t="shared" ca="1" si="71"/>
        <v>8.5044483994467564E-3</v>
      </c>
      <c r="DB71" s="33">
        <f t="shared" ca="1" si="71"/>
        <v>1.1535250930926343E-2</v>
      </c>
      <c r="DC71" s="33">
        <f t="shared" ca="1" si="71"/>
        <v>1.3078580676001482E-2</v>
      </c>
      <c r="DD71" s="33">
        <f t="shared" ca="1" si="71"/>
        <v>9.8832524133255321E-3</v>
      </c>
      <c r="DE71" s="33">
        <f t="shared" ca="1" si="72"/>
        <v>1.0186084038020748E-2</v>
      </c>
      <c r="DF71" s="33">
        <f t="shared" ca="1" si="72"/>
        <v>1.3896370287556815E-2</v>
      </c>
      <c r="DG71" s="33">
        <f t="shared" ca="1" si="72"/>
        <v>1.0249808098288134E-2</v>
      </c>
      <c r="DH71" s="33">
        <f t="shared" ca="1" si="72"/>
        <v>1.1021411355243399E-2</v>
      </c>
      <c r="DI71" s="33">
        <f t="shared" ca="1" si="72"/>
        <v>1.1503563741749713E-2</v>
      </c>
      <c r="DJ71" s="33">
        <f t="shared" ca="1" si="72"/>
        <v>1.0026289327770509E-2</v>
      </c>
      <c r="DK71" s="33">
        <f t="shared" ca="1" si="72"/>
        <v>8.5594111997451625E-3</v>
      </c>
      <c r="DL71" s="33">
        <f t="shared" ca="1" si="72"/>
        <v>1.0651084869833637E-2</v>
      </c>
      <c r="DM71" s="33">
        <f t="shared" ca="1" si="72"/>
        <v>1.1386050095350569E-2</v>
      </c>
      <c r="DN71" s="33">
        <f t="shared" ca="1" si="72"/>
        <v>8.8929683351596928E-3</v>
      </c>
      <c r="DO71" s="12"/>
      <c r="DP71" s="12"/>
      <c r="DQ71" s="12"/>
    </row>
    <row r="72" spans="9:121" x14ac:dyDescent="0.2">
      <c r="I72" s="32">
        <v>46600</v>
      </c>
      <c r="J72" s="33">
        <f t="shared" ca="1" si="73"/>
        <v>1.0058425368375191E-2</v>
      </c>
      <c r="K72" s="9">
        <v>2986.7248319999999</v>
      </c>
      <c r="L72" s="9">
        <f t="shared" ca="1" si="11"/>
        <v>226303.17079080283</v>
      </c>
      <c r="N72" s="6">
        <v>68</v>
      </c>
      <c r="O72" s="5">
        <v>4.0773808279444905</v>
      </c>
      <c r="P72" s="9">
        <v>694598.80211570964</v>
      </c>
      <c r="R72" s="32">
        <v>46600</v>
      </c>
      <c r="S72" s="33">
        <f t="shared" ca="1" si="63"/>
        <v>9.8719601286046538E-3</v>
      </c>
      <c r="T72" s="33">
        <f t="shared" ca="1" si="63"/>
        <v>9.6703544788801898E-3</v>
      </c>
      <c r="U72" s="33">
        <f t="shared" ca="1" si="63"/>
        <v>1.0404510264295978E-2</v>
      </c>
      <c r="V72" s="33">
        <f t="shared" ca="1" si="63"/>
        <v>1.0798314405835004E-2</v>
      </c>
      <c r="W72" s="33">
        <f t="shared" ca="1" si="63"/>
        <v>1.0230576180063958E-2</v>
      </c>
      <c r="X72" s="33">
        <f t="shared" ca="1" si="63"/>
        <v>9.6867877292671628E-3</v>
      </c>
      <c r="Y72" s="33">
        <f t="shared" ca="1" si="63"/>
        <v>1.2737398432516226E-2</v>
      </c>
      <c r="Z72" s="33">
        <f t="shared" ca="1" si="63"/>
        <v>1.1360727417148631E-2</v>
      </c>
      <c r="AA72" s="33">
        <f t="shared" ca="1" si="63"/>
        <v>1.1084306143193898E-2</v>
      </c>
      <c r="AB72" s="33">
        <f t="shared" ca="1" si="63"/>
        <v>1.1299497054824196E-2</v>
      </c>
      <c r="AC72" s="33">
        <f t="shared" ca="1" si="64"/>
        <v>1.0766682030126609E-2</v>
      </c>
      <c r="AD72" s="33">
        <f t="shared" ca="1" si="64"/>
        <v>1.0750568369189351E-2</v>
      </c>
      <c r="AE72" s="33">
        <f t="shared" ca="1" si="64"/>
        <v>1.3313933962552879E-2</v>
      </c>
      <c r="AF72" s="33">
        <f t="shared" ca="1" si="64"/>
        <v>1.30210304350781E-2</v>
      </c>
      <c r="AG72" s="33">
        <f t="shared" ca="1" si="64"/>
        <v>1.3401573431565974E-2</v>
      </c>
      <c r="AH72" s="33">
        <f t="shared" ca="1" si="64"/>
        <v>1.241953367445104E-2</v>
      </c>
      <c r="AI72" s="33">
        <f t="shared" ca="1" si="64"/>
        <v>9.6645769254795795E-3</v>
      </c>
      <c r="AJ72" s="33">
        <f t="shared" ca="1" si="64"/>
        <v>1.0644605641726982E-2</v>
      </c>
      <c r="AK72" s="33">
        <f t="shared" ca="1" si="64"/>
        <v>9.6429770211493605E-3</v>
      </c>
      <c r="AL72" s="33">
        <f t="shared" ca="1" si="64"/>
        <v>1.1403036025948266E-2</v>
      </c>
      <c r="AM72" s="33">
        <f t="shared" ca="1" si="65"/>
        <v>1.0265413527878551E-2</v>
      </c>
      <c r="AN72" s="33">
        <f t="shared" ca="1" si="65"/>
        <v>1.4728994556245727E-2</v>
      </c>
      <c r="AO72" s="33">
        <f t="shared" ca="1" si="65"/>
        <v>1.0114886040923261E-2</v>
      </c>
      <c r="AP72" s="33">
        <f t="shared" ca="1" si="65"/>
        <v>1.0407881634029356E-2</v>
      </c>
      <c r="AQ72" s="33">
        <f t="shared" ca="1" si="65"/>
        <v>1.1852665343676889E-2</v>
      </c>
      <c r="AR72" s="33">
        <f t="shared" ca="1" si="65"/>
        <v>1.1562219699840635E-2</v>
      </c>
      <c r="AS72" s="33">
        <f t="shared" ca="1" si="65"/>
        <v>1.0329452332648301E-2</v>
      </c>
      <c r="AT72" s="33">
        <f t="shared" ca="1" si="65"/>
        <v>8.3857402507063923E-3</v>
      </c>
      <c r="AU72" s="33">
        <f t="shared" ca="1" si="65"/>
        <v>8.9884391364896989E-3</v>
      </c>
      <c r="AV72" s="33">
        <f t="shared" ca="1" si="65"/>
        <v>1.0769335150028796E-2</v>
      </c>
      <c r="AW72" s="33">
        <f t="shared" ca="1" si="66"/>
        <v>1.2145572957886864E-2</v>
      </c>
      <c r="AX72" s="33">
        <f t="shared" ca="1" si="66"/>
        <v>1.1092110050240323E-2</v>
      </c>
      <c r="AY72" s="33">
        <f t="shared" ca="1" si="66"/>
        <v>1.3584879064609643E-2</v>
      </c>
      <c r="AZ72" s="33">
        <f t="shared" ca="1" si="66"/>
        <v>1.1508773664941919E-2</v>
      </c>
      <c r="BA72" s="33">
        <f t="shared" ca="1" si="66"/>
        <v>7.8393320595923112E-3</v>
      </c>
      <c r="BB72" s="33">
        <f t="shared" ca="1" si="66"/>
        <v>1.3923090293214813E-2</v>
      </c>
      <c r="BC72" s="33">
        <f t="shared" ca="1" si="66"/>
        <v>1.1438346191656103E-2</v>
      </c>
      <c r="BD72" s="33">
        <f t="shared" ca="1" si="66"/>
        <v>1.0868480629677241E-2</v>
      </c>
      <c r="BE72" s="33">
        <f t="shared" ca="1" si="66"/>
        <v>1.0616158377187787E-2</v>
      </c>
      <c r="BF72" s="33">
        <f t="shared" ca="1" si="66"/>
        <v>1.1326422151061204E-2</v>
      </c>
      <c r="BG72" s="33">
        <f t="shared" ca="1" si="67"/>
        <v>1.0836799156658144E-2</v>
      </c>
      <c r="BH72" s="33">
        <f t="shared" ca="1" si="67"/>
        <v>1.2064818142693712E-2</v>
      </c>
      <c r="BI72" s="33">
        <f t="shared" ca="1" si="67"/>
        <v>1.0070485187072447E-2</v>
      </c>
      <c r="BJ72" s="33">
        <f t="shared" ca="1" si="67"/>
        <v>1.0487507813184608E-2</v>
      </c>
      <c r="BK72" s="33">
        <f t="shared" ca="1" si="67"/>
        <v>1.2133384589877448E-2</v>
      </c>
      <c r="BL72" s="33">
        <f t="shared" ca="1" si="67"/>
        <v>1.0557428060140752E-2</v>
      </c>
      <c r="BM72" s="33">
        <f t="shared" ca="1" si="67"/>
        <v>1.3977159391726059E-2</v>
      </c>
      <c r="BN72" s="33">
        <f t="shared" ca="1" si="67"/>
        <v>9.301302188499342E-3</v>
      </c>
      <c r="BO72" s="33">
        <f t="shared" ca="1" si="67"/>
        <v>8.5712856823506288E-3</v>
      </c>
      <c r="BP72" s="33">
        <f t="shared" ca="1" si="67"/>
        <v>1.0980913630610514E-2</v>
      </c>
      <c r="BQ72" s="33">
        <f t="shared" ca="1" si="68"/>
        <v>1.2074020382379941E-2</v>
      </c>
      <c r="BR72" s="33">
        <f t="shared" ca="1" si="68"/>
        <v>1.3106037653268107E-2</v>
      </c>
      <c r="BS72" s="33">
        <f t="shared" ca="1" si="68"/>
        <v>1.1522098284981803E-2</v>
      </c>
      <c r="BT72" s="33">
        <f t="shared" ca="1" si="68"/>
        <v>1.0671459102498894E-2</v>
      </c>
      <c r="BU72" s="33">
        <f t="shared" ca="1" si="68"/>
        <v>8.9250612956591219E-3</v>
      </c>
      <c r="BV72" s="33">
        <f t="shared" ca="1" si="68"/>
        <v>8.7398530701952165E-3</v>
      </c>
      <c r="BW72" s="33">
        <f t="shared" ca="1" si="68"/>
        <v>1.1467671878989106E-2</v>
      </c>
      <c r="BX72" s="33">
        <f t="shared" ca="1" si="68"/>
        <v>1.2422839799951884E-2</v>
      </c>
      <c r="BY72" s="33">
        <f t="shared" ca="1" si="68"/>
        <v>9.398927820793393E-3</v>
      </c>
      <c r="BZ72" s="33">
        <f t="shared" ca="1" si="68"/>
        <v>1.1083452898938192E-2</v>
      </c>
      <c r="CA72" s="33">
        <f t="shared" ca="1" si="69"/>
        <v>1.0733876830599972E-2</v>
      </c>
      <c r="CB72" s="33">
        <f t="shared" ca="1" si="69"/>
        <v>1.0172267454201444E-2</v>
      </c>
      <c r="CC72" s="33">
        <f t="shared" ca="1" si="69"/>
        <v>1.0676181217484563E-2</v>
      </c>
      <c r="CD72" s="33">
        <f t="shared" ca="1" si="69"/>
        <v>1.2749549286137019E-2</v>
      </c>
      <c r="CE72" s="33">
        <f t="shared" ca="1" si="69"/>
        <v>9.9971420555225298E-3</v>
      </c>
      <c r="CF72" s="33">
        <f t="shared" ca="1" si="69"/>
        <v>1.1423621849577424E-2</v>
      </c>
      <c r="CG72" s="33">
        <f t="shared" ca="1" si="69"/>
        <v>1.5270574554336825E-2</v>
      </c>
      <c r="CH72" s="33">
        <f t="shared" ca="1" si="69"/>
        <v>1.059712521105405E-2</v>
      </c>
      <c r="CI72" s="33">
        <f t="shared" ca="1" si="69"/>
        <v>1.0630690954606043E-2</v>
      </c>
      <c r="CJ72" s="33">
        <f t="shared" ca="1" si="69"/>
        <v>1.0590899506728858E-2</v>
      </c>
      <c r="CK72" s="33">
        <f t="shared" ca="1" si="70"/>
        <v>1.2029682361671302E-2</v>
      </c>
      <c r="CL72" s="33">
        <f t="shared" ca="1" si="70"/>
        <v>1.5407367301158135E-2</v>
      </c>
      <c r="CM72" s="33">
        <f t="shared" ca="1" si="70"/>
        <v>1.0464620817524762E-2</v>
      </c>
      <c r="CN72" s="33">
        <f t="shared" ca="1" si="70"/>
        <v>1.3020241754800734E-2</v>
      </c>
      <c r="CO72" s="33">
        <f t="shared" ca="1" si="70"/>
        <v>1.1369724452892088E-2</v>
      </c>
      <c r="CP72" s="33">
        <f t="shared" ca="1" si="70"/>
        <v>1.3118547020973587E-2</v>
      </c>
      <c r="CQ72" s="33">
        <f t="shared" ca="1" si="70"/>
        <v>1.3696888461663101E-2</v>
      </c>
      <c r="CR72" s="33">
        <f t="shared" ca="1" si="70"/>
        <v>9.7960675881104825E-3</v>
      </c>
      <c r="CS72" s="33">
        <f t="shared" ca="1" si="70"/>
        <v>1.2815763414281979E-2</v>
      </c>
      <c r="CT72" s="33">
        <f t="shared" ca="1" si="70"/>
        <v>1.1989991296098223E-2</v>
      </c>
      <c r="CU72" s="33">
        <f t="shared" ca="1" si="71"/>
        <v>1.120582817055317E-2</v>
      </c>
      <c r="CV72" s="33">
        <f t="shared" ca="1" si="71"/>
        <v>1.0513600366297105E-2</v>
      </c>
      <c r="CW72" s="33">
        <f t="shared" ca="1" si="71"/>
        <v>1.0393692737331577E-2</v>
      </c>
      <c r="CX72" s="33">
        <f t="shared" ca="1" si="71"/>
        <v>8.9924945460869432E-3</v>
      </c>
      <c r="CY72" s="33">
        <f t="shared" ca="1" si="71"/>
        <v>1.2141264202369649E-2</v>
      </c>
      <c r="CZ72" s="33">
        <f t="shared" ca="1" si="71"/>
        <v>7.6179424862283986E-3</v>
      </c>
      <c r="DA72" s="33">
        <f t="shared" ca="1" si="71"/>
        <v>1.3645490297159946E-2</v>
      </c>
      <c r="DB72" s="33">
        <f t="shared" ca="1" si="71"/>
        <v>1.3105639035102134E-2</v>
      </c>
      <c r="DC72" s="33">
        <f t="shared" ca="1" si="71"/>
        <v>1.2406985110467953E-2</v>
      </c>
      <c r="DD72" s="33">
        <f t="shared" ca="1" si="71"/>
        <v>1.0840847040200509E-2</v>
      </c>
      <c r="DE72" s="33">
        <f t="shared" ca="1" si="72"/>
        <v>1.0438890041383774E-2</v>
      </c>
      <c r="DF72" s="33">
        <f t="shared" ca="1" si="72"/>
        <v>1.0544588303252131E-2</v>
      </c>
      <c r="DG72" s="33">
        <f t="shared" ca="1" si="72"/>
        <v>1.2551393964669149E-2</v>
      </c>
      <c r="DH72" s="33">
        <f t="shared" ca="1" si="72"/>
        <v>1.1760880187664278E-2</v>
      </c>
      <c r="DI72" s="33">
        <f t="shared" ca="1" si="72"/>
        <v>1.1830154835811941E-2</v>
      </c>
      <c r="DJ72" s="33">
        <f t="shared" ca="1" si="72"/>
        <v>1.2418361111464785E-2</v>
      </c>
      <c r="DK72" s="33">
        <f t="shared" ca="1" si="72"/>
        <v>9.8354843942443961E-3</v>
      </c>
      <c r="DL72" s="33">
        <f t="shared" ca="1" si="72"/>
        <v>1.0796736149237828E-2</v>
      </c>
      <c r="DM72" s="33">
        <f t="shared" ca="1" si="72"/>
        <v>1.2182273843500019E-2</v>
      </c>
      <c r="DN72" s="33">
        <f t="shared" ca="1" si="72"/>
        <v>9.5961402397090334E-3</v>
      </c>
      <c r="DO72" s="12"/>
      <c r="DP72" s="12"/>
      <c r="DQ72" s="12"/>
    </row>
    <row r="73" spans="9:121" x14ac:dyDescent="0.2">
      <c r="I73" s="32">
        <v>46631</v>
      </c>
      <c r="J73" s="33">
        <f t="shared" ca="1" si="73"/>
        <v>1.4103193787200622E-2</v>
      </c>
      <c r="K73" s="9">
        <v>2986.7248319999999</v>
      </c>
      <c r="L73" s="9">
        <f t="shared" ref="L73:L125" ca="1" si="74">L72*EXP(J73)+K73</f>
        <v>232504.10512953045</v>
      </c>
      <c r="N73" s="6">
        <v>69</v>
      </c>
      <c r="O73" s="5">
        <v>3.9273565065696459</v>
      </c>
      <c r="P73" s="9">
        <v>675479.45096140658</v>
      </c>
      <c r="R73" s="32">
        <v>46631</v>
      </c>
      <c r="S73" s="33">
        <f t="shared" ca="1" si="63"/>
        <v>1.2840240368115912E-2</v>
      </c>
      <c r="T73" s="33">
        <f t="shared" ca="1" si="63"/>
        <v>1.2127806211221887E-2</v>
      </c>
      <c r="U73" s="33">
        <f t="shared" ca="1" si="63"/>
        <v>9.1379715452675446E-3</v>
      </c>
      <c r="V73" s="33">
        <f t="shared" ca="1" si="63"/>
        <v>1.3925210760144198E-2</v>
      </c>
      <c r="W73" s="33">
        <f t="shared" ca="1" si="63"/>
        <v>1.1755566505555015E-2</v>
      </c>
      <c r="X73" s="33">
        <f t="shared" ca="1" si="63"/>
        <v>1.2039178909899334E-2</v>
      </c>
      <c r="Y73" s="33">
        <f t="shared" ca="1" si="63"/>
        <v>1.1991345476124788E-2</v>
      </c>
      <c r="Z73" s="33">
        <f t="shared" ca="1" si="63"/>
        <v>1.3681572700719975E-2</v>
      </c>
      <c r="AA73" s="33">
        <f t="shared" ca="1" si="63"/>
        <v>1.0852480753652324E-2</v>
      </c>
      <c r="AB73" s="33">
        <f t="shared" ca="1" si="63"/>
        <v>1.2251802185906293E-2</v>
      </c>
      <c r="AC73" s="33">
        <f t="shared" ca="1" si="64"/>
        <v>1.054934738592421E-2</v>
      </c>
      <c r="AD73" s="33">
        <f t="shared" ca="1" si="64"/>
        <v>1.0872366714652847E-2</v>
      </c>
      <c r="AE73" s="33">
        <f t="shared" ca="1" si="64"/>
        <v>1.2384125065650039E-2</v>
      </c>
      <c r="AF73" s="33">
        <f t="shared" ca="1" si="64"/>
        <v>1.0703893956998962E-2</v>
      </c>
      <c r="AG73" s="33">
        <f t="shared" ca="1" si="64"/>
        <v>1.2756580040551264E-2</v>
      </c>
      <c r="AH73" s="33">
        <f t="shared" ca="1" si="64"/>
        <v>1.0540628111859284E-2</v>
      </c>
      <c r="AI73" s="33">
        <f t="shared" ca="1" si="64"/>
        <v>1.4116947977211827E-2</v>
      </c>
      <c r="AJ73" s="33">
        <f t="shared" ca="1" si="64"/>
        <v>9.263588633213608E-3</v>
      </c>
      <c r="AK73" s="33">
        <f t="shared" ca="1" si="64"/>
        <v>1.0815393208774223E-2</v>
      </c>
      <c r="AL73" s="33">
        <f t="shared" ca="1" si="64"/>
        <v>1.0047264944463235E-2</v>
      </c>
      <c r="AM73" s="33">
        <f t="shared" ca="1" si="65"/>
        <v>1.1025832136331824E-2</v>
      </c>
      <c r="AN73" s="33">
        <f t="shared" ca="1" si="65"/>
        <v>1.2446550862281476E-2</v>
      </c>
      <c r="AO73" s="33">
        <f t="shared" ca="1" si="65"/>
        <v>1.0169390393138682E-2</v>
      </c>
      <c r="AP73" s="33">
        <f t="shared" ca="1" si="65"/>
        <v>1.0759085009457313E-2</v>
      </c>
      <c r="AQ73" s="33">
        <f t="shared" ca="1" si="65"/>
        <v>1.0842344709966362E-2</v>
      </c>
      <c r="AR73" s="33">
        <f t="shared" ca="1" si="65"/>
        <v>1.2258043871909418E-2</v>
      </c>
      <c r="AS73" s="33">
        <f t="shared" ca="1" si="65"/>
        <v>1.1587089999822093E-2</v>
      </c>
      <c r="AT73" s="33">
        <f t="shared" ca="1" si="65"/>
        <v>1.3397403067735569E-2</v>
      </c>
      <c r="AU73" s="33">
        <f t="shared" ca="1" si="65"/>
        <v>1.1499502657255474E-2</v>
      </c>
      <c r="AV73" s="33">
        <f t="shared" ca="1" si="65"/>
        <v>1.0369076508472323E-2</v>
      </c>
      <c r="AW73" s="33">
        <f t="shared" ca="1" si="66"/>
        <v>1.1579344136578336E-2</v>
      </c>
      <c r="AX73" s="33">
        <f t="shared" ca="1" si="66"/>
        <v>1.2181694482312754E-2</v>
      </c>
      <c r="AY73" s="33">
        <f t="shared" ca="1" si="66"/>
        <v>1.1245753231788974E-2</v>
      </c>
      <c r="AZ73" s="33">
        <f t="shared" ca="1" si="66"/>
        <v>1.1154404880292706E-2</v>
      </c>
      <c r="BA73" s="33">
        <f t="shared" ca="1" si="66"/>
        <v>1.1316523065951368E-2</v>
      </c>
      <c r="BB73" s="33">
        <f t="shared" ca="1" si="66"/>
        <v>1.2782604835125002E-2</v>
      </c>
      <c r="BC73" s="33">
        <f t="shared" ca="1" si="66"/>
        <v>1.0276580367706161E-2</v>
      </c>
      <c r="BD73" s="33">
        <f t="shared" ca="1" si="66"/>
        <v>1.1641864459795695E-2</v>
      </c>
      <c r="BE73" s="33">
        <f t="shared" ca="1" si="66"/>
        <v>1.1859793578779249E-2</v>
      </c>
      <c r="BF73" s="33">
        <f t="shared" ca="1" si="66"/>
        <v>1.0758120831674232E-2</v>
      </c>
      <c r="BG73" s="33">
        <f t="shared" ca="1" si="67"/>
        <v>1.1599253897609942E-2</v>
      </c>
      <c r="BH73" s="33">
        <f t="shared" ca="1" si="67"/>
        <v>1.3392523914992805E-2</v>
      </c>
      <c r="BI73" s="33">
        <f t="shared" ca="1" si="67"/>
        <v>1.1844968329918317E-2</v>
      </c>
      <c r="BJ73" s="33">
        <f t="shared" ca="1" si="67"/>
        <v>9.0986463219435466E-3</v>
      </c>
      <c r="BK73" s="33">
        <f t="shared" ca="1" si="67"/>
        <v>1.1814587255900106E-2</v>
      </c>
      <c r="BL73" s="33">
        <f t="shared" ca="1" si="67"/>
        <v>1.209700003466287E-2</v>
      </c>
      <c r="BM73" s="33">
        <f t="shared" ca="1" si="67"/>
        <v>1.2126709548310008E-2</v>
      </c>
      <c r="BN73" s="33">
        <f t="shared" ca="1" si="67"/>
        <v>1.0621712498337503E-2</v>
      </c>
      <c r="BO73" s="33">
        <f t="shared" ca="1" si="67"/>
        <v>1.0021209160959835E-2</v>
      </c>
      <c r="BP73" s="33">
        <f t="shared" ca="1" si="67"/>
        <v>1.2032526102883197E-2</v>
      </c>
      <c r="BQ73" s="33">
        <f t="shared" ca="1" si="68"/>
        <v>1.1581967849854987E-2</v>
      </c>
      <c r="BR73" s="33">
        <f t="shared" ca="1" si="68"/>
        <v>1.0656797947513284E-2</v>
      </c>
      <c r="BS73" s="33">
        <f t="shared" ca="1" si="68"/>
        <v>1.1036946061282773E-2</v>
      </c>
      <c r="BT73" s="33">
        <f t="shared" ca="1" si="68"/>
        <v>1.4923868069642588E-2</v>
      </c>
      <c r="BU73" s="33">
        <f t="shared" ca="1" si="68"/>
        <v>1.301326722539981E-2</v>
      </c>
      <c r="BV73" s="33">
        <f t="shared" ca="1" si="68"/>
        <v>1.1787611620223216E-2</v>
      </c>
      <c r="BW73" s="33">
        <f t="shared" ca="1" si="68"/>
        <v>9.4111891823465393E-3</v>
      </c>
      <c r="BX73" s="33">
        <f t="shared" ca="1" si="68"/>
        <v>1.13309562388644E-2</v>
      </c>
      <c r="BY73" s="33">
        <f t="shared" ca="1" si="68"/>
        <v>1.3008965813836301E-2</v>
      </c>
      <c r="BZ73" s="33">
        <f t="shared" ca="1" si="68"/>
        <v>1.2847537928216909E-2</v>
      </c>
      <c r="CA73" s="33">
        <f t="shared" ca="1" si="69"/>
        <v>1.05083996316877E-2</v>
      </c>
      <c r="CB73" s="33">
        <f t="shared" ca="1" si="69"/>
        <v>1.2077405064968629E-2</v>
      </c>
      <c r="CC73" s="33">
        <f t="shared" ca="1" si="69"/>
        <v>1.04804021977856E-2</v>
      </c>
      <c r="CD73" s="33">
        <f t="shared" ca="1" si="69"/>
        <v>7.7662755223348312E-3</v>
      </c>
      <c r="CE73" s="33">
        <f t="shared" ca="1" si="69"/>
        <v>1.2147741206277712E-2</v>
      </c>
      <c r="CF73" s="33">
        <f t="shared" ca="1" si="69"/>
        <v>1.2099252908770163E-2</v>
      </c>
      <c r="CG73" s="33">
        <f t="shared" ca="1" si="69"/>
        <v>1.3113776426246639E-2</v>
      </c>
      <c r="CH73" s="33">
        <f t="shared" ca="1" si="69"/>
        <v>1.125936622368464E-2</v>
      </c>
      <c r="CI73" s="33">
        <f t="shared" ca="1" si="69"/>
        <v>1.2656132933341297E-2</v>
      </c>
      <c r="CJ73" s="33">
        <f t="shared" ca="1" si="69"/>
        <v>1.1328146741408364E-2</v>
      </c>
      <c r="CK73" s="33">
        <f t="shared" ca="1" si="70"/>
        <v>1.0189360045572114E-2</v>
      </c>
      <c r="CL73" s="33">
        <f t="shared" ca="1" si="70"/>
        <v>1.0078930838054107E-2</v>
      </c>
      <c r="CM73" s="33">
        <f t="shared" ca="1" si="70"/>
        <v>9.2036579014339558E-3</v>
      </c>
      <c r="CN73" s="33">
        <f t="shared" ca="1" si="70"/>
        <v>1.0010681219519027E-2</v>
      </c>
      <c r="CO73" s="33">
        <f t="shared" ca="1" si="70"/>
        <v>1.3654769938575466E-2</v>
      </c>
      <c r="CP73" s="33">
        <f t="shared" ca="1" si="70"/>
        <v>1.1811617199520744E-2</v>
      </c>
      <c r="CQ73" s="33">
        <f t="shared" ca="1" si="70"/>
        <v>1.1907278725901589E-2</v>
      </c>
      <c r="CR73" s="33">
        <f t="shared" ca="1" si="70"/>
        <v>1.0656521635243164E-2</v>
      </c>
      <c r="CS73" s="33">
        <f t="shared" ca="1" si="70"/>
        <v>1.2029150716735493E-2</v>
      </c>
      <c r="CT73" s="33">
        <f t="shared" ca="1" si="70"/>
        <v>1.13368537301195E-2</v>
      </c>
      <c r="CU73" s="33">
        <f t="shared" ca="1" si="71"/>
        <v>1.0286158495574476E-2</v>
      </c>
      <c r="CV73" s="33">
        <f t="shared" ca="1" si="71"/>
        <v>1.353012968627499E-2</v>
      </c>
      <c r="CW73" s="33">
        <f t="shared" ca="1" si="71"/>
        <v>1.2797227258417469E-2</v>
      </c>
      <c r="CX73" s="33">
        <f t="shared" ca="1" si="71"/>
        <v>1.042232536143517E-2</v>
      </c>
      <c r="CY73" s="33">
        <f t="shared" ca="1" si="71"/>
        <v>1.1370203909231307E-2</v>
      </c>
      <c r="CZ73" s="33">
        <f t="shared" ca="1" si="71"/>
        <v>1.35764786819238E-2</v>
      </c>
      <c r="DA73" s="33">
        <f t="shared" ca="1" si="71"/>
        <v>1.1731558824935973E-2</v>
      </c>
      <c r="DB73" s="33">
        <f t="shared" ca="1" si="71"/>
        <v>1.1198380469519811E-2</v>
      </c>
      <c r="DC73" s="33">
        <f t="shared" ca="1" si="71"/>
        <v>8.9023352462218527E-3</v>
      </c>
      <c r="DD73" s="33">
        <f t="shared" ca="1" si="71"/>
        <v>1.3752841642849199E-2</v>
      </c>
      <c r="DE73" s="33">
        <f t="shared" ca="1" si="72"/>
        <v>1.3296619259928805E-2</v>
      </c>
      <c r="DF73" s="33">
        <f t="shared" ca="1" si="72"/>
        <v>1.2016033549419002E-2</v>
      </c>
      <c r="DG73" s="33">
        <f t="shared" ca="1" si="72"/>
        <v>1.0962831898751815E-2</v>
      </c>
      <c r="DH73" s="33">
        <f t="shared" ca="1" si="72"/>
        <v>1.1072149141295756E-2</v>
      </c>
      <c r="DI73" s="33">
        <f t="shared" ca="1" si="72"/>
        <v>1.2077665936227975E-2</v>
      </c>
      <c r="DJ73" s="33">
        <f t="shared" ca="1" si="72"/>
        <v>1.2644854296048629E-2</v>
      </c>
      <c r="DK73" s="33">
        <f t="shared" ca="1" si="72"/>
        <v>1.0798252861983106E-2</v>
      </c>
      <c r="DL73" s="33">
        <f t="shared" ca="1" si="72"/>
        <v>9.6548941106770585E-3</v>
      </c>
      <c r="DM73" s="33">
        <f t="shared" ca="1" si="72"/>
        <v>1.0292486357408984E-2</v>
      </c>
      <c r="DN73" s="33">
        <f t="shared" ca="1" si="72"/>
        <v>8.1513982950855851E-3</v>
      </c>
      <c r="DO73" s="12"/>
      <c r="DP73" s="12"/>
      <c r="DQ73" s="12"/>
    </row>
    <row r="74" spans="9:121" x14ac:dyDescent="0.2">
      <c r="I74" s="32">
        <v>46661</v>
      </c>
      <c r="J74" s="33">
        <f t="shared" ca="1" si="73"/>
        <v>1.3881449827175166E-2</v>
      </c>
      <c r="K74" s="9">
        <v>2986.7248319999999</v>
      </c>
      <c r="L74" s="9">
        <f t="shared" ca="1" si="74"/>
        <v>238740.82919418727</v>
      </c>
      <c r="N74" s="6">
        <v>70</v>
      </c>
      <c r="O74" s="5">
        <v>3.9741436512210893</v>
      </c>
      <c r="P74" s="9">
        <v>688823.62680178252</v>
      </c>
      <c r="R74" s="32">
        <v>46661</v>
      </c>
      <c r="S74" s="33">
        <f t="shared" ca="1" si="63"/>
        <v>1.3733981176493342E-2</v>
      </c>
      <c r="T74" s="33">
        <f t="shared" ca="1" si="63"/>
        <v>1.0931279227396781E-2</v>
      </c>
      <c r="U74" s="33">
        <f t="shared" ca="1" si="63"/>
        <v>1.0877146888158157E-2</v>
      </c>
      <c r="V74" s="33">
        <f t="shared" ca="1" si="63"/>
        <v>1.201964288714296E-2</v>
      </c>
      <c r="W74" s="33">
        <f t="shared" ca="1" si="63"/>
        <v>9.0075018468927862E-3</v>
      </c>
      <c r="X74" s="33">
        <f t="shared" ca="1" si="63"/>
        <v>9.6499292983889262E-3</v>
      </c>
      <c r="Y74" s="33">
        <f t="shared" ca="1" si="63"/>
        <v>1.2753667934057534E-2</v>
      </c>
      <c r="Z74" s="33">
        <f t="shared" ca="1" si="63"/>
        <v>1.1778317521166209E-2</v>
      </c>
      <c r="AA74" s="33">
        <f t="shared" ca="1" si="63"/>
        <v>9.6395595989579256E-3</v>
      </c>
      <c r="AB74" s="33">
        <f t="shared" ca="1" si="63"/>
        <v>1.3227645476072259E-2</v>
      </c>
      <c r="AC74" s="33">
        <f t="shared" ca="1" si="64"/>
        <v>1.1006706500567311E-2</v>
      </c>
      <c r="AD74" s="33">
        <f t="shared" ca="1" si="64"/>
        <v>1.2295611805798648E-2</v>
      </c>
      <c r="AE74" s="33">
        <f t="shared" ca="1" si="64"/>
        <v>1.1776730622336055E-2</v>
      </c>
      <c r="AF74" s="33">
        <f t="shared" ca="1" si="64"/>
        <v>1.425759070837368E-2</v>
      </c>
      <c r="AG74" s="33">
        <f t="shared" ca="1" si="64"/>
        <v>1.0640267116463176E-2</v>
      </c>
      <c r="AH74" s="33">
        <f t="shared" ca="1" si="64"/>
        <v>6.9008046408250623E-3</v>
      </c>
      <c r="AI74" s="33">
        <f t="shared" ca="1" si="64"/>
        <v>1.4791023189156488E-2</v>
      </c>
      <c r="AJ74" s="33">
        <f t="shared" ca="1" si="64"/>
        <v>1.1877303276890202E-2</v>
      </c>
      <c r="AK74" s="33">
        <f t="shared" ca="1" si="64"/>
        <v>1.3609572552803244E-2</v>
      </c>
      <c r="AL74" s="33">
        <f t="shared" ca="1" si="64"/>
        <v>9.6953537712426898E-3</v>
      </c>
      <c r="AM74" s="33">
        <f t="shared" ca="1" si="65"/>
        <v>1.2003789930320929E-2</v>
      </c>
      <c r="AN74" s="33">
        <f t="shared" ca="1" si="65"/>
        <v>1.1541964596317998E-2</v>
      </c>
      <c r="AO74" s="33">
        <f t="shared" ca="1" si="65"/>
        <v>1.198415801342489E-2</v>
      </c>
      <c r="AP74" s="33">
        <f t="shared" ca="1" si="65"/>
        <v>8.3954849509750989E-3</v>
      </c>
      <c r="AQ74" s="33">
        <f t="shared" ca="1" si="65"/>
        <v>9.3028753777594994E-3</v>
      </c>
      <c r="AR74" s="33">
        <f t="shared" ca="1" si="65"/>
        <v>1.2631792138381148E-2</v>
      </c>
      <c r="AS74" s="33">
        <f t="shared" ca="1" si="65"/>
        <v>1.0653748414308875E-2</v>
      </c>
      <c r="AT74" s="33">
        <f t="shared" ca="1" si="65"/>
        <v>1.3496276109224419E-2</v>
      </c>
      <c r="AU74" s="33">
        <f t="shared" ca="1" si="65"/>
        <v>1.2584403112594889E-2</v>
      </c>
      <c r="AV74" s="33">
        <f t="shared" ca="1" si="65"/>
        <v>1.0946941595168784E-2</v>
      </c>
      <c r="AW74" s="33">
        <f t="shared" ca="1" si="66"/>
        <v>1.1098429094244952E-2</v>
      </c>
      <c r="AX74" s="33">
        <f t="shared" ca="1" si="66"/>
        <v>1.0673490502948182E-2</v>
      </c>
      <c r="AY74" s="33">
        <f t="shared" ca="1" si="66"/>
        <v>1.0787113085050853E-2</v>
      </c>
      <c r="AZ74" s="33">
        <f t="shared" ca="1" si="66"/>
        <v>9.5092468380114023E-3</v>
      </c>
      <c r="BA74" s="33">
        <f t="shared" ca="1" si="66"/>
        <v>1.2170597486463102E-2</v>
      </c>
      <c r="BB74" s="33">
        <f t="shared" ca="1" si="66"/>
        <v>9.6243203242831529E-3</v>
      </c>
      <c r="BC74" s="33">
        <f t="shared" ca="1" si="66"/>
        <v>1.0500405724714119E-2</v>
      </c>
      <c r="BD74" s="33">
        <f t="shared" ca="1" si="66"/>
        <v>1.2416496665614571E-2</v>
      </c>
      <c r="BE74" s="33">
        <f t="shared" ca="1" si="66"/>
        <v>1.1695123203756414E-2</v>
      </c>
      <c r="BF74" s="33">
        <f t="shared" ca="1" si="66"/>
        <v>7.5566841028053928E-3</v>
      </c>
      <c r="BG74" s="33">
        <f t="shared" ca="1" si="67"/>
        <v>1.107797143516882E-2</v>
      </c>
      <c r="BH74" s="33">
        <f t="shared" ca="1" si="67"/>
        <v>1.1076115311804406E-2</v>
      </c>
      <c r="BI74" s="33">
        <f t="shared" ca="1" si="67"/>
        <v>1.2933780943842007E-2</v>
      </c>
      <c r="BJ74" s="33">
        <f t="shared" ca="1" si="67"/>
        <v>1.1193093121899655E-2</v>
      </c>
      <c r="BK74" s="33">
        <f t="shared" ca="1" si="67"/>
        <v>9.5000512244835973E-3</v>
      </c>
      <c r="BL74" s="33">
        <f t="shared" ca="1" si="67"/>
        <v>1.1443473792921275E-2</v>
      </c>
      <c r="BM74" s="33">
        <f t="shared" ca="1" si="67"/>
        <v>1.268142316658538E-2</v>
      </c>
      <c r="BN74" s="33">
        <f t="shared" ca="1" si="67"/>
        <v>1.0980432039517738E-2</v>
      </c>
      <c r="BO74" s="33">
        <f t="shared" ca="1" si="67"/>
        <v>1.174696143248923E-2</v>
      </c>
      <c r="BP74" s="33">
        <f t="shared" ca="1" si="67"/>
        <v>9.6977331022065349E-3</v>
      </c>
      <c r="BQ74" s="33">
        <f t="shared" ca="1" si="68"/>
        <v>1.1167237226858728E-2</v>
      </c>
      <c r="BR74" s="33">
        <f t="shared" ca="1" si="68"/>
        <v>1.1122700336663719E-2</v>
      </c>
      <c r="BS74" s="33">
        <f t="shared" ca="1" si="68"/>
        <v>1.080230029639479E-2</v>
      </c>
      <c r="BT74" s="33">
        <f t="shared" ca="1" si="68"/>
        <v>1.2118102786016587E-2</v>
      </c>
      <c r="BU74" s="33">
        <f t="shared" ca="1" si="68"/>
        <v>1.1622084194051221E-2</v>
      </c>
      <c r="BV74" s="33">
        <f t="shared" ca="1" si="68"/>
        <v>1.1536432447241379E-2</v>
      </c>
      <c r="BW74" s="33">
        <f t="shared" ca="1" si="68"/>
        <v>1.2063146146318142E-2</v>
      </c>
      <c r="BX74" s="33">
        <f t="shared" ca="1" si="68"/>
        <v>1.2032003013799674E-2</v>
      </c>
      <c r="BY74" s="33">
        <f t="shared" ca="1" si="68"/>
        <v>1.1259688272467806E-2</v>
      </c>
      <c r="BZ74" s="33">
        <f t="shared" ca="1" si="68"/>
        <v>1.1638362090045545E-2</v>
      </c>
      <c r="CA74" s="33">
        <f t="shared" ca="1" si="69"/>
        <v>1.0142475143256483E-2</v>
      </c>
      <c r="CB74" s="33">
        <f t="shared" ca="1" si="69"/>
        <v>1.0583169291512423E-2</v>
      </c>
      <c r="CC74" s="33">
        <f t="shared" ca="1" si="69"/>
        <v>1.0876664325162076E-2</v>
      </c>
      <c r="CD74" s="33">
        <f t="shared" ca="1" si="69"/>
        <v>1.3206144703191884E-2</v>
      </c>
      <c r="CE74" s="33">
        <f t="shared" ca="1" si="69"/>
        <v>7.2221760453948973E-3</v>
      </c>
      <c r="CF74" s="33">
        <f t="shared" ca="1" si="69"/>
        <v>1.1400811033596017E-2</v>
      </c>
      <c r="CG74" s="33">
        <f t="shared" ca="1" si="69"/>
        <v>1.0206536580685018E-2</v>
      </c>
      <c r="CH74" s="33">
        <f t="shared" ca="1" si="69"/>
        <v>7.6074232323619703E-3</v>
      </c>
      <c r="CI74" s="33">
        <f t="shared" ca="1" si="69"/>
        <v>1.0544285889777147E-2</v>
      </c>
      <c r="CJ74" s="33">
        <f t="shared" ca="1" si="69"/>
        <v>1.0850774172683396E-2</v>
      </c>
      <c r="CK74" s="33">
        <f t="shared" ca="1" si="70"/>
        <v>8.5945299616410897E-3</v>
      </c>
      <c r="CL74" s="33">
        <f t="shared" ca="1" si="70"/>
        <v>1.2450561616825466E-2</v>
      </c>
      <c r="CM74" s="33">
        <f t="shared" ca="1" si="70"/>
        <v>9.7806830544191585E-3</v>
      </c>
      <c r="CN74" s="33">
        <f t="shared" ca="1" si="70"/>
        <v>1.3037405195747734E-2</v>
      </c>
      <c r="CO74" s="33">
        <f t="shared" ca="1" si="70"/>
        <v>1.2578794624495758E-2</v>
      </c>
      <c r="CP74" s="33">
        <f t="shared" ca="1" si="70"/>
        <v>1.1210817160709615E-2</v>
      </c>
      <c r="CQ74" s="33">
        <f t="shared" ca="1" si="70"/>
        <v>1.1445589487969891E-2</v>
      </c>
      <c r="CR74" s="33">
        <f t="shared" ca="1" si="70"/>
        <v>8.1564870199047259E-3</v>
      </c>
      <c r="CS74" s="33">
        <f t="shared" ca="1" si="70"/>
        <v>9.693757414496431E-3</v>
      </c>
      <c r="CT74" s="33">
        <f t="shared" ca="1" si="70"/>
        <v>1.2246051785335329E-2</v>
      </c>
      <c r="CU74" s="33">
        <f t="shared" ca="1" si="71"/>
        <v>1.1305017729355072E-2</v>
      </c>
      <c r="CV74" s="33">
        <f t="shared" ca="1" si="71"/>
        <v>1.214239810816368E-2</v>
      </c>
      <c r="CW74" s="33">
        <f t="shared" ca="1" si="71"/>
        <v>1.0614731202521871E-2</v>
      </c>
      <c r="CX74" s="33">
        <f t="shared" ca="1" si="71"/>
        <v>1.0326883547332869E-2</v>
      </c>
      <c r="CY74" s="33">
        <f t="shared" ca="1" si="71"/>
        <v>1.217826602849406E-2</v>
      </c>
      <c r="CZ74" s="33">
        <f t="shared" ca="1" si="71"/>
        <v>8.1130377081702031E-3</v>
      </c>
      <c r="DA74" s="33">
        <f t="shared" ca="1" si="71"/>
        <v>1.1676964690610138E-2</v>
      </c>
      <c r="DB74" s="33">
        <f t="shared" ca="1" si="71"/>
        <v>1.2685790755715949E-2</v>
      </c>
      <c r="DC74" s="33">
        <f t="shared" ca="1" si="71"/>
        <v>8.4084927309826911E-3</v>
      </c>
      <c r="DD74" s="33">
        <f t="shared" ca="1" si="71"/>
        <v>1.2702809449883485E-2</v>
      </c>
      <c r="DE74" s="33">
        <f t="shared" ca="1" si="72"/>
        <v>1.024964859717073E-2</v>
      </c>
      <c r="DF74" s="33">
        <f t="shared" ca="1" si="72"/>
        <v>7.9410063136608495E-3</v>
      </c>
      <c r="DG74" s="33">
        <f t="shared" ca="1" si="72"/>
        <v>1.1215812583828078E-2</v>
      </c>
      <c r="DH74" s="33">
        <f t="shared" ca="1" si="72"/>
        <v>1.0481666978251753E-2</v>
      </c>
      <c r="DI74" s="33">
        <f t="shared" ca="1" si="72"/>
        <v>1.253931903523923E-2</v>
      </c>
      <c r="DJ74" s="33">
        <f t="shared" ca="1" si="72"/>
        <v>1.0620004680010522E-2</v>
      </c>
      <c r="DK74" s="33">
        <f t="shared" ca="1" si="72"/>
        <v>1.1036579570071566E-2</v>
      </c>
      <c r="DL74" s="33">
        <f t="shared" ca="1" si="72"/>
        <v>1.2242285972749935E-2</v>
      </c>
      <c r="DM74" s="33">
        <f t="shared" ca="1" si="72"/>
        <v>1.0047573496640927E-2</v>
      </c>
      <c r="DN74" s="33">
        <f t="shared" ca="1" si="72"/>
        <v>1.0470265160527315E-2</v>
      </c>
      <c r="DO74" s="12"/>
      <c r="DP74" s="12"/>
      <c r="DQ74" s="12"/>
    </row>
    <row r="75" spans="9:121" x14ac:dyDescent="0.2">
      <c r="I75" s="32">
        <v>46692</v>
      </c>
      <c r="J75" s="33">
        <f t="shared" ca="1" si="73"/>
        <v>1.3361003553930492E-2</v>
      </c>
      <c r="K75" s="9">
        <v>2986.7248319999999</v>
      </c>
      <c r="L75" s="9">
        <f t="shared" ca="1" si="74"/>
        <v>244938.77589574884</v>
      </c>
      <c r="N75" s="6">
        <v>71</v>
      </c>
      <c r="O75" s="5">
        <v>3.9446437418162592</v>
      </c>
      <c r="P75" s="9">
        <v>683377.50115136278</v>
      </c>
      <c r="R75" s="32">
        <v>46692</v>
      </c>
      <c r="S75" s="33">
        <f t="shared" ref="S75:AB84" ca="1" si="75">_xlfn.NORM.INV(RAND(),$A$52,$B$45)</f>
        <v>1.2163332600145601E-2</v>
      </c>
      <c r="T75" s="33">
        <f t="shared" ca="1" si="75"/>
        <v>1.3357748737436254E-2</v>
      </c>
      <c r="U75" s="33">
        <f t="shared" ca="1" si="75"/>
        <v>1.0641789249953015E-2</v>
      </c>
      <c r="V75" s="33">
        <f t="shared" ca="1" si="75"/>
        <v>1.1851231324602706E-2</v>
      </c>
      <c r="W75" s="33">
        <f t="shared" ca="1" si="75"/>
        <v>1.1804541804266233E-2</v>
      </c>
      <c r="X75" s="33">
        <f t="shared" ca="1" si="75"/>
        <v>1.1272293767237864E-2</v>
      </c>
      <c r="Y75" s="33">
        <f t="shared" ca="1" si="75"/>
        <v>9.1403720207951841E-3</v>
      </c>
      <c r="Z75" s="33">
        <f t="shared" ca="1" si="75"/>
        <v>1.0669071366882698E-2</v>
      </c>
      <c r="AA75" s="33">
        <f t="shared" ca="1" si="75"/>
        <v>1.2651180595087241E-2</v>
      </c>
      <c r="AB75" s="33">
        <f t="shared" ca="1" si="75"/>
        <v>1.0454963528588967E-2</v>
      </c>
      <c r="AC75" s="33">
        <f t="shared" ref="AC75:AL84" ca="1" si="76">_xlfn.NORM.INV(RAND(),$A$52,$B$45)</f>
        <v>1.1269866756506699E-2</v>
      </c>
      <c r="AD75" s="33">
        <f t="shared" ca="1" si="76"/>
        <v>1.3966840203897744E-2</v>
      </c>
      <c r="AE75" s="33">
        <f t="shared" ca="1" si="76"/>
        <v>1.0863834969504851E-2</v>
      </c>
      <c r="AF75" s="33">
        <f t="shared" ca="1" si="76"/>
        <v>1.1221074124687364E-2</v>
      </c>
      <c r="AG75" s="33">
        <f t="shared" ca="1" si="76"/>
        <v>1.1718133982436608E-2</v>
      </c>
      <c r="AH75" s="33">
        <f t="shared" ca="1" si="76"/>
        <v>1.1300577072077449E-2</v>
      </c>
      <c r="AI75" s="33">
        <f t="shared" ca="1" si="76"/>
        <v>1.2140019402320523E-2</v>
      </c>
      <c r="AJ75" s="33">
        <f t="shared" ca="1" si="76"/>
        <v>1.2065586333388268E-2</v>
      </c>
      <c r="AK75" s="33">
        <f t="shared" ca="1" si="76"/>
        <v>7.9842719495111722E-3</v>
      </c>
      <c r="AL75" s="33">
        <f t="shared" ca="1" si="76"/>
        <v>9.0287630486139275E-3</v>
      </c>
      <c r="AM75" s="33">
        <f t="shared" ref="AM75:AV84" ca="1" si="77">_xlfn.NORM.INV(RAND(),$A$52,$B$45)</f>
        <v>1.1728775718832744E-2</v>
      </c>
      <c r="AN75" s="33">
        <f t="shared" ca="1" si="77"/>
        <v>1.3786042499614294E-2</v>
      </c>
      <c r="AO75" s="33">
        <f t="shared" ca="1" si="77"/>
        <v>1.0575178151105161E-2</v>
      </c>
      <c r="AP75" s="33">
        <f t="shared" ca="1" si="77"/>
        <v>1.0021912025089378E-2</v>
      </c>
      <c r="AQ75" s="33">
        <f t="shared" ca="1" si="77"/>
        <v>9.7352589939128983E-3</v>
      </c>
      <c r="AR75" s="33">
        <f t="shared" ca="1" si="77"/>
        <v>8.8921497032198923E-3</v>
      </c>
      <c r="AS75" s="33">
        <f t="shared" ca="1" si="77"/>
        <v>1.1543162691565049E-2</v>
      </c>
      <c r="AT75" s="33">
        <f t="shared" ca="1" si="77"/>
        <v>1.3375806792383826E-2</v>
      </c>
      <c r="AU75" s="33">
        <f t="shared" ca="1" si="77"/>
        <v>1.1533964590879036E-2</v>
      </c>
      <c r="AV75" s="33">
        <f t="shared" ca="1" si="77"/>
        <v>1.0552071494417918E-2</v>
      </c>
      <c r="AW75" s="33">
        <f t="shared" ref="AW75:BF84" ca="1" si="78">_xlfn.NORM.INV(RAND(),$A$52,$B$45)</f>
        <v>1.4618988067061202E-2</v>
      </c>
      <c r="AX75" s="33">
        <f t="shared" ca="1" si="78"/>
        <v>1.3541164392037189E-2</v>
      </c>
      <c r="AY75" s="33">
        <f t="shared" ca="1" si="78"/>
        <v>7.5407665120109319E-3</v>
      </c>
      <c r="AZ75" s="33">
        <f t="shared" ca="1" si="78"/>
        <v>8.5511921090281225E-3</v>
      </c>
      <c r="BA75" s="33">
        <f t="shared" ca="1" si="78"/>
        <v>1.1158054783617265E-2</v>
      </c>
      <c r="BB75" s="33">
        <f t="shared" ca="1" si="78"/>
        <v>1.1660139617693558E-2</v>
      </c>
      <c r="BC75" s="33">
        <f t="shared" ca="1" si="78"/>
        <v>1.0737333147970962E-2</v>
      </c>
      <c r="BD75" s="33">
        <f t="shared" ca="1" si="78"/>
        <v>1.1643511787799019E-2</v>
      </c>
      <c r="BE75" s="33">
        <f t="shared" ca="1" si="78"/>
        <v>1.0669928517400952E-2</v>
      </c>
      <c r="BF75" s="33">
        <f t="shared" ca="1" si="78"/>
        <v>1.1264434309148684E-2</v>
      </c>
      <c r="BG75" s="33">
        <f t="shared" ref="BG75:BP84" ca="1" si="79">_xlfn.NORM.INV(RAND(),$A$52,$B$45)</f>
        <v>1.3012196155211249E-2</v>
      </c>
      <c r="BH75" s="33">
        <f t="shared" ca="1" si="79"/>
        <v>9.6772895800789124E-3</v>
      </c>
      <c r="BI75" s="33">
        <f t="shared" ca="1" si="79"/>
        <v>1.401189574047546E-2</v>
      </c>
      <c r="BJ75" s="33">
        <f t="shared" ca="1" si="79"/>
        <v>1.1061452090086897E-2</v>
      </c>
      <c r="BK75" s="33">
        <f t="shared" ca="1" si="79"/>
        <v>1.3376524220298376E-2</v>
      </c>
      <c r="BL75" s="33">
        <f t="shared" ca="1" si="79"/>
        <v>1.0851704386723473E-2</v>
      </c>
      <c r="BM75" s="33">
        <f t="shared" ca="1" si="79"/>
        <v>9.0864328959421418E-3</v>
      </c>
      <c r="BN75" s="33">
        <f t="shared" ca="1" si="79"/>
        <v>1.0641835868619996E-2</v>
      </c>
      <c r="BO75" s="33">
        <f t="shared" ca="1" si="79"/>
        <v>9.5032265844201842E-3</v>
      </c>
      <c r="BP75" s="33">
        <f t="shared" ca="1" si="79"/>
        <v>1.2157672503677868E-2</v>
      </c>
      <c r="BQ75" s="33">
        <f t="shared" ref="BQ75:BZ84" ca="1" si="80">_xlfn.NORM.INV(RAND(),$A$52,$B$45)</f>
        <v>1.1851164630405914E-2</v>
      </c>
      <c r="BR75" s="33">
        <f t="shared" ca="1" si="80"/>
        <v>1.2514932906343928E-2</v>
      </c>
      <c r="BS75" s="33">
        <f t="shared" ca="1" si="80"/>
        <v>1.0912906005780956E-2</v>
      </c>
      <c r="BT75" s="33">
        <f t="shared" ca="1" si="80"/>
        <v>1.1455529213749947E-2</v>
      </c>
      <c r="BU75" s="33">
        <f t="shared" ca="1" si="80"/>
        <v>1.2895076154001213E-2</v>
      </c>
      <c r="BV75" s="33">
        <f t="shared" ca="1" si="80"/>
        <v>1.3534773528647185E-2</v>
      </c>
      <c r="BW75" s="33">
        <f t="shared" ca="1" si="80"/>
        <v>1.0280156671629782E-2</v>
      </c>
      <c r="BX75" s="33">
        <f t="shared" ca="1" si="80"/>
        <v>1.2289753919193215E-2</v>
      </c>
      <c r="BY75" s="33">
        <f t="shared" ca="1" si="80"/>
        <v>1.2470203896703128E-2</v>
      </c>
      <c r="BZ75" s="33">
        <f t="shared" ca="1" si="80"/>
        <v>1.0103984532248639E-2</v>
      </c>
      <c r="CA75" s="33">
        <f t="shared" ref="CA75:CJ84" ca="1" si="81">_xlfn.NORM.INV(RAND(),$A$52,$B$45)</f>
        <v>1.3699541183112989E-2</v>
      </c>
      <c r="CB75" s="33">
        <f t="shared" ca="1" si="81"/>
        <v>1.1186973585911773E-2</v>
      </c>
      <c r="CC75" s="33">
        <f t="shared" ca="1" si="81"/>
        <v>9.4171389277803996E-3</v>
      </c>
      <c r="CD75" s="33">
        <f t="shared" ca="1" si="81"/>
        <v>1.4290386289390007E-2</v>
      </c>
      <c r="CE75" s="33">
        <f t="shared" ca="1" si="81"/>
        <v>8.6552597485522933E-3</v>
      </c>
      <c r="CF75" s="33">
        <f t="shared" ca="1" si="81"/>
        <v>1.4013428204219728E-2</v>
      </c>
      <c r="CG75" s="33">
        <f t="shared" ca="1" si="81"/>
        <v>1.1137893421780629E-2</v>
      </c>
      <c r="CH75" s="33">
        <f t="shared" ca="1" si="81"/>
        <v>9.167019035493381E-3</v>
      </c>
      <c r="CI75" s="33">
        <f t="shared" ca="1" si="81"/>
        <v>1.0132305631030866E-2</v>
      </c>
      <c r="CJ75" s="33">
        <f t="shared" ca="1" si="81"/>
        <v>1.1274615229676044E-2</v>
      </c>
      <c r="CK75" s="33">
        <f t="shared" ref="CK75:CT84" ca="1" si="82">_xlfn.NORM.INV(RAND(),$A$52,$B$45)</f>
        <v>1.1942461105582204E-2</v>
      </c>
      <c r="CL75" s="33">
        <f t="shared" ca="1" si="82"/>
        <v>9.9455846741311402E-3</v>
      </c>
      <c r="CM75" s="33">
        <f t="shared" ca="1" si="82"/>
        <v>1.2702886672734405E-2</v>
      </c>
      <c r="CN75" s="33">
        <f t="shared" ca="1" si="82"/>
        <v>1.0136334135644907E-2</v>
      </c>
      <c r="CO75" s="33">
        <f t="shared" ca="1" si="82"/>
        <v>1.1411526813644752E-2</v>
      </c>
      <c r="CP75" s="33">
        <f t="shared" ca="1" si="82"/>
        <v>1.2031892385833487E-2</v>
      </c>
      <c r="CQ75" s="33">
        <f t="shared" ca="1" si="82"/>
        <v>1.0439012124656172E-2</v>
      </c>
      <c r="CR75" s="33">
        <f t="shared" ca="1" si="82"/>
        <v>8.2873487899913292E-3</v>
      </c>
      <c r="CS75" s="33">
        <f t="shared" ca="1" si="82"/>
        <v>1.0288126119290303E-2</v>
      </c>
      <c r="CT75" s="33">
        <f t="shared" ca="1" si="82"/>
        <v>1.1592642892773581E-2</v>
      </c>
      <c r="CU75" s="33">
        <f t="shared" ref="CU75:DD84" ca="1" si="83">_xlfn.NORM.INV(RAND(),$A$52,$B$45)</f>
        <v>1.4063606473421428E-2</v>
      </c>
      <c r="CV75" s="33">
        <f t="shared" ca="1" si="83"/>
        <v>1.4692226015973191E-2</v>
      </c>
      <c r="CW75" s="33">
        <f t="shared" ca="1" si="83"/>
        <v>1.2380886220427186E-2</v>
      </c>
      <c r="CX75" s="33">
        <f t="shared" ca="1" si="83"/>
        <v>1.1391613880246844E-2</v>
      </c>
      <c r="CY75" s="33">
        <f t="shared" ca="1" si="83"/>
        <v>9.6923553126156848E-3</v>
      </c>
      <c r="CZ75" s="33">
        <f t="shared" ca="1" si="83"/>
        <v>9.7395158689307891E-3</v>
      </c>
      <c r="DA75" s="33">
        <f t="shared" ca="1" si="83"/>
        <v>1.0044171667937547E-2</v>
      </c>
      <c r="DB75" s="33">
        <f t="shared" ca="1" si="83"/>
        <v>1.2566142057522781E-2</v>
      </c>
      <c r="DC75" s="33">
        <f t="shared" ca="1" si="83"/>
        <v>1.0085084736453229E-2</v>
      </c>
      <c r="DD75" s="33">
        <f t="shared" ca="1" si="83"/>
        <v>1.149022845660363E-2</v>
      </c>
      <c r="DE75" s="33">
        <f t="shared" ref="DE75:DN84" ca="1" si="84">_xlfn.NORM.INV(RAND(),$A$52,$B$45)</f>
        <v>1.1153158353483371E-2</v>
      </c>
      <c r="DF75" s="33">
        <f t="shared" ca="1" si="84"/>
        <v>9.0000217654878732E-3</v>
      </c>
      <c r="DG75" s="33">
        <f t="shared" ca="1" si="84"/>
        <v>1.1598528317045682E-2</v>
      </c>
      <c r="DH75" s="33">
        <f t="shared" ca="1" si="84"/>
        <v>1.0327983407023473E-2</v>
      </c>
      <c r="DI75" s="33">
        <f t="shared" ca="1" si="84"/>
        <v>1.0721351684513956E-2</v>
      </c>
      <c r="DJ75" s="33">
        <f t="shared" ca="1" si="84"/>
        <v>9.5233649448872287E-3</v>
      </c>
      <c r="DK75" s="33">
        <f t="shared" ca="1" si="84"/>
        <v>1.214752127375286E-2</v>
      </c>
      <c r="DL75" s="33">
        <f t="shared" ca="1" si="84"/>
        <v>1.3267333110824016E-2</v>
      </c>
      <c r="DM75" s="33">
        <f t="shared" ca="1" si="84"/>
        <v>1.1925525166914676E-2</v>
      </c>
      <c r="DN75" s="33">
        <f t="shared" ca="1" si="84"/>
        <v>1.2197257941529234E-2</v>
      </c>
      <c r="DO75" s="12"/>
      <c r="DP75" s="12"/>
      <c r="DQ75" s="12"/>
    </row>
    <row r="76" spans="9:121" x14ac:dyDescent="0.2">
      <c r="I76" s="32">
        <v>46722</v>
      </c>
      <c r="J76" s="33">
        <f t="shared" ca="1" si="73"/>
        <v>9.8747875140984542E-3</v>
      </c>
      <c r="K76" s="9">
        <v>2986.7248319999999</v>
      </c>
      <c r="L76" s="9">
        <f t="shared" ca="1" si="74"/>
        <v>250356.20066465667</v>
      </c>
      <c r="N76" s="6">
        <v>72</v>
      </c>
      <c r="O76" s="5">
        <v>3.9452710754523657</v>
      </c>
      <c r="P76" s="9">
        <v>686426.58809019113</v>
      </c>
      <c r="R76" s="32">
        <v>46722</v>
      </c>
      <c r="S76" s="33">
        <f t="shared" ca="1" si="75"/>
        <v>1.1804945012438563E-2</v>
      </c>
      <c r="T76" s="33">
        <f t="shared" ca="1" si="75"/>
        <v>9.8162839608965761E-3</v>
      </c>
      <c r="U76" s="33">
        <f t="shared" ca="1" si="75"/>
        <v>1.1922794725483545E-2</v>
      </c>
      <c r="V76" s="33">
        <f t="shared" ca="1" si="75"/>
        <v>1.3640316221881679E-2</v>
      </c>
      <c r="W76" s="33">
        <f t="shared" ca="1" si="75"/>
        <v>1.2546046082824589E-2</v>
      </c>
      <c r="X76" s="33">
        <f t="shared" ca="1" si="75"/>
        <v>1.1592361862568502E-2</v>
      </c>
      <c r="Y76" s="33">
        <f t="shared" ca="1" si="75"/>
        <v>1.1334062918005858E-2</v>
      </c>
      <c r="Z76" s="33">
        <f t="shared" ca="1" si="75"/>
        <v>1.2917987887906381E-2</v>
      </c>
      <c r="AA76" s="33">
        <f t="shared" ca="1" si="75"/>
        <v>1.044903541303209E-2</v>
      </c>
      <c r="AB76" s="33">
        <f t="shared" ca="1" si="75"/>
        <v>1.3037894712966075E-2</v>
      </c>
      <c r="AC76" s="33">
        <f t="shared" ca="1" si="76"/>
        <v>7.9539225886564487E-3</v>
      </c>
      <c r="AD76" s="33">
        <f t="shared" ca="1" si="76"/>
        <v>1.108198746032172E-2</v>
      </c>
      <c r="AE76" s="33">
        <f t="shared" ca="1" si="76"/>
        <v>1.1267646648587213E-2</v>
      </c>
      <c r="AF76" s="33">
        <f t="shared" ca="1" si="76"/>
        <v>1.2523642043146E-2</v>
      </c>
      <c r="AG76" s="33">
        <f t="shared" ca="1" si="76"/>
        <v>1.1233979502695664E-2</v>
      </c>
      <c r="AH76" s="33">
        <f t="shared" ca="1" si="76"/>
        <v>1.3859783787581091E-2</v>
      </c>
      <c r="AI76" s="33">
        <f t="shared" ca="1" si="76"/>
        <v>1.0936772907078477E-2</v>
      </c>
      <c r="AJ76" s="33">
        <f t="shared" ca="1" si="76"/>
        <v>9.4143238974711482E-3</v>
      </c>
      <c r="AK76" s="33">
        <f t="shared" ca="1" si="76"/>
        <v>1.2517885208459537E-2</v>
      </c>
      <c r="AL76" s="33">
        <f t="shared" ca="1" si="76"/>
        <v>1.1819114712005472E-2</v>
      </c>
      <c r="AM76" s="33">
        <f t="shared" ca="1" si="77"/>
        <v>1.0959854616277862E-2</v>
      </c>
      <c r="AN76" s="33">
        <f t="shared" ca="1" si="77"/>
        <v>1.2169323315328627E-2</v>
      </c>
      <c r="AO76" s="33">
        <f t="shared" ca="1" si="77"/>
        <v>1.0414200658497148E-2</v>
      </c>
      <c r="AP76" s="33">
        <f t="shared" ca="1" si="77"/>
        <v>1.1623747231051664E-2</v>
      </c>
      <c r="AQ76" s="33">
        <f t="shared" ca="1" si="77"/>
        <v>1.0514033078430214E-2</v>
      </c>
      <c r="AR76" s="33">
        <f t="shared" ca="1" si="77"/>
        <v>1.0883210074894725E-2</v>
      </c>
      <c r="AS76" s="33">
        <f t="shared" ca="1" si="77"/>
        <v>1.0792729394694252E-2</v>
      </c>
      <c r="AT76" s="33">
        <f t="shared" ca="1" si="77"/>
        <v>1.1469922080709788E-2</v>
      </c>
      <c r="AU76" s="33">
        <f t="shared" ca="1" si="77"/>
        <v>1.1229676998632549E-2</v>
      </c>
      <c r="AV76" s="33">
        <f t="shared" ca="1" si="77"/>
        <v>9.660417027307782E-3</v>
      </c>
      <c r="AW76" s="33">
        <f t="shared" ca="1" si="78"/>
        <v>1.3730627689549295E-2</v>
      </c>
      <c r="AX76" s="33">
        <f t="shared" ca="1" si="78"/>
        <v>1.1793811094186436E-2</v>
      </c>
      <c r="AY76" s="33">
        <f t="shared" ca="1" si="78"/>
        <v>1.0785914692025382E-2</v>
      </c>
      <c r="AZ76" s="33">
        <f t="shared" ca="1" si="78"/>
        <v>1.1501345705811409E-2</v>
      </c>
      <c r="BA76" s="33">
        <f t="shared" ca="1" si="78"/>
        <v>1.3435931488288408E-2</v>
      </c>
      <c r="BB76" s="33">
        <f t="shared" ca="1" si="78"/>
        <v>1.2879006275089838E-2</v>
      </c>
      <c r="BC76" s="33">
        <f t="shared" ca="1" si="78"/>
        <v>9.6248341279595879E-3</v>
      </c>
      <c r="BD76" s="33">
        <f t="shared" ca="1" si="78"/>
        <v>1.1308198554864745E-2</v>
      </c>
      <c r="BE76" s="33">
        <f t="shared" ca="1" si="78"/>
        <v>1.1709622523084637E-2</v>
      </c>
      <c r="BF76" s="33">
        <f t="shared" ca="1" si="78"/>
        <v>1.2293675891297465E-2</v>
      </c>
      <c r="BG76" s="33">
        <f t="shared" ca="1" si="79"/>
        <v>1.251275671786584E-2</v>
      </c>
      <c r="BH76" s="33">
        <f t="shared" ca="1" si="79"/>
        <v>1.2729903584130691E-2</v>
      </c>
      <c r="BI76" s="33">
        <f t="shared" ca="1" si="79"/>
        <v>1.0980299425588846E-2</v>
      </c>
      <c r="BJ76" s="33">
        <f t="shared" ca="1" si="79"/>
        <v>9.6062621666306927E-3</v>
      </c>
      <c r="BK76" s="33">
        <f t="shared" ca="1" si="79"/>
        <v>9.5013210176854886E-3</v>
      </c>
      <c r="BL76" s="33">
        <f t="shared" ca="1" si="79"/>
        <v>1.3310549671927286E-2</v>
      </c>
      <c r="BM76" s="33">
        <f t="shared" ca="1" si="79"/>
        <v>1.2614772223256908E-2</v>
      </c>
      <c r="BN76" s="33">
        <f t="shared" ca="1" si="79"/>
        <v>1.2134931744016267E-2</v>
      </c>
      <c r="BO76" s="33">
        <f t="shared" ca="1" si="79"/>
        <v>9.4353063719210227E-3</v>
      </c>
      <c r="BP76" s="33">
        <f t="shared" ca="1" si="79"/>
        <v>1.1315929656811033E-2</v>
      </c>
      <c r="BQ76" s="33">
        <f t="shared" ca="1" si="80"/>
        <v>1.2167820575800535E-2</v>
      </c>
      <c r="BR76" s="33">
        <f t="shared" ca="1" si="80"/>
        <v>1.1635399724633243E-2</v>
      </c>
      <c r="BS76" s="33">
        <f t="shared" ca="1" si="80"/>
        <v>8.0961117514092087E-3</v>
      </c>
      <c r="BT76" s="33">
        <f t="shared" ca="1" si="80"/>
        <v>9.4167554523450006E-3</v>
      </c>
      <c r="BU76" s="33">
        <f t="shared" ca="1" si="80"/>
        <v>1.2992782675225089E-2</v>
      </c>
      <c r="BV76" s="33">
        <f t="shared" ca="1" si="80"/>
        <v>9.9255175255022875E-3</v>
      </c>
      <c r="BW76" s="33">
        <f t="shared" ca="1" si="80"/>
        <v>9.1571023352703465E-3</v>
      </c>
      <c r="BX76" s="33">
        <f t="shared" ca="1" si="80"/>
        <v>1.3114103121809082E-2</v>
      </c>
      <c r="BY76" s="33">
        <f t="shared" ca="1" si="80"/>
        <v>9.5256095178629634E-3</v>
      </c>
      <c r="BZ76" s="33">
        <f t="shared" ca="1" si="80"/>
        <v>7.7033721681433482E-3</v>
      </c>
      <c r="CA76" s="33">
        <f t="shared" ca="1" si="81"/>
        <v>1.109296930303514E-2</v>
      </c>
      <c r="CB76" s="33">
        <f t="shared" ca="1" si="81"/>
        <v>1.2118768392967999E-2</v>
      </c>
      <c r="CC76" s="33">
        <f t="shared" ca="1" si="81"/>
        <v>1.0697469371297662E-2</v>
      </c>
      <c r="CD76" s="33">
        <f t="shared" ca="1" si="81"/>
        <v>9.742476298840964E-3</v>
      </c>
      <c r="CE76" s="33">
        <f t="shared" ca="1" si="81"/>
        <v>1.3453631743940431E-2</v>
      </c>
      <c r="CF76" s="33">
        <f t="shared" ca="1" si="81"/>
        <v>1.2327435064162028E-2</v>
      </c>
      <c r="CG76" s="33">
        <f t="shared" ca="1" si="81"/>
        <v>1.1842567046870124E-2</v>
      </c>
      <c r="CH76" s="33">
        <f t="shared" ca="1" si="81"/>
        <v>1.198255697177544E-2</v>
      </c>
      <c r="CI76" s="33">
        <f t="shared" ca="1" si="81"/>
        <v>1.0566561259507685E-2</v>
      </c>
      <c r="CJ76" s="33">
        <f t="shared" ca="1" si="81"/>
        <v>1.3257730091199293E-2</v>
      </c>
      <c r="CK76" s="33">
        <f t="shared" ca="1" si="82"/>
        <v>8.4624415049302498E-3</v>
      </c>
      <c r="CL76" s="33">
        <f t="shared" ca="1" si="82"/>
        <v>9.6226050190162116E-3</v>
      </c>
      <c r="CM76" s="33">
        <f t="shared" ca="1" si="82"/>
        <v>1.1887774108755224E-2</v>
      </c>
      <c r="CN76" s="33">
        <f t="shared" ca="1" si="82"/>
        <v>8.7076048219823891E-3</v>
      </c>
      <c r="CO76" s="33">
        <f t="shared" ca="1" si="82"/>
        <v>1.1893579151203763E-2</v>
      </c>
      <c r="CP76" s="33">
        <f t="shared" ca="1" si="82"/>
        <v>9.1478145630580956E-3</v>
      </c>
      <c r="CQ76" s="33">
        <f t="shared" ca="1" si="82"/>
        <v>9.3358963979602513E-3</v>
      </c>
      <c r="CR76" s="33">
        <f t="shared" ca="1" si="82"/>
        <v>9.3590128048829917E-3</v>
      </c>
      <c r="CS76" s="33">
        <f t="shared" ca="1" si="82"/>
        <v>1.3340291324164012E-2</v>
      </c>
      <c r="CT76" s="33">
        <f t="shared" ca="1" si="82"/>
        <v>1.134054037507781E-2</v>
      </c>
      <c r="CU76" s="33">
        <f t="shared" ca="1" si="83"/>
        <v>1.1095783691547187E-2</v>
      </c>
      <c r="CV76" s="33">
        <f t="shared" ca="1" si="83"/>
        <v>1.275627583370338E-2</v>
      </c>
      <c r="CW76" s="33">
        <f t="shared" ca="1" si="83"/>
        <v>1.0353709078579E-2</v>
      </c>
      <c r="CX76" s="33">
        <f t="shared" ca="1" si="83"/>
        <v>1.2551265593131388E-2</v>
      </c>
      <c r="CY76" s="33">
        <f t="shared" ca="1" si="83"/>
        <v>1.1971288139574038E-2</v>
      </c>
      <c r="CZ76" s="33">
        <f t="shared" ca="1" si="83"/>
        <v>1.0088997748805718E-2</v>
      </c>
      <c r="DA76" s="33">
        <f t="shared" ca="1" si="83"/>
        <v>1.2213398236533704E-2</v>
      </c>
      <c r="DB76" s="33">
        <f t="shared" ca="1" si="83"/>
        <v>9.0361014047018445E-3</v>
      </c>
      <c r="DC76" s="33">
        <f t="shared" ca="1" si="83"/>
        <v>1.2031908206369846E-2</v>
      </c>
      <c r="DD76" s="33">
        <f t="shared" ca="1" si="83"/>
        <v>1.1954697970801105E-2</v>
      </c>
      <c r="DE76" s="33">
        <f t="shared" ca="1" si="84"/>
        <v>1.1920019669838784E-2</v>
      </c>
      <c r="DF76" s="33">
        <f t="shared" ca="1" si="84"/>
        <v>8.9839244878531926E-3</v>
      </c>
      <c r="DG76" s="33">
        <f t="shared" ca="1" si="84"/>
        <v>1.2311408086789646E-2</v>
      </c>
      <c r="DH76" s="33">
        <f t="shared" ca="1" si="84"/>
        <v>1.4348132537900276E-2</v>
      </c>
      <c r="DI76" s="33">
        <f t="shared" ca="1" si="84"/>
        <v>1.1896775466379047E-2</v>
      </c>
      <c r="DJ76" s="33">
        <f t="shared" ca="1" si="84"/>
        <v>9.8889384337473279E-3</v>
      </c>
      <c r="DK76" s="33">
        <f t="shared" ca="1" si="84"/>
        <v>1.0808245377422981E-2</v>
      </c>
      <c r="DL76" s="33">
        <f t="shared" ca="1" si="84"/>
        <v>8.8621135158174213E-3</v>
      </c>
      <c r="DM76" s="33">
        <f t="shared" ca="1" si="84"/>
        <v>8.88227888719419E-3</v>
      </c>
      <c r="DN76" s="33">
        <f t="shared" ca="1" si="84"/>
        <v>1.288365542454952E-2</v>
      </c>
      <c r="DO76" s="12"/>
      <c r="DP76" s="12"/>
      <c r="DQ76" s="12"/>
    </row>
    <row r="77" spans="9:121" x14ac:dyDescent="0.2">
      <c r="I77" s="32">
        <v>46753</v>
      </c>
      <c r="J77" s="33">
        <f t="shared" ca="1" si="73"/>
        <v>1.2381051903290752E-2</v>
      </c>
      <c r="K77" s="9">
        <v>2986.7248319999999</v>
      </c>
      <c r="L77" s="9">
        <f t="shared" ca="1" si="74"/>
        <v>256461.86665569479</v>
      </c>
      <c r="N77" s="6">
        <v>73</v>
      </c>
      <c r="O77" s="5">
        <v>3.9101967986730091</v>
      </c>
      <c r="P77" s="9">
        <v>680789.95092601096</v>
      </c>
      <c r="R77" s="32">
        <v>46753</v>
      </c>
      <c r="S77" s="33">
        <f t="shared" ca="1" si="75"/>
        <v>1.2112345081054139E-2</v>
      </c>
      <c r="T77" s="33">
        <f t="shared" ca="1" si="75"/>
        <v>1.2000506201301395E-2</v>
      </c>
      <c r="U77" s="33">
        <f t="shared" ca="1" si="75"/>
        <v>8.8505707659776722E-3</v>
      </c>
      <c r="V77" s="33">
        <f t="shared" ca="1" si="75"/>
        <v>1.2037237683341175E-2</v>
      </c>
      <c r="W77" s="33">
        <f t="shared" ca="1" si="75"/>
        <v>1.3141242791828659E-2</v>
      </c>
      <c r="X77" s="33">
        <f t="shared" ca="1" si="75"/>
        <v>1.1775702100001282E-2</v>
      </c>
      <c r="Y77" s="33">
        <f t="shared" ca="1" si="75"/>
        <v>1.1317272658595591E-2</v>
      </c>
      <c r="Z77" s="33">
        <f t="shared" ca="1" si="75"/>
        <v>1.3183475127969758E-2</v>
      </c>
      <c r="AA77" s="33">
        <f t="shared" ca="1" si="75"/>
        <v>1.1696213043775518E-2</v>
      </c>
      <c r="AB77" s="33">
        <f t="shared" ca="1" si="75"/>
        <v>1.1500044902245942E-2</v>
      </c>
      <c r="AC77" s="33">
        <f t="shared" ca="1" si="76"/>
        <v>1.2028450694340999E-2</v>
      </c>
      <c r="AD77" s="33">
        <f t="shared" ca="1" si="76"/>
        <v>1.4486157813519427E-2</v>
      </c>
      <c r="AE77" s="33">
        <f t="shared" ca="1" si="76"/>
        <v>9.7018582450339608E-3</v>
      </c>
      <c r="AF77" s="33">
        <f t="shared" ca="1" si="76"/>
        <v>1.1269355069804416E-2</v>
      </c>
      <c r="AG77" s="33">
        <f t="shared" ca="1" si="76"/>
        <v>9.0997713166045338E-3</v>
      </c>
      <c r="AH77" s="33">
        <f t="shared" ca="1" si="76"/>
        <v>1.1935738585187343E-2</v>
      </c>
      <c r="AI77" s="33">
        <f t="shared" ca="1" si="76"/>
        <v>9.7278386202932221E-3</v>
      </c>
      <c r="AJ77" s="33">
        <f t="shared" ca="1" si="76"/>
        <v>1.365445115843934E-2</v>
      </c>
      <c r="AK77" s="33">
        <f t="shared" ca="1" si="76"/>
        <v>8.7637366596360171E-3</v>
      </c>
      <c r="AL77" s="33">
        <f t="shared" ca="1" si="76"/>
        <v>1.0435316049259959E-2</v>
      </c>
      <c r="AM77" s="33">
        <f t="shared" ca="1" si="77"/>
        <v>1.0572491282201404E-2</v>
      </c>
      <c r="AN77" s="33">
        <f t="shared" ca="1" si="77"/>
        <v>9.7369737926749165E-3</v>
      </c>
      <c r="AO77" s="33">
        <f t="shared" ca="1" si="77"/>
        <v>8.6168405849724704E-3</v>
      </c>
      <c r="AP77" s="33">
        <f t="shared" ca="1" si="77"/>
        <v>1.1321264426880931E-2</v>
      </c>
      <c r="AQ77" s="33">
        <f t="shared" ca="1" si="77"/>
        <v>1.2363087177144991E-2</v>
      </c>
      <c r="AR77" s="33">
        <f t="shared" ca="1" si="77"/>
        <v>1.094352914700426E-2</v>
      </c>
      <c r="AS77" s="33">
        <f t="shared" ca="1" si="77"/>
        <v>1.0145916605311164E-2</v>
      </c>
      <c r="AT77" s="33">
        <f t="shared" ca="1" si="77"/>
        <v>1.026580501088604E-2</v>
      </c>
      <c r="AU77" s="33">
        <f t="shared" ca="1" si="77"/>
        <v>9.056257221801662E-3</v>
      </c>
      <c r="AV77" s="33">
        <f t="shared" ca="1" si="77"/>
        <v>1.2565447072350825E-2</v>
      </c>
      <c r="AW77" s="33">
        <f t="shared" ca="1" si="78"/>
        <v>9.1778707644629576E-3</v>
      </c>
      <c r="AX77" s="33">
        <f t="shared" ca="1" si="78"/>
        <v>8.9317656621163456E-3</v>
      </c>
      <c r="AY77" s="33">
        <f t="shared" ca="1" si="78"/>
        <v>1.2612911656033964E-2</v>
      </c>
      <c r="AZ77" s="33">
        <f t="shared" ca="1" si="78"/>
        <v>1.3482678067864191E-2</v>
      </c>
      <c r="BA77" s="33">
        <f t="shared" ca="1" si="78"/>
        <v>1.2099997100230244E-2</v>
      </c>
      <c r="BB77" s="33">
        <f t="shared" ca="1" si="78"/>
        <v>9.5186110235332359E-3</v>
      </c>
      <c r="BC77" s="33">
        <f t="shared" ca="1" si="78"/>
        <v>9.6176221523568348E-3</v>
      </c>
      <c r="BD77" s="33">
        <f t="shared" ca="1" si="78"/>
        <v>1.4320223292169197E-2</v>
      </c>
      <c r="BE77" s="33">
        <f t="shared" ca="1" si="78"/>
        <v>9.834837624704695E-3</v>
      </c>
      <c r="BF77" s="33">
        <f t="shared" ca="1" si="78"/>
        <v>1.1702125366787542E-2</v>
      </c>
      <c r="BG77" s="33">
        <f t="shared" ca="1" si="79"/>
        <v>1.0063920382867807E-2</v>
      </c>
      <c r="BH77" s="33">
        <f t="shared" ca="1" si="79"/>
        <v>1.1694842602042831E-2</v>
      </c>
      <c r="BI77" s="33">
        <f t="shared" ca="1" si="79"/>
        <v>9.4082554820871141E-3</v>
      </c>
      <c r="BJ77" s="33">
        <f t="shared" ca="1" si="79"/>
        <v>9.8070664779374428E-3</v>
      </c>
      <c r="BK77" s="33">
        <f t="shared" ca="1" si="79"/>
        <v>1.0951894492393845E-2</v>
      </c>
      <c r="BL77" s="33">
        <f t="shared" ca="1" si="79"/>
        <v>1.0728083519501693E-2</v>
      </c>
      <c r="BM77" s="33">
        <f t="shared" ca="1" si="79"/>
        <v>1.2120230536726234E-2</v>
      </c>
      <c r="BN77" s="33">
        <f t="shared" ca="1" si="79"/>
        <v>1.127707687074205E-2</v>
      </c>
      <c r="BO77" s="33">
        <f t="shared" ca="1" si="79"/>
        <v>1.2829937963921702E-2</v>
      </c>
      <c r="BP77" s="33">
        <f t="shared" ca="1" si="79"/>
        <v>9.7832561170499918E-3</v>
      </c>
      <c r="BQ77" s="33">
        <f t="shared" ca="1" si="80"/>
        <v>1.1888126067038991E-2</v>
      </c>
      <c r="BR77" s="33">
        <f t="shared" ca="1" si="80"/>
        <v>1.2423891296410564E-2</v>
      </c>
      <c r="BS77" s="33">
        <f t="shared" ca="1" si="80"/>
        <v>1.1786334019574459E-2</v>
      </c>
      <c r="BT77" s="33">
        <f t="shared" ca="1" si="80"/>
        <v>1.132691692515941E-2</v>
      </c>
      <c r="BU77" s="33">
        <f t="shared" ca="1" si="80"/>
        <v>1.1054181500497046E-2</v>
      </c>
      <c r="BV77" s="33">
        <f t="shared" ca="1" si="80"/>
        <v>1.1751002714380367E-2</v>
      </c>
      <c r="BW77" s="33">
        <f t="shared" ca="1" si="80"/>
        <v>1.2014546496031774E-2</v>
      </c>
      <c r="BX77" s="33">
        <f t="shared" ca="1" si="80"/>
        <v>1.1062331532012444E-2</v>
      </c>
      <c r="BY77" s="33">
        <f t="shared" ca="1" si="80"/>
        <v>1.1539956785328889E-2</v>
      </c>
      <c r="BZ77" s="33">
        <f t="shared" ca="1" si="80"/>
        <v>1.3926681228726609E-2</v>
      </c>
      <c r="CA77" s="33">
        <f t="shared" ca="1" si="81"/>
        <v>1.0735962204604065E-2</v>
      </c>
      <c r="CB77" s="33">
        <f t="shared" ca="1" si="81"/>
        <v>1.1902229605355511E-2</v>
      </c>
      <c r="CC77" s="33">
        <f t="shared" ca="1" si="81"/>
        <v>1.3772067632864579E-2</v>
      </c>
      <c r="CD77" s="33">
        <f t="shared" ca="1" si="81"/>
        <v>1.2004339493975683E-2</v>
      </c>
      <c r="CE77" s="33">
        <f t="shared" ca="1" si="81"/>
        <v>1.1929942552546834E-2</v>
      </c>
      <c r="CF77" s="33">
        <f t="shared" ca="1" si="81"/>
        <v>1.2307581106054203E-2</v>
      </c>
      <c r="CG77" s="33">
        <f t="shared" ca="1" si="81"/>
        <v>1.3392232040390212E-2</v>
      </c>
      <c r="CH77" s="33">
        <f t="shared" ca="1" si="81"/>
        <v>1.1150261947178655E-2</v>
      </c>
      <c r="CI77" s="33">
        <f t="shared" ca="1" si="81"/>
        <v>8.0393998766689102E-3</v>
      </c>
      <c r="CJ77" s="33">
        <f t="shared" ca="1" si="81"/>
        <v>1.1775339693261446E-2</v>
      </c>
      <c r="CK77" s="33">
        <f t="shared" ca="1" si="82"/>
        <v>1.3045516653220441E-2</v>
      </c>
      <c r="CL77" s="33">
        <f t="shared" ca="1" si="82"/>
        <v>9.9592662746948776E-3</v>
      </c>
      <c r="CM77" s="33">
        <f t="shared" ca="1" si="82"/>
        <v>1.0639211295361013E-2</v>
      </c>
      <c r="CN77" s="33">
        <f t="shared" ca="1" si="82"/>
        <v>1.3069413237293924E-2</v>
      </c>
      <c r="CO77" s="33">
        <f t="shared" ca="1" si="82"/>
        <v>1.0039709248342429E-2</v>
      </c>
      <c r="CP77" s="33">
        <f t="shared" ca="1" si="82"/>
        <v>1.1593104191227388E-2</v>
      </c>
      <c r="CQ77" s="33">
        <f t="shared" ca="1" si="82"/>
        <v>1.1847947428779915E-2</v>
      </c>
      <c r="CR77" s="33">
        <f t="shared" ca="1" si="82"/>
        <v>9.569626121638591E-3</v>
      </c>
      <c r="CS77" s="33">
        <f t="shared" ca="1" si="82"/>
        <v>1.2810015022291782E-2</v>
      </c>
      <c r="CT77" s="33">
        <f t="shared" ca="1" si="82"/>
        <v>8.1421096662447449E-3</v>
      </c>
      <c r="CU77" s="33">
        <f t="shared" ca="1" si="83"/>
        <v>1.1925497136820208E-2</v>
      </c>
      <c r="CV77" s="33">
        <f t="shared" ca="1" si="83"/>
        <v>1.2554905152873644E-2</v>
      </c>
      <c r="CW77" s="33">
        <f t="shared" ca="1" si="83"/>
        <v>1.3591622526877954E-2</v>
      </c>
      <c r="CX77" s="33">
        <f t="shared" ca="1" si="83"/>
        <v>1.0159958359206052E-2</v>
      </c>
      <c r="CY77" s="33">
        <f t="shared" ca="1" si="83"/>
        <v>1.2009515425459348E-2</v>
      </c>
      <c r="CZ77" s="33">
        <f t="shared" ca="1" si="83"/>
        <v>1.0446537288155765E-2</v>
      </c>
      <c r="DA77" s="33">
        <f t="shared" ca="1" si="83"/>
        <v>1.1205095884251934E-2</v>
      </c>
      <c r="DB77" s="33">
        <f t="shared" ca="1" si="83"/>
        <v>1.0244080734418208E-2</v>
      </c>
      <c r="DC77" s="33">
        <f t="shared" ca="1" si="83"/>
        <v>1.4275474344562273E-2</v>
      </c>
      <c r="DD77" s="33">
        <f t="shared" ca="1" si="83"/>
        <v>1.2665238178029985E-2</v>
      </c>
      <c r="DE77" s="33">
        <f t="shared" ca="1" si="84"/>
        <v>1.1115632106212652E-2</v>
      </c>
      <c r="DF77" s="33">
        <f t="shared" ca="1" si="84"/>
        <v>9.3183290243930052E-3</v>
      </c>
      <c r="DG77" s="33">
        <f t="shared" ca="1" si="84"/>
        <v>1.3789939167607573E-2</v>
      </c>
      <c r="DH77" s="33">
        <f t="shared" ca="1" si="84"/>
        <v>9.5618765744194447E-3</v>
      </c>
      <c r="DI77" s="33">
        <f t="shared" ca="1" si="84"/>
        <v>1.0493844645113689E-2</v>
      </c>
      <c r="DJ77" s="33">
        <f t="shared" ca="1" si="84"/>
        <v>1.1786454220561746E-2</v>
      </c>
      <c r="DK77" s="33">
        <f t="shared" ca="1" si="84"/>
        <v>1.0105732308578013E-2</v>
      </c>
      <c r="DL77" s="33">
        <f t="shared" ca="1" si="84"/>
        <v>9.3307210584909171E-3</v>
      </c>
      <c r="DM77" s="33">
        <f t="shared" ca="1" si="84"/>
        <v>1.2737386856353923E-2</v>
      </c>
      <c r="DN77" s="33">
        <f t="shared" ca="1" si="84"/>
        <v>1.2497825655750526E-2</v>
      </c>
      <c r="DO77" s="12"/>
      <c r="DP77" s="12"/>
      <c r="DQ77" s="12"/>
    </row>
    <row r="78" spans="9:121" x14ac:dyDescent="0.2">
      <c r="I78" s="32">
        <v>46784</v>
      </c>
      <c r="J78" s="33">
        <f t="shared" ca="1" si="73"/>
        <v>1.2580265623461893E-2</v>
      </c>
      <c r="K78" s="9">
        <v>3554.2025500799996</v>
      </c>
      <c r="L78" s="9">
        <f t="shared" ca="1" si="74"/>
        <v>263262.80720402196</v>
      </c>
      <c r="N78" s="6">
        <v>74</v>
      </c>
      <c r="O78" s="5">
        <v>3.8943343196637428</v>
      </c>
      <c r="P78" s="9">
        <v>673823.84305988066</v>
      </c>
      <c r="R78" s="32">
        <v>46784</v>
      </c>
      <c r="S78" s="33">
        <f t="shared" ca="1" si="75"/>
        <v>1.0024457774190943E-2</v>
      </c>
      <c r="T78" s="33">
        <f t="shared" ca="1" si="75"/>
        <v>1.065294011737412E-2</v>
      </c>
      <c r="U78" s="33">
        <f t="shared" ca="1" si="75"/>
        <v>1.3050028222772575E-2</v>
      </c>
      <c r="V78" s="33">
        <f t="shared" ca="1" si="75"/>
        <v>1.0880741859357061E-2</v>
      </c>
      <c r="W78" s="33">
        <f t="shared" ca="1" si="75"/>
        <v>9.9435067958995003E-3</v>
      </c>
      <c r="X78" s="33">
        <f t="shared" ca="1" si="75"/>
        <v>8.9713959164598144E-3</v>
      </c>
      <c r="Y78" s="33">
        <f t="shared" ca="1" si="75"/>
        <v>1.0184721429423105E-2</v>
      </c>
      <c r="Z78" s="33">
        <f t="shared" ca="1" si="75"/>
        <v>9.0751225202701548E-3</v>
      </c>
      <c r="AA78" s="33">
        <f t="shared" ca="1" si="75"/>
        <v>1.0161209644302737E-2</v>
      </c>
      <c r="AB78" s="33">
        <f t="shared" ca="1" si="75"/>
        <v>1.3017857234288863E-2</v>
      </c>
      <c r="AC78" s="33">
        <f t="shared" ca="1" si="76"/>
        <v>1.2142083520372869E-2</v>
      </c>
      <c r="AD78" s="33">
        <f t="shared" ca="1" si="76"/>
        <v>1.2261473246130293E-2</v>
      </c>
      <c r="AE78" s="33">
        <f t="shared" ca="1" si="76"/>
        <v>9.6367434825475849E-3</v>
      </c>
      <c r="AF78" s="33">
        <f t="shared" ca="1" si="76"/>
        <v>1.1182718355086066E-2</v>
      </c>
      <c r="AG78" s="33">
        <f t="shared" ca="1" si="76"/>
        <v>1.1275645199042813E-2</v>
      </c>
      <c r="AH78" s="33">
        <f t="shared" ca="1" si="76"/>
        <v>8.0205851931154631E-3</v>
      </c>
      <c r="AI78" s="33">
        <f t="shared" ca="1" si="76"/>
        <v>1.0647073272310065E-2</v>
      </c>
      <c r="AJ78" s="33">
        <f t="shared" ca="1" si="76"/>
        <v>9.269656785157768E-3</v>
      </c>
      <c r="AK78" s="33">
        <f t="shared" ca="1" si="76"/>
        <v>1.0526793456767511E-2</v>
      </c>
      <c r="AL78" s="33">
        <f t="shared" ca="1" si="76"/>
        <v>1.2787502708949849E-2</v>
      </c>
      <c r="AM78" s="33">
        <f t="shared" ca="1" si="77"/>
        <v>1.2071176399448042E-2</v>
      </c>
      <c r="AN78" s="33">
        <f t="shared" ca="1" si="77"/>
        <v>1.1464409196859026E-2</v>
      </c>
      <c r="AO78" s="33">
        <f t="shared" ca="1" si="77"/>
        <v>1.3049689561810006E-2</v>
      </c>
      <c r="AP78" s="33">
        <f t="shared" ca="1" si="77"/>
        <v>1.0693123114076069E-2</v>
      </c>
      <c r="AQ78" s="33">
        <f t="shared" ca="1" si="77"/>
        <v>1.1496789482514881E-2</v>
      </c>
      <c r="AR78" s="33">
        <f t="shared" ca="1" si="77"/>
        <v>1.0752444769373933E-2</v>
      </c>
      <c r="AS78" s="33">
        <f t="shared" ca="1" si="77"/>
        <v>1.3819202498118362E-2</v>
      </c>
      <c r="AT78" s="33">
        <f t="shared" ca="1" si="77"/>
        <v>1.16115212824028E-2</v>
      </c>
      <c r="AU78" s="33">
        <f t="shared" ca="1" si="77"/>
        <v>1.0357402234382551E-2</v>
      </c>
      <c r="AV78" s="33">
        <f t="shared" ca="1" si="77"/>
        <v>1.0894240023878331E-2</v>
      </c>
      <c r="AW78" s="33">
        <f t="shared" ca="1" si="78"/>
        <v>1.2602553959170846E-2</v>
      </c>
      <c r="AX78" s="33">
        <f t="shared" ca="1" si="78"/>
        <v>8.5787423477294011E-3</v>
      </c>
      <c r="AY78" s="33">
        <f t="shared" ca="1" si="78"/>
        <v>1.4191735260431403E-2</v>
      </c>
      <c r="AZ78" s="33">
        <f t="shared" ca="1" si="78"/>
        <v>1.0335670032138328E-2</v>
      </c>
      <c r="BA78" s="33">
        <f t="shared" ca="1" si="78"/>
        <v>1.1124861455373603E-2</v>
      </c>
      <c r="BB78" s="33">
        <f t="shared" ca="1" si="78"/>
        <v>1.1036344844327767E-2</v>
      </c>
      <c r="BC78" s="33">
        <f t="shared" ca="1" si="78"/>
        <v>1.3628512260838943E-2</v>
      </c>
      <c r="BD78" s="33">
        <f t="shared" ca="1" si="78"/>
        <v>1.2012076715119989E-2</v>
      </c>
      <c r="BE78" s="33">
        <f t="shared" ca="1" si="78"/>
        <v>1.1787958502648369E-2</v>
      </c>
      <c r="BF78" s="33">
        <f t="shared" ca="1" si="78"/>
        <v>1.1297983397101757E-2</v>
      </c>
      <c r="BG78" s="33">
        <f t="shared" ca="1" si="79"/>
        <v>1.3137697828268069E-2</v>
      </c>
      <c r="BH78" s="33">
        <f t="shared" ca="1" si="79"/>
        <v>1.0167382613053359E-2</v>
      </c>
      <c r="BI78" s="33">
        <f t="shared" ca="1" si="79"/>
        <v>1.2311356873687564E-2</v>
      </c>
      <c r="BJ78" s="33">
        <f t="shared" ca="1" si="79"/>
        <v>1.1907570122878561E-2</v>
      </c>
      <c r="BK78" s="33">
        <f t="shared" ca="1" si="79"/>
        <v>1.1814424561853628E-2</v>
      </c>
      <c r="BL78" s="33">
        <f t="shared" ca="1" si="79"/>
        <v>1.1845815991323108E-2</v>
      </c>
      <c r="BM78" s="33">
        <f t="shared" ca="1" si="79"/>
        <v>1.2921575873678124E-2</v>
      </c>
      <c r="BN78" s="33">
        <f t="shared" ca="1" si="79"/>
        <v>8.168801469792774E-3</v>
      </c>
      <c r="BO78" s="33">
        <f t="shared" ca="1" si="79"/>
        <v>1.1754760936165162E-2</v>
      </c>
      <c r="BP78" s="33">
        <f t="shared" ca="1" si="79"/>
        <v>1.0749693610435186E-2</v>
      </c>
      <c r="BQ78" s="33">
        <f t="shared" ca="1" si="80"/>
        <v>1.2690409934963684E-2</v>
      </c>
      <c r="BR78" s="33">
        <f t="shared" ca="1" si="80"/>
        <v>1.1235981254945572E-2</v>
      </c>
      <c r="BS78" s="33">
        <f t="shared" ca="1" si="80"/>
        <v>1.1768403633410396E-2</v>
      </c>
      <c r="BT78" s="33">
        <f t="shared" ca="1" si="80"/>
        <v>1.1282307827614971E-2</v>
      </c>
      <c r="BU78" s="33">
        <f t="shared" ca="1" si="80"/>
        <v>1.2076274644741376E-2</v>
      </c>
      <c r="BV78" s="33">
        <f t="shared" ca="1" si="80"/>
        <v>1.3308837989574239E-2</v>
      </c>
      <c r="BW78" s="33">
        <f t="shared" ca="1" si="80"/>
        <v>1.072729860945619E-2</v>
      </c>
      <c r="BX78" s="33">
        <f t="shared" ca="1" si="80"/>
        <v>1.2996858439578349E-2</v>
      </c>
      <c r="BY78" s="33">
        <f t="shared" ca="1" si="80"/>
        <v>1.0104876020646282E-2</v>
      </c>
      <c r="BZ78" s="33">
        <f t="shared" ca="1" si="80"/>
        <v>1.1517084925622379E-2</v>
      </c>
      <c r="CA78" s="33">
        <f t="shared" ca="1" si="81"/>
        <v>1.2503236605099005E-2</v>
      </c>
      <c r="CB78" s="33">
        <f t="shared" ca="1" si="81"/>
        <v>1.2538345900263722E-2</v>
      </c>
      <c r="CC78" s="33">
        <f t="shared" ca="1" si="81"/>
        <v>1.1020723782770768E-2</v>
      </c>
      <c r="CD78" s="33">
        <f t="shared" ca="1" si="81"/>
        <v>7.4261227070925879E-3</v>
      </c>
      <c r="CE78" s="33">
        <f t="shared" ca="1" si="81"/>
        <v>1.3809925621701073E-2</v>
      </c>
      <c r="CF78" s="33">
        <f t="shared" ca="1" si="81"/>
        <v>1.2003354838934228E-2</v>
      </c>
      <c r="CG78" s="33">
        <f t="shared" ca="1" si="81"/>
        <v>1.2808849764420352E-2</v>
      </c>
      <c r="CH78" s="33">
        <f t="shared" ca="1" si="81"/>
        <v>1.2445984042105727E-2</v>
      </c>
      <c r="CI78" s="33">
        <f t="shared" ca="1" si="81"/>
        <v>1.1041861717207857E-2</v>
      </c>
      <c r="CJ78" s="33">
        <f t="shared" ca="1" si="81"/>
        <v>1.3574636188795524E-2</v>
      </c>
      <c r="CK78" s="33">
        <f t="shared" ca="1" si="82"/>
        <v>8.4853900974431809E-3</v>
      </c>
      <c r="CL78" s="33">
        <f t="shared" ca="1" si="82"/>
        <v>1.0324982687338658E-2</v>
      </c>
      <c r="CM78" s="33">
        <f t="shared" ca="1" si="82"/>
        <v>1.1112514835718051E-2</v>
      </c>
      <c r="CN78" s="33">
        <f t="shared" ca="1" si="82"/>
        <v>1.0856506361055011E-2</v>
      </c>
      <c r="CO78" s="33">
        <f t="shared" ca="1" si="82"/>
        <v>9.8992422414779062E-3</v>
      </c>
      <c r="CP78" s="33">
        <f t="shared" ca="1" si="82"/>
        <v>1.0214957503451739E-2</v>
      </c>
      <c r="CQ78" s="33">
        <f t="shared" ca="1" si="82"/>
        <v>9.8325574608572105E-3</v>
      </c>
      <c r="CR78" s="33">
        <f t="shared" ca="1" si="82"/>
        <v>9.5683556169912851E-3</v>
      </c>
      <c r="CS78" s="33">
        <f t="shared" ca="1" si="82"/>
        <v>1.0307232991455334E-2</v>
      </c>
      <c r="CT78" s="33">
        <f t="shared" ca="1" si="82"/>
        <v>1.3241519713081079E-2</v>
      </c>
      <c r="CU78" s="33">
        <f t="shared" ca="1" si="83"/>
        <v>1.1718373331800076E-2</v>
      </c>
      <c r="CV78" s="33">
        <f t="shared" ca="1" si="83"/>
        <v>9.3327150836716687E-3</v>
      </c>
      <c r="CW78" s="33">
        <f t="shared" ca="1" si="83"/>
        <v>1.171434342076093E-2</v>
      </c>
      <c r="CX78" s="33">
        <f t="shared" ca="1" si="83"/>
        <v>1.0307730469978422E-2</v>
      </c>
      <c r="CY78" s="33">
        <f t="shared" ca="1" si="83"/>
        <v>1.0761973033487533E-2</v>
      </c>
      <c r="CZ78" s="33">
        <f t="shared" ca="1" si="83"/>
        <v>1.2931636107375945E-2</v>
      </c>
      <c r="DA78" s="33">
        <f t="shared" ca="1" si="83"/>
        <v>9.0968832643017975E-3</v>
      </c>
      <c r="DB78" s="33">
        <f t="shared" ca="1" si="83"/>
        <v>1.2372126897205071E-2</v>
      </c>
      <c r="DC78" s="33">
        <f t="shared" ca="1" si="83"/>
        <v>1.0652172535640615E-2</v>
      </c>
      <c r="DD78" s="33">
        <f t="shared" ca="1" si="83"/>
        <v>9.9461794228555885E-3</v>
      </c>
      <c r="DE78" s="33">
        <f t="shared" ca="1" si="84"/>
        <v>1.1361153972404637E-2</v>
      </c>
      <c r="DF78" s="33">
        <f t="shared" ca="1" si="84"/>
        <v>1.0822432483556348E-2</v>
      </c>
      <c r="DG78" s="33">
        <f t="shared" ca="1" si="84"/>
        <v>1.1054112213240083E-2</v>
      </c>
      <c r="DH78" s="33">
        <f t="shared" ca="1" si="84"/>
        <v>1.1891959414505453E-2</v>
      </c>
      <c r="DI78" s="33">
        <f t="shared" ca="1" si="84"/>
        <v>1.3882395714884335E-2</v>
      </c>
      <c r="DJ78" s="33">
        <f t="shared" ca="1" si="84"/>
        <v>1.1850556997650323E-2</v>
      </c>
      <c r="DK78" s="33">
        <f t="shared" ca="1" si="84"/>
        <v>1.107953422651326E-2</v>
      </c>
      <c r="DL78" s="33">
        <f t="shared" ca="1" si="84"/>
        <v>8.4836630643799638E-3</v>
      </c>
      <c r="DM78" s="33">
        <f t="shared" ca="1" si="84"/>
        <v>1.1938615807555822E-2</v>
      </c>
      <c r="DN78" s="33">
        <f t="shared" ca="1" si="84"/>
        <v>1.2535659225649125E-2</v>
      </c>
      <c r="DO78" s="12"/>
      <c r="DP78" s="12"/>
      <c r="DQ78" s="12"/>
    </row>
    <row r="79" spans="9:121" x14ac:dyDescent="0.2">
      <c r="I79" s="32">
        <v>46813</v>
      </c>
      <c r="J79" s="33">
        <f t="shared" ca="1" si="73"/>
        <v>1.1197043766395853E-2</v>
      </c>
      <c r="K79" s="9">
        <v>3554.2025500799996</v>
      </c>
      <c r="L79" s="9">
        <f t="shared" ca="1" si="74"/>
        <v>269781.33982448798</v>
      </c>
      <c r="N79" s="6">
        <v>75</v>
      </c>
      <c r="O79" s="5">
        <v>3.9630235039752728</v>
      </c>
      <c r="P79" s="9">
        <v>685741.99540126265</v>
      </c>
      <c r="R79" s="32">
        <v>46813</v>
      </c>
      <c r="S79" s="33">
        <f t="shared" ca="1" si="75"/>
        <v>1.198261847209525E-2</v>
      </c>
      <c r="T79" s="33">
        <f t="shared" ca="1" si="75"/>
        <v>1.000458414249897E-2</v>
      </c>
      <c r="U79" s="33">
        <f t="shared" ca="1" si="75"/>
        <v>1.2524688071391918E-2</v>
      </c>
      <c r="V79" s="33">
        <f t="shared" ca="1" si="75"/>
        <v>9.4329108730058231E-3</v>
      </c>
      <c r="W79" s="33">
        <f t="shared" ca="1" si="75"/>
        <v>9.898716698858806E-3</v>
      </c>
      <c r="X79" s="33">
        <f t="shared" ca="1" si="75"/>
        <v>1.1839740866254268E-2</v>
      </c>
      <c r="Y79" s="33">
        <f t="shared" ca="1" si="75"/>
        <v>1.0810429085186792E-2</v>
      </c>
      <c r="Z79" s="33">
        <f t="shared" ca="1" si="75"/>
        <v>1.2280609169056989E-2</v>
      </c>
      <c r="AA79" s="33">
        <f t="shared" ca="1" si="75"/>
        <v>1.3785169831898363E-2</v>
      </c>
      <c r="AB79" s="33">
        <f t="shared" ca="1" si="75"/>
        <v>1.0097349161425191E-2</v>
      </c>
      <c r="AC79" s="33">
        <f t="shared" ca="1" si="76"/>
        <v>1.328792715372242E-2</v>
      </c>
      <c r="AD79" s="33">
        <f t="shared" ca="1" si="76"/>
        <v>1.1513331153278352E-2</v>
      </c>
      <c r="AE79" s="33">
        <f t="shared" ca="1" si="76"/>
        <v>1.1122731631561938E-2</v>
      </c>
      <c r="AF79" s="33">
        <f t="shared" ca="1" si="76"/>
        <v>9.0842182931248766E-3</v>
      </c>
      <c r="AG79" s="33">
        <f t="shared" ca="1" si="76"/>
        <v>1.161637624702571E-2</v>
      </c>
      <c r="AH79" s="33">
        <f t="shared" ca="1" si="76"/>
        <v>1.0468133190851667E-2</v>
      </c>
      <c r="AI79" s="33">
        <f t="shared" ca="1" si="76"/>
        <v>9.054733528090813E-3</v>
      </c>
      <c r="AJ79" s="33">
        <f t="shared" ca="1" si="76"/>
        <v>9.9637185558091104E-3</v>
      </c>
      <c r="AK79" s="33">
        <f t="shared" ca="1" si="76"/>
        <v>1.1712629577568433E-2</v>
      </c>
      <c r="AL79" s="33">
        <f t="shared" ca="1" si="76"/>
        <v>1.108522343167536E-2</v>
      </c>
      <c r="AM79" s="33">
        <f t="shared" ca="1" si="77"/>
        <v>9.9282327645175555E-3</v>
      </c>
      <c r="AN79" s="33">
        <f t="shared" ca="1" si="77"/>
        <v>9.5691097799649304E-3</v>
      </c>
      <c r="AO79" s="33">
        <f t="shared" ca="1" si="77"/>
        <v>1.0500621188369842E-2</v>
      </c>
      <c r="AP79" s="33">
        <f t="shared" ca="1" si="77"/>
        <v>1.0627572776365741E-2</v>
      </c>
      <c r="AQ79" s="33">
        <f t="shared" ca="1" si="77"/>
        <v>1.2414565249943077E-2</v>
      </c>
      <c r="AR79" s="33">
        <f t="shared" ca="1" si="77"/>
        <v>1.2057447090173472E-2</v>
      </c>
      <c r="AS79" s="33">
        <f t="shared" ca="1" si="77"/>
        <v>1.3419666383731765E-2</v>
      </c>
      <c r="AT79" s="33">
        <f t="shared" ca="1" si="77"/>
        <v>1.3417772006647519E-2</v>
      </c>
      <c r="AU79" s="33">
        <f t="shared" ca="1" si="77"/>
        <v>1.109512500401468E-2</v>
      </c>
      <c r="AV79" s="33">
        <f t="shared" ca="1" si="77"/>
        <v>1.0522820475303922E-2</v>
      </c>
      <c r="AW79" s="33">
        <f t="shared" ca="1" si="78"/>
        <v>7.4308031171769987E-3</v>
      </c>
      <c r="AX79" s="33">
        <f t="shared" ca="1" si="78"/>
        <v>9.1441042513497016E-3</v>
      </c>
      <c r="AY79" s="33">
        <f t="shared" ca="1" si="78"/>
        <v>1.06322610652785E-2</v>
      </c>
      <c r="AZ79" s="33">
        <f t="shared" ca="1" si="78"/>
        <v>9.6906743019013961E-3</v>
      </c>
      <c r="BA79" s="33">
        <f t="shared" ca="1" si="78"/>
        <v>8.0904797030115529E-3</v>
      </c>
      <c r="BB79" s="33">
        <f t="shared" ca="1" si="78"/>
        <v>1.2502627826510964E-2</v>
      </c>
      <c r="BC79" s="33">
        <f t="shared" ca="1" si="78"/>
        <v>1.0173496582040047E-2</v>
      </c>
      <c r="BD79" s="33">
        <f t="shared" ca="1" si="78"/>
        <v>1.2139433491841123E-2</v>
      </c>
      <c r="BE79" s="33">
        <f t="shared" ca="1" si="78"/>
        <v>1.2623100830085053E-2</v>
      </c>
      <c r="BF79" s="33">
        <f t="shared" ca="1" si="78"/>
        <v>9.8155321579800198E-3</v>
      </c>
      <c r="BG79" s="33">
        <f t="shared" ca="1" si="79"/>
        <v>9.6091698462625087E-3</v>
      </c>
      <c r="BH79" s="33">
        <f t="shared" ca="1" si="79"/>
        <v>1.2464665625223949E-2</v>
      </c>
      <c r="BI79" s="33">
        <f t="shared" ca="1" si="79"/>
        <v>9.5677122950913428E-3</v>
      </c>
      <c r="BJ79" s="33">
        <f t="shared" ca="1" si="79"/>
        <v>1.255883964011105E-2</v>
      </c>
      <c r="BK79" s="33">
        <f t="shared" ca="1" si="79"/>
        <v>1.041062375078608E-2</v>
      </c>
      <c r="BL79" s="33">
        <f t="shared" ca="1" si="79"/>
        <v>9.3473808251191524E-3</v>
      </c>
      <c r="BM79" s="33">
        <f t="shared" ca="1" si="79"/>
        <v>1.4051793042331616E-2</v>
      </c>
      <c r="BN79" s="33">
        <f t="shared" ca="1" si="79"/>
        <v>9.7362467013739074E-3</v>
      </c>
      <c r="BO79" s="33">
        <f t="shared" ca="1" si="79"/>
        <v>1.3711298540441463E-2</v>
      </c>
      <c r="BP79" s="33">
        <f t="shared" ca="1" si="79"/>
        <v>1.3065504982522989E-2</v>
      </c>
      <c r="BQ79" s="33">
        <f t="shared" ca="1" si="80"/>
        <v>1.0798203084725925E-2</v>
      </c>
      <c r="BR79" s="33">
        <f t="shared" ca="1" si="80"/>
        <v>1.2649922993117837E-2</v>
      </c>
      <c r="BS79" s="33">
        <f t="shared" ca="1" si="80"/>
        <v>1.2227461258209438E-2</v>
      </c>
      <c r="BT79" s="33">
        <f t="shared" ca="1" si="80"/>
        <v>1.0904697691983141E-2</v>
      </c>
      <c r="BU79" s="33">
        <f t="shared" ca="1" si="80"/>
        <v>1.3548000448192654E-2</v>
      </c>
      <c r="BV79" s="33">
        <f t="shared" ca="1" si="80"/>
        <v>1.34353969331353E-2</v>
      </c>
      <c r="BW79" s="33">
        <f t="shared" ca="1" si="80"/>
        <v>1.2729888537457455E-2</v>
      </c>
      <c r="BX79" s="33">
        <f t="shared" ca="1" si="80"/>
        <v>9.97836345346159E-3</v>
      </c>
      <c r="BY79" s="33">
        <f t="shared" ca="1" si="80"/>
        <v>1.0325732294707627E-2</v>
      </c>
      <c r="BZ79" s="33">
        <f t="shared" ca="1" si="80"/>
        <v>1.0654508049815927E-2</v>
      </c>
      <c r="CA79" s="33">
        <f t="shared" ca="1" si="81"/>
        <v>1.2211215972473575E-2</v>
      </c>
      <c r="CB79" s="33">
        <f t="shared" ca="1" si="81"/>
        <v>1.2170150190741654E-2</v>
      </c>
      <c r="CC79" s="33">
        <f t="shared" ca="1" si="81"/>
        <v>1.1972018602958961E-2</v>
      </c>
      <c r="CD79" s="33">
        <f t="shared" ca="1" si="81"/>
        <v>8.3209821260161552E-3</v>
      </c>
      <c r="CE79" s="33">
        <f t="shared" ca="1" si="81"/>
        <v>1.4509831171851185E-2</v>
      </c>
      <c r="CF79" s="33">
        <f t="shared" ca="1" si="81"/>
        <v>1.2035958909163157E-2</v>
      </c>
      <c r="CG79" s="33">
        <f t="shared" ca="1" si="81"/>
        <v>9.8411866015106573E-3</v>
      </c>
      <c r="CH79" s="33">
        <f t="shared" ca="1" si="81"/>
        <v>1.1141769320734277E-2</v>
      </c>
      <c r="CI79" s="33">
        <f t="shared" ca="1" si="81"/>
        <v>9.949016370237266E-3</v>
      </c>
      <c r="CJ79" s="33">
        <f t="shared" ca="1" si="81"/>
        <v>1.0206956058047749E-2</v>
      </c>
      <c r="CK79" s="33">
        <f t="shared" ca="1" si="82"/>
        <v>1.1907484311862986E-2</v>
      </c>
      <c r="CL79" s="33">
        <f t="shared" ca="1" si="82"/>
        <v>8.6536662055287702E-3</v>
      </c>
      <c r="CM79" s="33">
        <f t="shared" ca="1" si="82"/>
        <v>1.114950649693554E-2</v>
      </c>
      <c r="CN79" s="33">
        <f t="shared" ca="1" si="82"/>
        <v>1.391030200134692E-2</v>
      </c>
      <c r="CO79" s="33">
        <f t="shared" ca="1" si="82"/>
        <v>1.0872895422923237E-2</v>
      </c>
      <c r="CP79" s="33">
        <f t="shared" ca="1" si="82"/>
        <v>1.3586554593745838E-2</v>
      </c>
      <c r="CQ79" s="33">
        <f t="shared" ca="1" si="82"/>
        <v>8.406308306189221E-3</v>
      </c>
      <c r="CR79" s="33">
        <f t="shared" ca="1" si="82"/>
        <v>1.1946165310373843E-2</v>
      </c>
      <c r="CS79" s="33">
        <f t="shared" ca="1" si="82"/>
        <v>9.8041234484837897E-3</v>
      </c>
      <c r="CT79" s="33">
        <f t="shared" ca="1" si="82"/>
        <v>1.2413060974354193E-2</v>
      </c>
      <c r="CU79" s="33">
        <f t="shared" ca="1" si="83"/>
        <v>1.2554750081633832E-2</v>
      </c>
      <c r="CV79" s="33">
        <f t="shared" ca="1" si="83"/>
        <v>1.1420112701908802E-2</v>
      </c>
      <c r="CW79" s="33">
        <f t="shared" ca="1" si="83"/>
        <v>1.1812174720790047E-2</v>
      </c>
      <c r="CX79" s="33">
        <f t="shared" ca="1" si="83"/>
        <v>1.0167537789840236E-2</v>
      </c>
      <c r="CY79" s="33">
        <f t="shared" ca="1" si="83"/>
        <v>1.0742815437117994E-2</v>
      </c>
      <c r="CZ79" s="33">
        <f t="shared" ca="1" si="83"/>
        <v>1.1890618998848912E-2</v>
      </c>
      <c r="DA79" s="33">
        <f t="shared" ca="1" si="83"/>
        <v>9.4303658070886073E-3</v>
      </c>
      <c r="DB79" s="33">
        <f t="shared" ca="1" si="83"/>
        <v>1.1133153707657752E-2</v>
      </c>
      <c r="DC79" s="33">
        <f t="shared" ca="1" si="83"/>
        <v>1.2882208654953356E-2</v>
      </c>
      <c r="DD79" s="33">
        <f t="shared" ca="1" si="83"/>
        <v>9.9682809859003123E-3</v>
      </c>
      <c r="DE79" s="33">
        <f t="shared" ca="1" si="84"/>
        <v>1.269320611884937E-2</v>
      </c>
      <c r="DF79" s="33">
        <f t="shared" ca="1" si="84"/>
        <v>1.2636100641965301E-2</v>
      </c>
      <c r="DG79" s="33">
        <f t="shared" ca="1" si="84"/>
        <v>1.2597002275793485E-2</v>
      </c>
      <c r="DH79" s="33">
        <f t="shared" ca="1" si="84"/>
        <v>1.2222614160357182E-2</v>
      </c>
      <c r="DI79" s="33">
        <f t="shared" ca="1" si="84"/>
        <v>1.4125333062801327E-2</v>
      </c>
      <c r="DJ79" s="33">
        <f t="shared" ca="1" si="84"/>
        <v>1.1724736046100966E-2</v>
      </c>
      <c r="DK79" s="33">
        <f t="shared" ca="1" si="84"/>
        <v>1.0959027804891022E-2</v>
      </c>
      <c r="DL79" s="33">
        <f t="shared" ca="1" si="84"/>
        <v>1.2288398030382744E-2</v>
      </c>
      <c r="DM79" s="33">
        <f t="shared" ca="1" si="84"/>
        <v>1.1957123431567938E-2</v>
      </c>
      <c r="DN79" s="33">
        <f t="shared" ca="1" si="84"/>
        <v>1.3310976461233368E-2</v>
      </c>
      <c r="DO79" s="12"/>
      <c r="DP79" s="12"/>
      <c r="DQ79" s="12"/>
    </row>
    <row r="80" spans="9:121" x14ac:dyDescent="0.2">
      <c r="I80" s="32">
        <v>46844</v>
      </c>
      <c r="J80" s="33">
        <f t="shared" ca="1" si="73"/>
        <v>1.0955543808056989E-2</v>
      </c>
      <c r="K80" s="9">
        <v>3554.2025500799996</v>
      </c>
      <c r="L80" s="9">
        <f t="shared" ca="1" si="74"/>
        <v>276307.39305740868</v>
      </c>
      <c r="N80" s="6">
        <v>76</v>
      </c>
      <c r="O80" s="5">
        <v>4.003804906692336</v>
      </c>
      <c r="P80" s="9">
        <v>693960.5424472735</v>
      </c>
      <c r="R80" s="32">
        <v>46844</v>
      </c>
      <c r="S80" s="33">
        <f t="shared" ca="1" si="75"/>
        <v>1.2349093686263074E-2</v>
      </c>
      <c r="T80" s="33">
        <f t="shared" ca="1" si="75"/>
        <v>1.2463558945321945E-2</v>
      </c>
      <c r="U80" s="33">
        <f t="shared" ca="1" si="75"/>
        <v>1.0049419994290799E-2</v>
      </c>
      <c r="V80" s="33">
        <f t="shared" ca="1" si="75"/>
        <v>1.1835901745209767E-2</v>
      </c>
      <c r="W80" s="33">
        <f t="shared" ca="1" si="75"/>
        <v>1.0229753990945598E-2</v>
      </c>
      <c r="X80" s="33">
        <f t="shared" ca="1" si="75"/>
        <v>1.0829691103511892E-2</v>
      </c>
      <c r="Y80" s="33">
        <f t="shared" ca="1" si="75"/>
        <v>1.3577030219484964E-2</v>
      </c>
      <c r="Z80" s="33">
        <f t="shared" ca="1" si="75"/>
        <v>1.2314407718012236E-2</v>
      </c>
      <c r="AA80" s="33">
        <f t="shared" ca="1" si="75"/>
        <v>1.0350037634744763E-2</v>
      </c>
      <c r="AB80" s="33">
        <f t="shared" ca="1" si="75"/>
        <v>1.2620436558667257E-2</v>
      </c>
      <c r="AC80" s="33">
        <f t="shared" ca="1" si="76"/>
        <v>1.3383879748598112E-2</v>
      </c>
      <c r="AD80" s="33">
        <f t="shared" ca="1" si="76"/>
        <v>1.0199919777000204E-2</v>
      </c>
      <c r="AE80" s="33">
        <f t="shared" ca="1" si="76"/>
        <v>1.027316345170556E-2</v>
      </c>
      <c r="AF80" s="33">
        <f t="shared" ca="1" si="76"/>
        <v>1.1000125460998132E-2</v>
      </c>
      <c r="AG80" s="33">
        <f t="shared" ca="1" si="76"/>
        <v>1.1314664585946601E-2</v>
      </c>
      <c r="AH80" s="33">
        <f t="shared" ca="1" si="76"/>
        <v>1.4240904164274145E-2</v>
      </c>
      <c r="AI80" s="33">
        <f t="shared" ca="1" si="76"/>
        <v>1.0430872717274707E-2</v>
      </c>
      <c r="AJ80" s="33">
        <f t="shared" ca="1" si="76"/>
        <v>1.1128582189118571E-2</v>
      </c>
      <c r="AK80" s="33">
        <f t="shared" ca="1" si="76"/>
        <v>1.3285043111842946E-2</v>
      </c>
      <c r="AL80" s="33">
        <f t="shared" ca="1" si="76"/>
        <v>1.14431896594956E-2</v>
      </c>
      <c r="AM80" s="33">
        <f t="shared" ca="1" si="77"/>
        <v>1.2014319537815355E-2</v>
      </c>
      <c r="AN80" s="33">
        <f t="shared" ca="1" si="77"/>
        <v>9.5799357893158778E-3</v>
      </c>
      <c r="AO80" s="33">
        <f t="shared" ca="1" si="77"/>
        <v>1.1635548526104329E-2</v>
      </c>
      <c r="AP80" s="33">
        <f t="shared" ca="1" si="77"/>
        <v>9.599732044326327E-3</v>
      </c>
      <c r="AQ80" s="33">
        <f t="shared" ca="1" si="77"/>
        <v>1.0833590647623683E-2</v>
      </c>
      <c r="AR80" s="33">
        <f t="shared" ca="1" si="77"/>
        <v>1.0231407497464802E-2</v>
      </c>
      <c r="AS80" s="33">
        <f t="shared" ca="1" si="77"/>
        <v>1.2366526993192536E-2</v>
      </c>
      <c r="AT80" s="33">
        <f t="shared" ca="1" si="77"/>
        <v>1.4072252507435112E-2</v>
      </c>
      <c r="AU80" s="33">
        <f t="shared" ca="1" si="77"/>
        <v>1.0371606625274036E-2</v>
      </c>
      <c r="AV80" s="33">
        <f t="shared" ca="1" si="77"/>
        <v>1.0335090247117019E-2</v>
      </c>
      <c r="AW80" s="33">
        <f t="shared" ca="1" si="78"/>
        <v>1.1395541617181938E-2</v>
      </c>
      <c r="AX80" s="33">
        <f t="shared" ca="1" si="78"/>
        <v>9.1340188589384332E-3</v>
      </c>
      <c r="AY80" s="33">
        <f t="shared" ca="1" si="78"/>
        <v>1.3616197634354146E-2</v>
      </c>
      <c r="AZ80" s="33">
        <f t="shared" ca="1" si="78"/>
        <v>1.0321526643264531E-2</v>
      </c>
      <c r="BA80" s="33">
        <f t="shared" ca="1" si="78"/>
        <v>1.1165527775811413E-2</v>
      </c>
      <c r="BB80" s="33">
        <f t="shared" ca="1" si="78"/>
        <v>1.1081993705804833E-2</v>
      </c>
      <c r="BC80" s="33">
        <f t="shared" ca="1" si="78"/>
        <v>1.1594589744594845E-2</v>
      </c>
      <c r="BD80" s="33">
        <f t="shared" ca="1" si="78"/>
        <v>1.3936453220031226E-2</v>
      </c>
      <c r="BE80" s="33">
        <f t="shared" ca="1" si="78"/>
        <v>1.2990869701200013E-2</v>
      </c>
      <c r="BF80" s="33">
        <f t="shared" ca="1" si="78"/>
        <v>1.1639309287780572E-2</v>
      </c>
      <c r="BG80" s="33">
        <f t="shared" ca="1" si="79"/>
        <v>1.0591102047449499E-2</v>
      </c>
      <c r="BH80" s="33">
        <f t="shared" ca="1" si="79"/>
        <v>1.4936342128202947E-2</v>
      </c>
      <c r="BI80" s="33">
        <f t="shared" ca="1" si="79"/>
        <v>1.1304960977106709E-2</v>
      </c>
      <c r="BJ80" s="33">
        <f t="shared" ca="1" si="79"/>
        <v>1.2284849932681722E-2</v>
      </c>
      <c r="BK80" s="33">
        <f t="shared" ca="1" si="79"/>
        <v>1.2299220586074723E-2</v>
      </c>
      <c r="BL80" s="33">
        <f t="shared" ca="1" si="79"/>
        <v>9.0344292027707083E-3</v>
      </c>
      <c r="BM80" s="33">
        <f t="shared" ca="1" si="79"/>
        <v>1.0911837128790989E-2</v>
      </c>
      <c r="BN80" s="33">
        <f t="shared" ca="1" si="79"/>
        <v>1.0457639063786783E-2</v>
      </c>
      <c r="BO80" s="33">
        <f t="shared" ca="1" si="79"/>
        <v>1.028416400139745E-2</v>
      </c>
      <c r="BP80" s="33">
        <f t="shared" ca="1" si="79"/>
        <v>1.1271409263117359E-2</v>
      </c>
      <c r="BQ80" s="33">
        <f t="shared" ca="1" si="80"/>
        <v>1.1323480515676191E-2</v>
      </c>
      <c r="BR80" s="33">
        <f t="shared" ca="1" si="80"/>
        <v>1.0750415608952128E-2</v>
      </c>
      <c r="BS80" s="33">
        <f t="shared" ca="1" si="80"/>
        <v>1.1075804334610098E-2</v>
      </c>
      <c r="BT80" s="33">
        <f t="shared" ca="1" si="80"/>
        <v>1.1659704531911045E-2</v>
      </c>
      <c r="BU80" s="33">
        <f t="shared" ca="1" si="80"/>
        <v>1.2979659366565723E-2</v>
      </c>
      <c r="BV80" s="33">
        <f t="shared" ca="1" si="80"/>
        <v>1.1577464987370849E-2</v>
      </c>
      <c r="BW80" s="33">
        <f t="shared" ca="1" si="80"/>
        <v>1.1440720752040308E-2</v>
      </c>
      <c r="BX80" s="33">
        <f t="shared" ca="1" si="80"/>
        <v>9.3640882022784297E-3</v>
      </c>
      <c r="BY80" s="33">
        <f t="shared" ca="1" si="80"/>
        <v>9.2507557984489626E-3</v>
      </c>
      <c r="BZ80" s="33">
        <f t="shared" ca="1" si="80"/>
        <v>1.1303757466374176E-2</v>
      </c>
      <c r="CA80" s="33">
        <f t="shared" ca="1" si="81"/>
        <v>1.1492470308031424E-2</v>
      </c>
      <c r="CB80" s="33">
        <f t="shared" ca="1" si="81"/>
        <v>9.8276574459107736E-3</v>
      </c>
      <c r="CC80" s="33">
        <f t="shared" ca="1" si="81"/>
        <v>1.1821779326502611E-2</v>
      </c>
      <c r="CD80" s="33">
        <f t="shared" ca="1" si="81"/>
        <v>1.0187804822545832E-2</v>
      </c>
      <c r="CE80" s="33">
        <f t="shared" ca="1" si="81"/>
        <v>1.1487909983068865E-2</v>
      </c>
      <c r="CF80" s="33">
        <f t="shared" ca="1" si="81"/>
        <v>1.0340723215081874E-2</v>
      </c>
      <c r="CG80" s="33">
        <f t="shared" ca="1" si="81"/>
        <v>1.0831850337721098E-2</v>
      </c>
      <c r="CH80" s="33">
        <f t="shared" ca="1" si="81"/>
        <v>1.0721978720144656E-2</v>
      </c>
      <c r="CI80" s="33">
        <f t="shared" ca="1" si="81"/>
        <v>1.1961143068864314E-2</v>
      </c>
      <c r="CJ80" s="33">
        <f t="shared" ca="1" si="81"/>
        <v>1.3945256404868345E-2</v>
      </c>
      <c r="CK80" s="33">
        <f t="shared" ca="1" si="82"/>
        <v>1.329223541270873E-2</v>
      </c>
      <c r="CL80" s="33">
        <f t="shared" ca="1" si="82"/>
        <v>1.3370913714691932E-2</v>
      </c>
      <c r="CM80" s="33">
        <f t="shared" ca="1" si="82"/>
        <v>1.0931734422968863E-2</v>
      </c>
      <c r="CN80" s="33">
        <f t="shared" ca="1" si="82"/>
        <v>1.127407961077254E-2</v>
      </c>
      <c r="CO80" s="33">
        <f t="shared" ca="1" si="82"/>
        <v>1.1708840994627105E-2</v>
      </c>
      <c r="CP80" s="33">
        <f t="shared" ca="1" si="82"/>
        <v>1.1001265813949706E-2</v>
      </c>
      <c r="CQ80" s="33">
        <f t="shared" ca="1" si="82"/>
        <v>8.8337939540009403E-3</v>
      </c>
      <c r="CR80" s="33">
        <f t="shared" ca="1" si="82"/>
        <v>1.2395064286654545E-2</v>
      </c>
      <c r="CS80" s="33">
        <f t="shared" ca="1" si="82"/>
        <v>1.1259107209277867E-2</v>
      </c>
      <c r="CT80" s="33">
        <f t="shared" ca="1" si="82"/>
        <v>1.1715596139046333E-2</v>
      </c>
      <c r="CU80" s="33">
        <f t="shared" ca="1" si="83"/>
        <v>1.1763132654430212E-2</v>
      </c>
      <c r="CV80" s="33">
        <f t="shared" ca="1" si="83"/>
        <v>9.733103477174522E-3</v>
      </c>
      <c r="CW80" s="33">
        <f t="shared" ca="1" si="83"/>
        <v>9.8257486940142545E-3</v>
      </c>
      <c r="CX80" s="33">
        <f t="shared" ca="1" si="83"/>
        <v>1.0639477987643196E-2</v>
      </c>
      <c r="CY80" s="33">
        <f t="shared" ca="1" si="83"/>
        <v>9.5696801986344133E-3</v>
      </c>
      <c r="CZ80" s="33">
        <f t="shared" ca="1" si="83"/>
        <v>1.1092868109008331E-2</v>
      </c>
      <c r="DA80" s="33">
        <f t="shared" ca="1" si="83"/>
        <v>1.4084446436959795E-2</v>
      </c>
      <c r="DB80" s="33">
        <f t="shared" ca="1" si="83"/>
        <v>8.9217886596816617E-3</v>
      </c>
      <c r="DC80" s="33">
        <f t="shared" ca="1" si="83"/>
        <v>1.0128557614836577E-2</v>
      </c>
      <c r="DD80" s="33">
        <f t="shared" ca="1" si="83"/>
        <v>1.3598778358478057E-2</v>
      </c>
      <c r="DE80" s="33">
        <f t="shared" ca="1" si="84"/>
        <v>1.0877025871253221E-2</v>
      </c>
      <c r="DF80" s="33">
        <f t="shared" ca="1" si="84"/>
        <v>1.1711450315733323E-2</v>
      </c>
      <c r="DG80" s="33">
        <f t="shared" ca="1" si="84"/>
        <v>1.1298380386100704E-2</v>
      </c>
      <c r="DH80" s="33">
        <f t="shared" ca="1" si="84"/>
        <v>1.2752998769025426E-2</v>
      </c>
      <c r="DI80" s="33">
        <f t="shared" ca="1" si="84"/>
        <v>1.4020493654098395E-2</v>
      </c>
      <c r="DJ80" s="33">
        <f t="shared" ca="1" si="84"/>
        <v>1.2347186818985521E-2</v>
      </c>
      <c r="DK80" s="33">
        <f t="shared" ca="1" si="84"/>
        <v>1.0778641045311146E-2</v>
      </c>
      <c r="DL80" s="33">
        <f t="shared" ca="1" si="84"/>
        <v>1.2500823020949322E-2</v>
      </c>
      <c r="DM80" s="33">
        <f t="shared" ca="1" si="84"/>
        <v>1.4220079218771869E-2</v>
      </c>
      <c r="DN80" s="33">
        <f t="shared" ca="1" si="84"/>
        <v>1.243222748446773E-2</v>
      </c>
      <c r="DO80" s="12"/>
      <c r="DP80" s="12"/>
      <c r="DQ80" s="12"/>
    </row>
    <row r="81" spans="9:121" x14ac:dyDescent="0.2">
      <c r="I81" s="32">
        <v>46874</v>
      </c>
      <c r="J81" s="33">
        <f t="shared" ca="1" si="73"/>
        <v>1.4054320285234781E-2</v>
      </c>
      <c r="K81" s="9">
        <v>3554.2025500799996</v>
      </c>
      <c r="L81" s="9">
        <f t="shared" ca="1" si="74"/>
        <v>283772.32515784708</v>
      </c>
      <c r="N81" s="6">
        <v>77</v>
      </c>
      <c r="O81" s="5">
        <v>3.9795522104395582</v>
      </c>
      <c r="P81" s="9">
        <v>691505.25761346926</v>
      </c>
      <c r="R81" s="32">
        <v>46874</v>
      </c>
      <c r="S81" s="33">
        <f t="shared" ca="1" si="75"/>
        <v>1.004694121489896E-2</v>
      </c>
      <c r="T81" s="33">
        <f t="shared" ca="1" si="75"/>
        <v>9.1377717090700156E-3</v>
      </c>
      <c r="U81" s="33">
        <f t="shared" ca="1" si="75"/>
        <v>1.1297736015310096E-2</v>
      </c>
      <c r="V81" s="33">
        <f t="shared" ca="1" si="75"/>
        <v>1.2292440928202433E-2</v>
      </c>
      <c r="W81" s="33">
        <f t="shared" ca="1" si="75"/>
        <v>1.1349815935350057E-2</v>
      </c>
      <c r="X81" s="33">
        <f t="shared" ca="1" si="75"/>
        <v>1.193449667489137E-2</v>
      </c>
      <c r="Y81" s="33">
        <f t="shared" ca="1" si="75"/>
        <v>1.2633124911155327E-2</v>
      </c>
      <c r="Z81" s="33">
        <f t="shared" ca="1" si="75"/>
        <v>1.0945088764763347E-2</v>
      </c>
      <c r="AA81" s="33">
        <f t="shared" ca="1" si="75"/>
        <v>1.2311818983204336E-2</v>
      </c>
      <c r="AB81" s="33">
        <f t="shared" ca="1" si="75"/>
        <v>9.6556407446095182E-3</v>
      </c>
      <c r="AC81" s="33">
        <f t="shared" ca="1" si="76"/>
        <v>1.0614514026642109E-2</v>
      </c>
      <c r="AD81" s="33">
        <f t="shared" ca="1" si="76"/>
        <v>1.3490694434703679E-2</v>
      </c>
      <c r="AE81" s="33">
        <f t="shared" ca="1" si="76"/>
        <v>1.118399204088167E-2</v>
      </c>
      <c r="AF81" s="33">
        <f t="shared" ca="1" si="76"/>
        <v>8.0551746812232844E-3</v>
      </c>
      <c r="AG81" s="33">
        <f t="shared" ca="1" si="76"/>
        <v>1.127765959193733E-2</v>
      </c>
      <c r="AH81" s="33">
        <f t="shared" ca="1" si="76"/>
        <v>1.179413279647629E-2</v>
      </c>
      <c r="AI81" s="33">
        <f t="shared" ca="1" si="76"/>
        <v>9.4394360692486735E-3</v>
      </c>
      <c r="AJ81" s="33">
        <f t="shared" ca="1" si="76"/>
        <v>1.2492793623237637E-2</v>
      </c>
      <c r="AK81" s="33">
        <f t="shared" ca="1" si="76"/>
        <v>1.141570147033206E-2</v>
      </c>
      <c r="AL81" s="33">
        <f t="shared" ca="1" si="76"/>
        <v>1.2411895126768364E-2</v>
      </c>
      <c r="AM81" s="33">
        <f t="shared" ca="1" si="77"/>
        <v>1.1107216316787807E-2</v>
      </c>
      <c r="AN81" s="33">
        <f t="shared" ca="1" si="77"/>
        <v>1.2011065845624119E-2</v>
      </c>
      <c r="AO81" s="33">
        <f t="shared" ca="1" si="77"/>
        <v>1.0681734341200625E-2</v>
      </c>
      <c r="AP81" s="33">
        <f t="shared" ca="1" si="77"/>
        <v>1.1084962255683268E-2</v>
      </c>
      <c r="AQ81" s="33">
        <f t="shared" ca="1" si="77"/>
        <v>1.1976843141619186E-2</v>
      </c>
      <c r="AR81" s="33">
        <f t="shared" ca="1" si="77"/>
        <v>8.5638102461595596E-3</v>
      </c>
      <c r="AS81" s="33">
        <f t="shared" ca="1" si="77"/>
        <v>1.1337980730168186E-2</v>
      </c>
      <c r="AT81" s="33">
        <f t="shared" ca="1" si="77"/>
        <v>1.0712597291248129E-2</v>
      </c>
      <c r="AU81" s="33">
        <f t="shared" ca="1" si="77"/>
        <v>1.2749284213236799E-2</v>
      </c>
      <c r="AV81" s="33">
        <f t="shared" ca="1" si="77"/>
        <v>1.2955790149336312E-2</v>
      </c>
      <c r="AW81" s="33">
        <f t="shared" ca="1" si="78"/>
        <v>1.0843086442137424E-2</v>
      </c>
      <c r="AX81" s="33">
        <f t="shared" ca="1" si="78"/>
        <v>1.0019147773826845E-2</v>
      </c>
      <c r="AY81" s="33">
        <f t="shared" ca="1" si="78"/>
        <v>1.13287215973679E-2</v>
      </c>
      <c r="AZ81" s="33">
        <f t="shared" ca="1" si="78"/>
        <v>1.0921819328459915E-2</v>
      </c>
      <c r="BA81" s="33">
        <f t="shared" ca="1" si="78"/>
        <v>1.1199202526361564E-2</v>
      </c>
      <c r="BB81" s="33">
        <f t="shared" ca="1" si="78"/>
        <v>1.0306475452799863E-2</v>
      </c>
      <c r="BC81" s="33">
        <f t="shared" ca="1" si="78"/>
        <v>1.1582395105376724E-2</v>
      </c>
      <c r="BD81" s="33">
        <f t="shared" ca="1" si="78"/>
        <v>1.3577102592079384E-2</v>
      </c>
      <c r="BE81" s="33">
        <f t="shared" ca="1" si="78"/>
        <v>1.063988912181681E-2</v>
      </c>
      <c r="BF81" s="33">
        <f t="shared" ca="1" si="78"/>
        <v>9.0770473995637532E-3</v>
      </c>
      <c r="BG81" s="33">
        <f t="shared" ca="1" si="79"/>
        <v>1.2387070456416231E-2</v>
      </c>
      <c r="BH81" s="33">
        <f t="shared" ca="1" si="79"/>
        <v>1.4947063277331373E-2</v>
      </c>
      <c r="BI81" s="33">
        <f t="shared" ca="1" si="79"/>
        <v>1.1385916904267176E-2</v>
      </c>
      <c r="BJ81" s="33">
        <f t="shared" ca="1" si="79"/>
        <v>1.0222981567353292E-2</v>
      </c>
      <c r="BK81" s="33">
        <f t="shared" ca="1" si="79"/>
        <v>1.4116797509272356E-2</v>
      </c>
      <c r="BL81" s="33">
        <f t="shared" ca="1" si="79"/>
        <v>9.5196778850214023E-3</v>
      </c>
      <c r="BM81" s="33">
        <f t="shared" ca="1" si="79"/>
        <v>1.0643708914377898E-2</v>
      </c>
      <c r="BN81" s="33">
        <f t="shared" ca="1" si="79"/>
        <v>1.3082189211770252E-2</v>
      </c>
      <c r="BO81" s="33">
        <f t="shared" ca="1" si="79"/>
        <v>1.1944505577866972E-2</v>
      </c>
      <c r="BP81" s="33">
        <f t="shared" ca="1" si="79"/>
        <v>1.2248608009207251E-2</v>
      </c>
      <c r="BQ81" s="33">
        <f t="shared" ca="1" si="80"/>
        <v>1.1275588530478175E-2</v>
      </c>
      <c r="BR81" s="33">
        <f t="shared" ca="1" si="80"/>
        <v>1.1622674547420031E-2</v>
      </c>
      <c r="BS81" s="33">
        <f t="shared" ca="1" si="80"/>
        <v>9.6403076190636448E-3</v>
      </c>
      <c r="BT81" s="33">
        <f t="shared" ca="1" si="80"/>
        <v>1.3908577063713096E-2</v>
      </c>
      <c r="BU81" s="33">
        <f t="shared" ca="1" si="80"/>
        <v>1.2103850802273757E-2</v>
      </c>
      <c r="BV81" s="33">
        <f t="shared" ca="1" si="80"/>
        <v>8.6900472083097594E-3</v>
      </c>
      <c r="BW81" s="33">
        <f t="shared" ca="1" si="80"/>
        <v>1.2704220023180801E-2</v>
      </c>
      <c r="BX81" s="33">
        <f t="shared" ca="1" si="80"/>
        <v>1.0545274007101013E-2</v>
      </c>
      <c r="BY81" s="33">
        <f t="shared" ca="1" si="80"/>
        <v>1.1376101089999811E-2</v>
      </c>
      <c r="BZ81" s="33">
        <f t="shared" ca="1" si="80"/>
        <v>1.2962664725734215E-2</v>
      </c>
      <c r="CA81" s="33">
        <f t="shared" ca="1" si="81"/>
        <v>1.0969992386394376E-2</v>
      </c>
      <c r="CB81" s="33">
        <f t="shared" ca="1" si="81"/>
        <v>1.3083095256821395E-2</v>
      </c>
      <c r="CC81" s="33">
        <f t="shared" ca="1" si="81"/>
        <v>1.1901095123550096E-2</v>
      </c>
      <c r="CD81" s="33">
        <f t="shared" ca="1" si="81"/>
        <v>1.2266913576984149E-2</v>
      </c>
      <c r="CE81" s="33">
        <f t="shared" ca="1" si="81"/>
        <v>1.1907791394264546E-2</v>
      </c>
      <c r="CF81" s="33">
        <f t="shared" ca="1" si="81"/>
        <v>1.0127272766510421E-2</v>
      </c>
      <c r="CG81" s="33">
        <f t="shared" ca="1" si="81"/>
        <v>1.2720105757983878E-2</v>
      </c>
      <c r="CH81" s="33">
        <f t="shared" ca="1" si="81"/>
        <v>1.2196347825030015E-2</v>
      </c>
      <c r="CI81" s="33">
        <f t="shared" ca="1" si="81"/>
        <v>9.2287834792247996E-3</v>
      </c>
      <c r="CJ81" s="33">
        <f t="shared" ca="1" si="81"/>
        <v>1.1517493508859288E-2</v>
      </c>
      <c r="CK81" s="33">
        <f t="shared" ca="1" si="82"/>
        <v>1.2461529611337525E-2</v>
      </c>
      <c r="CL81" s="33">
        <f t="shared" ca="1" si="82"/>
        <v>1.13590752265556E-2</v>
      </c>
      <c r="CM81" s="33">
        <f t="shared" ca="1" si="82"/>
        <v>1.20893216654476E-2</v>
      </c>
      <c r="CN81" s="33">
        <f t="shared" ca="1" si="82"/>
        <v>1.2892782887790494E-2</v>
      </c>
      <c r="CO81" s="33">
        <f t="shared" ca="1" si="82"/>
        <v>1.146184406423497E-2</v>
      </c>
      <c r="CP81" s="33">
        <f t="shared" ca="1" si="82"/>
        <v>1.1703198659875871E-2</v>
      </c>
      <c r="CQ81" s="33">
        <f t="shared" ca="1" si="82"/>
        <v>1.324828317243611E-2</v>
      </c>
      <c r="CR81" s="33">
        <f t="shared" ca="1" si="82"/>
        <v>1.2103061929902532E-2</v>
      </c>
      <c r="CS81" s="33">
        <f t="shared" ca="1" si="82"/>
        <v>1.0895979556890039E-2</v>
      </c>
      <c r="CT81" s="33">
        <f t="shared" ca="1" si="82"/>
        <v>1.5161103678300192E-2</v>
      </c>
      <c r="CU81" s="33">
        <f t="shared" ca="1" si="83"/>
        <v>1.0234030115215306E-2</v>
      </c>
      <c r="CV81" s="33">
        <f t="shared" ca="1" si="83"/>
        <v>1.1208773266989472E-2</v>
      </c>
      <c r="CW81" s="33">
        <f t="shared" ca="1" si="83"/>
        <v>1.1185481179221491E-2</v>
      </c>
      <c r="CX81" s="33">
        <f t="shared" ca="1" si="83"/>
        <v>1.1884817459992963E-2</v>
      </c>
      <c r="CY81" s="33">
        <f t="shared" ca="1" si="83"/>
        <v>1.0154507107643887E-2</v>
      </c>
      <c r="CZ81" s="33">
        <f t="shared" ca="1" si="83"/>
        <v>1.3148491785705971E-2</v>
      </c>
      <c r="DA81" s="33">
        <f t="shared" ca="1" si="83"/>
        <v>1.0591203988335584E-2</v>
      </c>
      <c r="DB81" s="33">
        <f t="shared" ca="1" si="83"/>
        <v>1.0797945758516544E-2</v>
      </c>
      <c r="DC81" s="33">
        <f t="shared" ca="1" si="83"/>
        <v>9.4113114521269282E-3</v>
      </c>
      <c r="DD81" s="33">
        <f t="shared" ca="1" si="83"/>
        <v>1.3966608112925435E-2</v>
      </c>
      <c r="DE81" s="33">
        <f t="shared" ca="1" si="84"/>
        <v>1.096319182550108E-2</v>
      </c>
      <c r="DF81" s="33">
        <f t="shared" ca="1" si="84"/>
        <v>1.0177435034672487E-2</v>
      </c>
      <c r="DG81" s="33">
        <f t="shared" ca="1" si="84"/>
        <v>1.2159564882384871E-2</v>
      </c>
      <c r="DH81" s="33">
        <f t="shared" ca="1" si="84"/>
        <v>1.1391602488077001E-2</v>
      </c>
      <c r="DI81" s="33">
        <f t="shared" ca="1" si="84"/>
        <v>1.1283512573775738E-2</v>
      </c>
      <c r="DJ81" s="33">
        <f t="shared" ca="1" si="84"/>
        <v>8.2680774682718176E-3</v>
      </c>
      <c r="DK81" s="33">
        <f t="shared" ca="1" si="84"/>
        <v>9.5496455707527895E-3</v>
      </c>
      <c r="DL81" s="33">
        <f t="shared" ca="1" si="84"/>
        <v>9.714276413131195E-3</v>
      </c>
      <c r="DM81" s="33">
        <f t="shared" ca="1" si="84"/>
        <v>1.231527611263125E-2</v>
      </c>
      <c r="DN81" s="33">
        <f t="shared" ca="1" si="84"/>
        <v>1.0874267701703477E-2</v>
      </c>
      <c r="DO81" s="12"/>
      <c r="DP81" s="12"/>
      <c r="DQ81" s="12"/>
    </row>
    <row r="82" spans="9:121" x14ac:dyDescent="0.2">
      <c r="I82" s="32">
        <v>46905</v>
      </c>
      <c r="J82" s="33">
        <f t="shared" ca="1" si="73"/>
        <v>1.2044563218459479E-2</v>
      </c>
      <c r="K82" s="9">
        <v>3554.2025500799996</v>
      </c>
      <c r="L82" s="9">
        <f t="shared" ca="1" si="74"/>
        <v>290765.10794657329</v>
      </c>
      <c r="N82" s="6">
        <v>78</v>
      </c>
      <c r="O82" s="5">
        <v>3.8824318981891794</v>
      </c>
      <c r="P82" s="9">
        <v>680247.41958354646</v>
      </c>
      <c r="R82" s="32">
        <v>46905</v>
      </c>
      <c r="S82" s="33">
        <f t="shared" ca="1" si="75"/>
        <v>1.0756259399179291E-2</v>
      </c>
      <c r="T82" s="33">
        <f t="shared" ca="1" si="75"/>
        <v>8.6416290918740271E-3</v>
      </c>
      <c r="U82" s="33">
        <f t="shared" ca="1" si="75"/>
        <v>1.1692820485122981E-2</v>
      </c>
      <c r="V82" s="33">
        <f t="shared" ca="1" si="75"/>
        <v>1.3481231152867949E-2</v>
      </c>
      <c r="W82" s="33">
        <f t="shared" ca="1" si="75"/>
        <v>1.0873374186154543E-2</v>
      </c>
      <c r="X82" s="33">
        <f t="shared" ca="1" si="75"/>
        <v>1.3283343757988281E-2</v>
      </c>
      <c r="Y82" s="33">
        <f t="shared" ca="1" si="75"/>
        <v>9.4050064601530065E-3</v>
      </c>
      <c r="Z82" s="33">
        <f t="shared" ca="1" si="75"/>
        <v>1.2241787796005026E-2</v>
      </c>
      <c r="AA82" s="33">
        <f t="shared" ca="1" si="75"/>
        <v>9.6843855915946971E-3</v>
      </c>
      <c r="AB82" s="33">
        <f t="shared" ca="1" si="75"/>
        <v>1.2018032905437955E-2</v>
      </c>
      <c r="AC82" s="33">
        <f t="shared" ca="1" si="76"/>
        <v>9.7491427728941173E-3</v>
      </c>
      <c r="AD82" s="33">
        <f t="shared" ca="1" si="76"/>
        <v>1.1266617344552929E-2</v>
      </c>
      <c r="AE82" s="33">
        <f t="shared" ca="1" si="76"/>
        <v>1.015781185049505E-2</v>
      </c>
      <c r="AF82" s="33">
        <f t="shared" ca="1" si="76"/>
        <v>1.31191432984624E-2</v>
      </c>
      <c r="AG82" s="33">
        <f t="shared" ca="1" si="76"/>
        <v>1.1156965716489851E-2</v>
      </c>
      <c r="AH82" s="33">
        <f t="shared" ca="1" si="76"/>
        <v>1.2764321126382481E-2</v>
      </c>
      <c r="AI82" s="33">
        <f t="shared" ca="1" si="76"/>
        <v>1.0511622760656151E-2</v>
      </c>
      <c r="AJ82" s="33">
        <f t="shared" ca="1" si="76"/>
        <v>1.0947522109055688E-2</v>
      </c>
      <c r="AK82" s="33">
        <f t="shared" ca="1" si="76"/>
        <v>1.2093008144864546E-2</v>
      </c>
      <c r="AL82" s="33">
        <f t="shared" ca="1" si="76"/>
        <v>1.059878714593054E-2</v>
      </c>
      <c r="AM82" s="33">
        <f t="shared" ca="1" si="77"/>
        <v>1.0814537137676715E-2</v>
      </c>
      <c r="AN82" s="33">
        <f t="shared" ca="1" si="77"/>
        <v>1.0539490223764984E-2</v>
      </c>
      <c r="AO82" s="33">
        <f t="shared" ca="1" si="77"/>
        <v>1.0484118205452612E-2</v>
      </c>
      <c r="AP82" s="33">
        <f t="shared" ca="1" si="77"/>
        <v>1.0341261385990353E-2</v>
      </c>
      <c r="AQ82" s="33">
        <f t="shared" ca="1" si="77"/>
        <v>1.2728585489756555E-2</v>
      </c>
      <c r="AR82" s="33">
        <f t="shared" ca="1" si="77"/>
        <v>1.2214238712708622E-2</v>
      </c>
      <c r="AS82" s="33">
        <f t="shared" ca="1" si="77"/>
        <v>9.9779261930288965E-3</v>
      </c>
      <c r="AT82" s="33">
        <f t="shared" ca="1" si="77"/>
        <v>8.4341965629302212E-3</v>
      </c>
      <c r="AU82" s="33">
        <f t="shared" ca="1" si="77"/>
        <v>1.2280390729846566E-2</v>
      </c>
      <c r="AV82" s="33">
        <f t="shared" ca="1" si="77"/>
        <v>1.0437758931168136E-2</v>
      </c>
      <c r="AW82" s="33">
        <f t="shared" ca="1" si="78"/>
        <v>1.0488197054122583E-2</v>
      </c>
      <c r="AX82" s="33">
        <f t="shared" ca="1" si="78"/>
        <v>1.0195821088607004E-2</v>
      </c>
      <c r="AY82" s="33">
        <f t="shared" ca="1" si="78"/>
        <v>1.1081497721663435E-2</v>
      </c>
      <c r="AZ82" s="33">
        <f t="shared" ca="1" si="78"/>
        <v>1.1773359773509497E-2</v>
      </c>
      <c r="BA82" s="33">
        <f t="shared" ca="1" si="78"/>
        <v>1.2364013789667599E-2</v>
      </c>
      <c r="BB82" s="33">
        <f t="shared" ca="1" si="78"/>
        <v>1.1167631836186274E-2</v>
      </c>
      <c r="BC82" s="33">
        <f t="shared" ca="1" si="78"/>
        <v>1.064117349408881E-2</v>
      </c>
      <c r="BD82" s="33">
        <f t="shared" ca="1" si="78"/>
        <v>1.2570533865636025E-2</v>
      </c>
      <c r="BE82" s="33">
        <f t="shared" ca="1" si="78"/>
        <v>1.0142201248681136E-2</v>
      </c>
      <c r="BF82" s="33">
        <f t="shared" ca="1" si="78"/>
        <v>1.0028366188909016E-2</v>
      </c>
      <c r="BG82" s="33">
        <f t="shared" ca="1" si="79"/>
        <v>1.0295829843033677E-2</v>
      </c>
      <c r="BH82" s="33">
        <f t="shared" ca="1" si="79"/>
        <v>1.2083912264691956E-2</v>
      </c>
      <c r="BI82" s="33">
        <f t="shared" ca="1" si="79"/>
        <v>1.3097478338698194E-2</v>
      </c>
      <c r="BJ82" s="33">
        <f t="shared" ca="1" si="79"/>
        <v>1.2448251068723026E-2</v>
      </c>
      <c r="BK82" s="33">
        <f t="shared" ca="1" si="79"/>
        <v>1.2563197879836677E-2</v>
      </c>
      <c r="BL82" s="33">
        <f t="shared" ca="1" si="79"/>
        <v>1.495449440302732E-2</v>
      </c>
      <c r="BM82" s="33">
        <f t="shared" ca="1" si="79"/>
        <v>1.0188506782640465E-2</v>
      </c>
      <c r="BN82" s="33">
        <f t="shared" ca="1" si="79"/>
        <v>1.2347172456427609E-2</v>
      </c>
      <c r="BO82" s="33">
        <f t="shared" ca="1" si="79"/>
        <v>9.7910220851677911E-3</v>
      </c>
      <c r="BP82" s="33">
        <f t="shared" ca="1" si="79"/>
        <v>8.3356267413589469E-3</v>
      </c>
      <c r="BQ82" s="33">
        <f t="shared" ca="1" si="80"/>
        <v>1.2311911845241696E-2</v>
      </c>
      <c r="BR82" s="33">
        <f t="shared" ca="1" si="80"/>
        <v>9.9069229015462182E-3</v>
      </c>
      <c r="BS82" s="33">
        <f t="shared" ca="1" si="80"/>
        <v>9.6111941480537828E-3</v>
      </c>
      <c r="BT82" s="33">
        <f t="shared" ca="1" si="80"/>
        <v>1.1269853161114517E-2</v>
      </c>
      <c r="BU82" s="33">
        <f t="shared" ca="1" si="80"/>
        <v>1.171725575226432E-2</v>
      </c>
      <c r="BV82" s="33">
        <f t="shared" ca="1" si="80"/>
        <v>1.2736064621177741E-2</v>
      </c>
      <c r="BW82" s="33">
        <f t="shared" ca="1" si="80"/>
        <v>1.2345973987225548E-2</v>
      </c>
      <c r="BX82" s="33">
        <f t="shared" ca="1" si="80"/>
        <v>1.0297299596488176E-2</v>
      </c>
      <c r="BY82" s="33">
        <f t="shared" ca="1" si="80"/>
        <v>9.7178842461571394E-3</v>
      </c>
      <c r="BZ82" s="33">
        <f t="shared" ca="1" si="80"/>
        <v>1.1337329718979701E-2</v>
      </c>
      <c r="CA82" s="33">
        <f t="shared" ca="1" si="81"/>
        <v>1.1188327409455315E-2</v>
      </c>
      <c r="CB82" s="33">
        <f t="shared" ca="1" si="81"/>
        <v>1.1742425689401195E-2</v>
      </c>
      <c r="CC82" s="33">
        <f t="shared" ca="1" si="81"/>
        <v>1.1890372851985612E-2</v>
      </c>
      <c r="CD82" s="33">
        <f t="shared" ca="1" si="81"/>
        <v>9.6468072202258153E-3</v>
      </c>
      <c r="CE82" s="33">
        <f t="shared" ca="1" si="81"/>
        <v>1.0812215892648747E-2</v>
      </c>
      <c r="CF82" s="33">
        <f t="shared" ca="1" si="81"/>
        <v>1.4021330249142438E-2</v>
      </c>
      <c r="CG82" s="33">
        <f t="shared" ca="1" si="81"/>
        <v>1.0928696692003272E-2</v>
      </c>
      <c r="CH82" s="33">
        <f t="shared" ca="1" si="81"/>
        <v>1.4831722315729455E-2</v>
      </c>
      <c r="CI82" s="33">
        <f t="shared" ca="1" si="81"/>
        <v>1.1350031491216245E-2</v>
      </c>
      <c r="CJ82" s="33">
        <f t="shared" ca="1" si="81"/>
        <v>1.3291444219043623E-2</v>
      </c>
      <c r="CK82" s="33">
        <f t="shared" ca="1" si="82"/>
        <v>7.0821799962085237E-3</v>
      </c>
      <c r="CL82" s="33">
        <f t="shared" ca="1" si="82"/>
        <v>1.3220996202417559E-2</v>
      </c>
      <c r="CM82" s="33">
        <f t="shared" ca="1" si="82"/>
        <v>1.1332433271544649E-2</v>
      </c>
      <c r="CN82" s="33">
        <f t="shared" ca="1" si="82"/>
        <v>1.3607025561268188E-2</v>
      </c>
      <c r="CO82" s="33">
        <f t="shared" ca="1" si="82"/>
        <v>1.0654866665734685E-2</v>
      </c>
      <c r="CP82" s="33">
        <f t="shared" ca="1" si="82"/>
        <v>1.0355314641439564E-2</v>
      </c>
      <c r="CQ82" s="33">
        <f t="shared" ca="1" si="82"/>
        <v>1.0077330075854424E-2</v>
      </c>
      <c r="CR82" s="33">
        <f t="shared" ca="1" si="82"/>
        <v>1.1004391823793754E-2</v>
      </c>
      <c r="CS82" s="33">
        <f t="shared" ca="1" si="82"/>
        <v>1.2576136827252907E-2</v>
      </c>
      <c r="CT82" s="33">
        <f t="shared" ca="1" si="82"/>
        <v>1.1843447750121139E-2</v>
      </c>
      <c r="CU82" s="33">
        <f t="shared" ca="1" si="83"/>
        <v>1.300425611514437E-2</v>
      </c>
      <c r="CV82" s="33">
        <f t="shared" ca="1" si="83"/>
        <v>1.2969115588904841E-2</v>
      </c>
      <c r="CW82" s="33">
        <f t="shared" ca="1" si="83"/>
        <v>1.1682237505665237E-2</v>
      </c>
      <c r="CX82" s="33">
        <f t="shared" ca="1" si="83"/>
        <v>8.5555600695171041E-3</v>
      </c>
      <c r="CY82" s="33">
        <f t="shared" ca="1" si="83"/>
        <v>1.3340359595345488E-2</v>
      </c>
      <c r="CZ82" s="33">
        <f t="shared" ca="1" si="83"/>
        <v>1.3186390290846898E-2</v>
      </c>
      <c r="DA82" s="33">
        <f t="shared" ca="1" si="83"/>
        <v>1.1807670190677235E-2</v>
      </c>
      <c r="DB82" s="33">
        <f t="shared" ca="1" si="83"/>
        <v>8.4535688229463168E-3</v>
      </c>
      <c r="DC82" s="33">
        <f t="shared" ca="1" si="83"/>
        <v>1.1488150189818436E-2</v>
      </c>
      <c r="DD82" s="33">
        <f t="shared" ca="1" si="83"/>
        <v>9.9561667511671864E-3</v>
      </c>
      <c r="DE82" s="33">
        <f t="shared" ca="1" si="84"/>
        <v>9.2698701163140169E-3</v>
      </c>
      <c r="DF82" s="33">
        <f t="shared" ca="1" si="84"/>
        <v>1.0368184984990978E-2</v>
      </c>
      <c r="DG82" s="33">
        <f t="shared" ca="1" si="84"/>
        <v>1.2292010696299687E-2</v>
      </c>
      <c r="DH82" s="33">
        <f t="shared" ca="1" si="84"/>
        <v>1.154100455638785E-2</v>
      </c>
      <c r="DI82" s="33">
        <f t="shared" ca="1" si="84"/>
        <v>1.4719625257567193E-2</v>
      </c>
      <c r="DJ82" s="33">
        <f t="shared" ca="1" si="84"/>
        <v>1.1420650080140708E-2</v>
      </c>
      <c r="DK82" s="33">
        <f t="shared" ca="1" si="84"/>
        <v>9.0085769327915982E-3</v>
      </c>
      <c r="DL82" s="33">
        <f t="shared" ca="1" si="84"/>
        <v>1.0026869299448179E-2</v>
      </c>
      <c r="DM82" s="33">
        <f t="shared" ca="1" si="84"/>
        <v>7.6330102377459505E-3</v>
      </c>
      <c r="DN82" s="33">
        <f t="shared" ca="1" si="84"/>
        <v>1.0730396155433171E-2</v>
      </c>
      <c r="DO82" s="12"/>
      <c r="DP82" s="12"/>
      <c r="DQ82" s="12"/>
    </row>
    <row r="83" spans="9:121" x14ac:dyDescent="0.2">
      <c r="I83" s="32">
        <v>46935</v>
      </c>
      <c r="J83" s="33">
        <f t="shared" ca="1" si="73"/>
        <v>1.2571225187465883E-2</v>
      </c>
      <c r="K83" s="9">
        <v>3554.2025500799996</v>
      </c>
      <c r="L83" s="9">
        <f t="shared" ca="1" si="74"/>
        <v>297997.65636002016</v>
      </c>
      <c r="N83" s="6">
        <v>79</v>
      </c>
      <c r="O83" s="5">
        <v>3.9618924982557133</v>
      </c>
      <c r="P83" s="9">
        <v>684884.62836912228</v>
      </c>
      <c r="R83" s="32">
        <v>46935</v>
      </c>
      <c r="S83" s="33">
        <f t="shared" ca="1" si="75"/>
        <v>1.122561396997078E-2</v>
      </c>
      <c r="T83" s="33">
        <f t="shared" ca="1" si="75"/>
        <v>1.4651044777117008E-2</v>
      </c>
      <c r="U83" s="33">
        <f t="shared" ca="1" si="75"/>
        <v>1.2116578052438093E-2</v>
      </c>
      <c r="V83" s="33">
        <f t="shared" ca="1" si="75"/>
        <v>1.1129941257367496E-2</v>
      </c>
      <c r="W83" s="33">
        <f t="shared" ca="1" si="75"/>
        <v>1.0577335536051419E-2</v>
      </c>
      <c r="X83" s="33">
        <f t="shared" ca="1" si="75"/>
        <v>1.140119054580791E-2</v>
      </c>
      <c r="Y83" s="33">
        <f t="shared" ca="1" si="75"/>
        <v>1.0767326350620221E-2</v>
      </c>
      <c r="Z83" s="33">
        <f t="shared" ca="1" si="75"/>
        <v>1.206015820002258E-2</v>
      </c>
      <c r="AA83" s="33">
        <f t="shared" ca="1" si="75"/>
        <v>1.463574841576549E-2</v>
      </c>
      <c r="AB83" s="33">
        <f t="shared" ca="1" si="75"/>
        <v>1.332342763963869E-2</v>
      </c>
      <c r="AC83" s="33">
        <f t="shared" ca="1" si="76"/>
        <v>8.2130673209246143E-3</v>
      </c>
      <c r="AD83" s="33">
        <f t="shared" ca="1" si="76"/>
        <v>1.1352656492335363E-2</v>
      </c>
      <c r="AE83" s="33">
        <f t="shared" ca="1" si="76"/>
        <v>1.0578906933400687E-2</v>
      </c>
      <c r="AF83" s="33">
        <f t="shared" ca="1" si="76"/>
        <v>1.2956786099646716E-2</v>
      </c>
      <c r="AG83" s="33">
        <f t="shared" ca="1" si="76"/>
        <v>1.0932219907644907E-2</v>
      </c>
      <c r="AH83" s="33">
        <f t="shared" ca="1" si="76"/>
        <v>1.1501546902753837E-2</v>
      </c>
      <c r="AI83" s="33">
        <f t="shared" ca="1" si="76"/>
        <v>1.0045165899107368E-2</v>
      </c>
      <c r="AJ83" s="33">
        <f t="shared" ca="1" si="76"/>
        <v>1.0416405918438926E-2</v>
      </c>
      <c r="AK83" s="33">
        <f t="shared" ca="1" si="76"/>
        <v>1.4933821896291513E-2</v>
      </c>
      <c r="AL83" s="33">
        <f t="shared" ca="1" si="76"/>
        <v>1.241379086851338E-2</v>
      </c>
      <c r="AM83" s="33">
        <f t="shared" ca="1" si="77"/>
        <v>9.0169268363600921E-3</v>
      </c>
      <c r="AN83" s="33">
        <f t="shared" ca="1" si="77"/>
        <v>1.3045571690019469E-2</v>
      </c>
      <c r="AO83" s="33">
        <f t="shared" ca="1" si="77"/>
        <v>1.446640639180265E-2</v>
      </c>
      <c r="AP83" s="33">
        <f t="shared" ca="1" si="77"/>
        <v>9.7510346604299664E-3</v>
      </c>
      <c r="AQ83" s="33">
        <f t="shared" ca="1" si="77"/>
        <v>1.3987199568414599E-2</v>
      </c>
      <c r="AR83" s="33">
        <f t="shared" ca="1" si="77"/>
        <v>1.0879711442027221E-2</v>
      </c>
      <c r="AS83" s="33">
        <f t="shared" ca="1" si="77"/>
        <v>9.570619371745772E-3</v>
      </c>
      <c r="AT83" s="33">
        <f t="shared" ca="1" si="77"/>
        <v>1.0630771379252935E-2</v>
      </c>
      <c r="AU83" s="33">
        <f t="shared" ca="1" si="77"/>
        <v>1.0362444139315745E-2</v>
      </c>
      <c r="AV83" s="33">
        <f t="shared" ca="1" si="77"/>
        <v>9.7192076905425976E-3</v>
      </c>
      <c r="AW83" s="33">
        <f t="shared" ca="1" si="78"/>
        <v>1.0425898939644955E-2</v>
      </c>
      <c r="AX83" s="33">
        <f t="shared" ca="1" si="78"/>
        <v>8.9459048471174328E-3</v>
      </c>
      <c r="AY83" s="33">
        <f t="shared" ca="1" si="78"/>
        <v>1.2378510699248698E-2</v>
      </c>
      <c r="AZ83" s="33">
        <f t="shared" ca="1" si="78"/>
        <v>1.0597956584028859E-2</v>
      </c>
      <c r="BA83" s="33">
        <f t="shared" ca="1" si="78"/>
        <v>1.2105632275464373E-2</v>
      </c>
      <c r="BB83" s="33">
        <f t="shared" ca="1" si="78"/>
        <v>1.2709284112169161E-2</v>
      </c>
      <c r="BC83" s="33">
        <f t="shared" ca="1" si="78"/>
        <v>1.0919166455710892E-2</v>
      </c>
      <c r="BD83" s="33">
        <f t="shared" ca="1" si="78"/>
        <v>1.2122569520422982E-2</v>
      </c>
      <c r="BE83" s="33">
        <f t="shared" ca="1" si="78"/>
        <v>1.2165605411407612E-2</v>
      </c>
      <c r="BF83" s="33">
        <f t="shared" ca="1" si="78"/>
        <v>9.9090655133993386E-3</v>
      </c>
      <c r="BG83" s="33">
        <f t="shared" ca="1" si="79"/>
        <v>9.7321262419257128E-3</v>
      </c>
      <c r="BH83" s="33">
        <f t="shared" ca="1" si="79"/>
        <v>1.3102409573178249E-2</v>
      </c>
      <c r="BI83" s="33">
        <f t="shared" ca="1" si="79"/>
        <v>1.1312915333606831E-2</v>
      </c>
      <c r="BJ83" s="33">
        <f t="shared" ca="1" si="79"/>
        <v>1.2059129096685248E-2</v>
      </c>
      <c r="BK83" s="33">
        <f t="shared" ca="1" si="79"/>
        <v>1.1557973999212177E-2</v>
      </c>
      <c r="BL83" s="33">
        <f t="shared" ca="1" si="79"/>
        <v>1.1066614862867198E-2</v>
      </c>
      <c r="BM83" s="33">
        <f t="shared" ca="1" si="79"/>
        <v>1.2738056227807213E-2</v>
      </c>
      <c r="BN83" s="33">
        <f t="shared" ca="1" si="79"/>
        <v>1.3664819578856718E-2</v>
      </c>
      <c r="BO83" s="33">
        <f t="shared" ca="1" si="79"/>
        <v>1.2571281454111041E-2</v>
      </c>
      <c r="BP83" s="33">
        <f t="shared" ca="1" si="79"/>
        <v>1.10295645230975E-2</v>
      </c>
      <c r="BQ83" s="33">
        <f t="shared" ca="1" si="80"/>
        <v>1.1157460276827656E-2</v>
      </c>
      <c r="BR83" s="33">
        <f t="shared" ca="1" si="80"/>
        <v>1.1895728087371828E-2</v>
      </c>
      <c r="BS83" s="33">
        <f t="shared" ca="1" si="80"/>
        <v>1.2900394311389672E-2</v>
      </c>
      <c r="BT83" s="33">
        <f t="shared" ca="1" si="80"/>
        <v>9.786167635971104E-3</v>
      </c>
      <c r="BU83" s="33">
        <f t="shared" ca="1" si="80"/>
        <v>9.5488553544569275E-3</v>
      </c>
      <c r="BV83" s="33">
        <f t="shared" ca="1" si="80"/>
        <v>1.2562541058854475E-2</v>
      </c>
      <c r="BW83" s="33">
        <f t="shared" ca="1" si="80"/>
        <v>1.2900380531767204E-2</v>
      </c>
      <c r="BX83" s="33">
        <f t="shared" ca="1" si="80"/>
        <v>1.0629798637519474E-2</v>
      </c>
      <c r="BY83" s="33">
        <f t="shared" ca="1" si="80"/>
        <v>1.2072025414855201E-2</v>
      </c>
      <c r="BZ83" s="33">
        <f t="shared" ca="1" si="80"/>
        <v>1.1388531612841483E-2</v>
      </c>
      <c r="CA83" s="33">
        <f t="shared" ca="1" si="81"/>
        <v>1.0582575875587894E-2</v>
      </c>
      <c r="CB83" s="33">
        <f t="shared" ca="1" si="81"/>
        <v>1.151657812254106E-2</v>
      </c>
      <c r="CC83" s="33">
        <f t="shared" ca="1" si="81"/>
        <v>1.2301631903900309E-2</v>
      </c>
      <c r="CD83" s="33">
        <f t="shared" ca="1" si="81"/>
        <v>1.0359374722789576E-2</v>
      </c>
      <c r="CE83" s="33">
        <f t="shared" ca="1" si="81"/>
        <v>1.0966741436249389E-2</v>
      </c>
      <c r="CF83" s="33">
        <f t="shared" ca="1" si="81"/>
        <v>9.4477078206068408E-3</v>
      </c>
      <c r="CG83" s="33">
        <f t="shared" ca="1" si="81"/>
        <v>1.1980493695743317E-2</v>
      </c>
      <c r="CH83" s="33">
        <f t="shared" ca="1" si="81"/>
        <v>1.1558567813341924E-2</v>
      </c>
      <c r="CI83" s="33">
        <f t="shared" ca="1" si="81"/>
        <v>1.1448415996262177E-2</v>
      </c>
      <c r="CJ83" s="33">
        <f t="shared" ca="1" si="81"/>
        <v>1.0123171845225971E-2</v>
      </c>
      <c r="CK83" s="33">
        <f t="shared" ca="1" si="82"/>
        <v>8.646080979908901E-3</v>
      </c>
      <c r="CL83" s="33">
        <f t="shared" ca="1" si="82"/>
        <v>1.2821373173035574E-2</v>
      </c>
      <c r="CM83" s="33">
        <f t="shared" ca="1" si="82"/>
        <v>1.3289227882674597E-2</v>
      </c>
      <c r="CN83" s="33">
        <f t="shared" ca="1" si="82"/>
        <v>1.3019625028688205E-2</v>
      </c>
      <c r="CO83" s="33">
        <f t="shared" ca="1" si="82"/>
        <v>1.1744149938904712E-2</v>
      </c>
      <c r="CP83" s="33">
        <f t="shared" ca="1" si="82"/>
        <v>1.1382194124531749E-2</v>
      </c>
      <c r="CQ83" s="33">
        <f t="shared" ca="1" si="82"/>
        <v>9.9332474169491879E-3</v>
      </c>
      <c r="CR83" s="33">
        <f t="shared" ca="1" si="82"/>
        <v>9.0144678587179648E-3</v>
      </c>
      <c r="CS83" s="33">
        <f t="shared" ca="1" si="82"/>
        <v>1.4185229861627787E-2</v>
      </c>
      <c r="CT83" s="33">
        <f t="shared" ca="1" si="82"/>
        <v>1.3844257796761761E-2</v>
      </c>
      <c r="CU83" s="33">
        <f t="shared" ca="1" si="83"/>
        <v>1.0557942352893855E-2</v>
      </c>
      <c r="CV83" s="33">
        <f t="shared" ca="1" si="83"/>
        <v>1.4122807160793657E-2</v>
      </c>
      <c r="CW83" s="33">
        <f t="shared" ca="1" si="83"/>
        <v>1.4198751626775426E-2</v>
      </c>
      <c r="CX83" s="33">
        <f t="shared" ca="1" si="83"/>
        <v>1.0636445707726176E-2</v>
      </c>
      <c r="CY83" s="33">
        <f t="shared" ca="1" si="83"/>
        <v>1.4460544152326655E-2</v>
      </c>
      <c r="CZ83" s="33">
        <f t="shared" ca="1" si="83"/>
        <v>1.0881746984415543E-2</v>
      </c>
      <c r="DA83" s="33">
        <f t="shared" ca="1" si="83"/>
        <v>1.3735347249829125E-2</v>
      </c>
      <c r="DB83" s="33">
        <f t="shared" ca="1" si="83"/>
        <v>9.713858203332466E-3</v>
      </c>
      <c r="DC83" s="33">
        <f t="shared" ca="1" si="83"/>
        <v>1.158948535784449E-2</v>
      </c>
      <c r="DD83" s="33">
        <f t="shared" ca="1" si="83"/>
        <v>1.1357845506170944E-2</v>
      </c>
      <c r="DE83" s="33">
        <f t="shared" ca="1" si="84"/>
        <v>1.0219037771213401E-2</v>
      </c>
      <c r="DF83" s="33">
        <f t="shared" ca="1" si="84"/>
        <v>1.2945528576956179E-2</v>
      </c>
      <c r="DG83" s="33">
        <f t="shared" ca="1" si="84"/>
        <v>1.1501790135133349E-2</v>
      </c>
      <c r="DH83" s="33">
        <f t="shared" ca="1" si="84"/>
        <v>1.4469779999515028E-2</v>
      </c>
      <c r="DI83" s="33">
        <f t="shared" ca="1" si="84"/>
        <v>1.1948137109016453E-2</v>
      </c>
      <c r="DJ83" s="33">
        <f t="shared" ca="1" si="84"/>
        <v>1.2799478767548255E-2</v>
      </c>
      <c r="DK83" s="33">
        <f t="shared" ca="1" si="84"/>
        <v>1.1585963843033349E-2</v>
      </c>
      <c r="DL83" s="33">
        <f t="shared" ca="1" si="84"/>
        <v>1.1061646487648902E-2</v>
      </c>
      <c r="DM83" s="33">
        <f t="shared" ca="1" si="84"/>
        <v>1.119256399258127E-2</v>
      </c>
      <c r="DN83" s="33">
        <f t="shared" ca="1" si="84"/>
        <v>1.0815821646887009E-2</v>
      </c>
      <c r="DO83" s="12"/>
      <c r="DP83" s="12"/>
      <c r="DQ83" s="12"/>
    </row>
    <row r="84" spans="9:121" x14ac:dyDescent="0.2">
      <c r="I84" s="32">
        <v>46966</v>
      </c>
      <c r="J84" s="33">
        <f t="shared" ca="1" si="73"/>
        <v>1.1083900101486854E-2</v>
      </c>
      <c r="K84" s="9">
        <v>3554.2025500799996</v>
      </c>
      <c r="L84" s="9">
        <f t="shared" ca="1" si="74"/>
        <v>304873.20791090815</v>
      </c>
      <c r="N84" s="6">
        <v>80</v>
      </c>
      <c r="O84" s="5">
        <v>3.8307483443811381</v>
      </c>
      <c r="P84" s="9">
        <v>672331.22852232924</v>
      </c>
      <c r="R84" s="32">
        <v>46966</v>
      </c>
      <c r="S84" s="33">
        <f t="shared" ca="1" si="75"/>
        <v>1.0819330547968544E-2</v>
      </c>
      <c r="T84" s="33">
        <f t="shared" ca="1" si="75"/>
        <v>1.2857543520071322E-2</v>
      </c>
      <c r="U84" s="33">
        <f t="shared" ca="1" si="75"/>
        <v>9.8758986246066591E-3</v>
      </c>
      <c r="V84" s="33">
        <f t="shared" ca="1" si="75"/>
        <v>1.0524290332544034E-2</v>
      </c>
      <c r="W84" s="33">
        <f t="shared" ca="1" si="75"/>
        <v>1.1551470155066561E-2</v>
      </c>
      <c r="X84" s="33">
        <f t="shared" ca="1" si="75"/>
        <v>1.3224799145476371E-2</v>
      </c>
      <c r="Y84" s="33">
        <f t="shared" ca="1" si="75"/>
        <v>1.1744993341164717E-2</v>
      </c>
      <c r="Z84" s="33">
        <f t="shared" ca="1" si="75"/>
        <v>1.0557728454689976E-2</v>
      </c>
      <c r="AA84" s="33">
        <f t="shared" ca="1" si="75"/>
        <v>8.440345237904448E-3</v>
      </c>
      <c r="AB84" s="33">
        <f t="shared" ca="1" si="75"/>
        <v>1.0573450316797054E-2</v>
      </c>
      <c r="AC84" s="33">
        <f t="shared" ca="1" si="76"/>
        <v>1.3000125960600437E-2</v>
      </c>
      <c r="AD84" s="33">
        <f t="shared" ca="1" si="76"/>
        <v>1.2007531655621885E-2</v>
      </c>
      <c r="AE84" s="33">
        <f t="shared" ca="1" si="76"/>
        <v>8.8152385131859377E-3</v>
      </c>
      <c r="AF84" s="33">
        <f t="shared" ca="1" si="76"/>
        <v>1.1353126053972437E-2</v>
      </c>
      <c r="AG84" s="33">
        <f t="shared" ca="1" si="76"/>
        <v>1.1589279849935359E-2</v>
      </c>
      <c r="AH84" s="33">
        <f t="shared" ca="1" si="76"/>
        <v>8.7428632534760058E-3</v>
      </c>
      <c r="AI84" s="33">
        <f t="shared" ca="1" si="76"/>
        <v>1.3038197886306824E-2</v>
      </c>
      <c r="AJ84" s="33">
        <f t="shared" ca="1" si="76"/>
        <v>1.1385570163981854E-2</v>
      </c>
      <c r="AK84" s="33">
        <f t="shared" ca="1" si="76"/>
        <v>1.2295768098267781E-2</v>
      </c>
      <c r="AL84" s="33">
        <f t="shared" ca="1" si="76"/>
        <v>1.2256965438475306E-2</v>
      </c>
      <c r="AM84" s="33">
        <f t="shared" ca="1" si="77"/>
        <v>9.6043414500369059E-3</v>
      </c>
      <c r="AN84" s="33">
        <f t="shared" ca="1" si="77"/>
        <v>1.2440636278516763E-2</v>
      </c>
      <c r="AO84" s="33">
        <f t="shared" ca="1" si="77"/>
        <v>8.0558146832867741E-3</v>
      </c>
      <c r="AP84" s="33">
        <f t="shared" ca="1" si="77"/>
        <v>1.2307481910394847E-2</v>
      </c>
      <c r="AQ84" s="33">
        <f t="shared" ca="1" si="77"/>
        <v>1.1338215170095199E-2</v>
      </c>
      <c r="AR84" s="33">
        <f t="shared" ca="1" si="77"/>
        <v>1.1144802412404831E-2</v>
      </c>
      <c r="AS84" s="33">
        <f t="shared" ca="1" si="77"/>
        <v>1.1105959025423807E-2</v>
      </c>
      <c r="AT84" s="33">
        <f t="shared" ca="1" si="77"/>
        <v>9.7445363430893345E-3</v>
      </c>
      <c r="AU84" s="33">
        <f t="shared" ca="1" si="77"/>
        <v>1.0832398659942385E-2</v>
      </c>
      <c r="AV84" s="33">
        <f t="shared" ca="1" si="77"/>
        <v>9.4908884751171985E-3</v>
      </c>
      <c r="AW84" s="33">
        <f t="shared" ca="1" si="78"/>
        <v>1.0705161273100651E-2</v>
      </c>
      <c r="AX84" s="33">
        <f t="shared" ca="1" si="78"/>
        <v>1.2999521256282684E-2</v>
      </c>
      <c r="AY84" s="33">
        <f t="shared" ca="1" si="78"/>
        <v>1.1723098080119686E-2</v>
      </c>
      <c r="AZ84" s="33">
        <f t="shared" ca="1" si="78"/>
        <v>1.0811940416585172E-2</v>
      </c>
      <c r="BA84" s="33">
        <f t="shared" ca="1" si="78"/>
        <v>1.1023160902581023E-2</v>
      </c>
      <c r="BB84" s="33">
        <f t="shared" ca="1" si="78"/>
        <v>1.0013706425112031E-2</v>
      </c>
      <c r="BC84" s="33">
        <f t="shared" ca="1" si="78"/>
        <v>1.2025073624932507E-2</v>
      </c>
      <c r="BD84" s="33">
        <f t="shared" ca="1" si="78"/>
        <v>1.0355001890986709E-2</v>
      </c>
      <c r="BE84" s="33">
        <f t="shared" ca="1" si="78"/>
        <v>1.0569323646324322E-2</v>
      </c>
      <c r="BF84" s="33">
        <f t="shared" ca="1" si="78"/>
        <v>1.2975662076670818E-2</v>
      </c>
      <c r="BG84" s="33">
        <f t="shared" ca="1" si="79"/>
        <v>8.4748595570451404E-3</v>
      </c>
      <c r="BH84" s="33">
        <f t="shared" ca="1" si="79"/>
        <v>1.1753406546917738E-2</v>
      </c>
      <c r="BI84" s="33">
        <f t="shared" ca="1" si="79"/>
        <v>1.152801842229915E-2</v>
      </c>
      <c r="BJ84" s="33">
        <f t="shared" ca="1" si="79"/>
        <v>1.5267549970556311E-2</v>
      </c>
      <c r="BK84" s="33">
        <f t="shared" ca="1" si="79"/>
        <v>9.809988525927741E-3</v>
      </c>
      <c r="BL84" s="33">
        <f t="shared" ca="1" si="79"/>
        <v>9.7187613800233559E-3</v>
      </c>
      <c r="BM84" s="33">
        <f t="shared" ca="1" si="79"/>
        <v>1.0503178916601189E-2</v>
      </c>
      <c r="BN84" s="33">
        <f t="shared" ca="1" si="79"/>
        <v>9.8400535949015131E-3</v>
      </c>
      <c r="BO84" s="33">
        <f t="shared" ca="1" si="79"/>
        <v>1.294082880010883E-2</v>
      </c>
      <c r="BP84" s="33">
        <f t="shared" ca="1" si="79"/>
        <v>9.660144735422432E-3</v>
      </c>
      <c r="BQ84" s="33">
        <f t="shared" ca="1" si="80"/>
        <v>1.114522576398113E-2</v>
      </c>
      <c r="BR84" s="33">
        <f t="shared" ca="1" si="80"/>
        <v>1.1079812921466557E-2</v>
      </c>
      <c r="BS84" s="33">
        <f t="shared" ca="1" si="80"/>
        <v>8.4438856258833954E-3</v>
      </c>
      <c r="BT84" s="33">
        <f t="shared" ca="1" si="80"/>
        <v>1.2075074916987191E-2</v>
      </c>
      <c r="BU84" s="33">
        <f t="shared" ca="1" si="80"/>
        <v>8.9934843630280585E-3</v>
      </c>
      <c r="BV84" s="33">
        <f t="shared" ca="1" si="80"/>
        <v>1.1421418946937861E-2</v>
      </c>
      <c r="BW84" s="33">
        <f t="shared" ca="1" si="80"/>
        <v>1.1321183803578177E-2</v>
      </c>
      <c r="BX84" s="33">
        <f t="shared" ca="1" si="80"/>
        <v>1.2528826958540632E-2</v>
      </c>
      <c r="BY84" s="33">
        <f t="shared" ca="1" si="80"/>
        <v>9.1211110510376215E-3</v>
      </c>
      <c r="BZ84" s="33">
        <f t="shared" ca="1" si="80"/>
        <v>1.0533718541719434E-2</v>
      </c>
      <c r="CA84" s="33">
        <f t="shared" ca="1" si="81"/>
        <v>1.103830626451764E-2</v>
      </c>
      <c r="CB84" s="33">
        <f t="shared" ca="1" si="81"/>
        <v>9.4898447154399303E-3</v>
      </c>
      <c r="CC84" s="33">
        <f t="shared" ca="1" si="81"/>
        <v>1.400443490233007E-2</v>
      </c>
      <c r="CD84" s="33">
        <f t="shared" ca="1" si="81"/>
        <v>1.2466486828928182E-2</v>
      </c>
      <c r="CE84" s="33">
        <f t="shared" ca="1" si="81"/>
        <v>1.2248575219516059E-2</v>
      </c>
      <c r="CF84" s="33">
        <f t="shared" ca="1" si="81"/>
        <v>9.7684192693281002E-3</v>
      </c>
      <c r="CG84" s="33">
        <f t="shared" ca="1" si="81"/>
        <v>8.9161419169831741E-3</v>
      </c>
      <c r="CH84" s="33">
        <f t="shared" ca="1" si="81"/>
        <v>1.1024396878129459E-2</v>
      </c>
      <c r="CI84" s="33">
        <f t="shared" ca="1" si="81"/>
        <v>1.2680532495543236E-2</v>
      </c>
      <c r="CJ84" s="33">
        <f t="shared" ca="1" si="81"/>
        <v>1.3686347087236784E-2</v>
      </c>
      <c r="CK84" s="33">
        <f t="shared" ca="1" si="82"/>
        <v>9.5167439652774823E-3</v>
      </c>
      <c r="CL84" s="33">
        <f t="shared" ca="1" si="82"/>
        <v>9.2555815435571946E-3</v>
      </c>
      <c r="CM84" s="33">
        <f t="shared" ca="1" si="82"/>
        <v>1.0224178188231224E-2</v>
      </c>
      <c r="CN84" s="33">
        <f t="shared" ca="1" si="82"/>
        <v>1.1119284605328272E-2</v>
      </c>
      <c r="CO84" s="33">
        <f t="shared" ca="1" si="82"/>
        <v>8.9425492024311215E-3</v>
      </c>
      <c r="CP84" s="33">
        <f t="shared" ca="1" si="82"/>
        <v>1.3207590288219981E-2</v>
      </c>
      <c r="CQ84" s="33">
        <f t="shared" ca="1" si="82"/>
        <v>9.1574726908864694E-3</v>
      </c>
      <c r="CR84" s="33">
        <f t="shared" ca="1" si="82"/>
        <v>1.2002891264435083E-2</v>
      </c>
      <c r="CS84" s="33">
        <f t="shared" ca="1" si="82"/>
        <v>1.1525263829378636E-2</v>
      </c>
      <c r="CT84" s="33">
        <f t="shared" ca="1" si="82"/>
        <v>1.1355597046791201E-2</v>
      </c>
      <c r="CU84" s="33">
        <f t="shared" ca="1" si="83"/>
        <v>8.8594625208336386E-3</v>
      </c>
      <c r="CV84" s="33">
        <f t="shared" ca="1" si="83"/>
        <v>1.0422299235926394E-2</v>
      </c>
      <c r="CW84" s="33">
        <f t="shared" ca="1" si="83"/>
        <v>1.1025644043098481E-2</v>
      </c>
      <c r="CX84" s="33">
        <f t="shared" ca="1" si="83"/>
        <v>1.0781238299039562E-2</v>
      </c>
      <c r="CY84" s="33">
        <f t="shared" ca="1" si="83"/>
        <v>9.8891112998985998E-3</v>
      </c>
      <c r="CZ84" s="33">
        <f t="shared" ca="1" si="83"/>
        <v>1.107092591716724E-2</v>
      </c>
      <c r="DA84" s="33">
        <f t="shared" ca="1" si="83"/>
        <v>1.4286773160649099E-2</v>
      </c>
      <c r="DB84" s="33">
        <f t="shared" ca="1" si="83"/>
        <v>1.1915433933922319E-2</v>
      </c>
      <c r="DC84" s="33">
        <f t="shared" ca="1" si="83"/>
        <v>9.2429185610895942E-3</v>
      </c>
      <c r="DD84" s="33">
        <f t="shared" ca="1" si="83"/>
        <v>1.4128531438695819E-2</v>
      </c>
      <c r="DE84" s="33">
        <f t="shared" ca="1" si="84"/>
        <v>1.1623899421944216E-2</v>
      </c>
      <c r="DF84" s="33">
        <f t="shared" ca="1" si="84"/>
        <v>1.2853777440071655E-2</v>
      </c>
      <c r="DG84" s="33">
        <f t="shared" ca="1" si="84"/>
        <v>1.0632632376798283E-2</v>
      </c>
      <c r="DH84" s="33">
        <f t="shared" ca="1" si="84"/>
        <v>1.3060907524623848E-2</v>
      </c>
      <c r="DI84" s="33">
        <f t="shared" ca="1" si="84"/>
        <v>1.2765199115811325E-2</v>
      </c>
      <c r="DJ84" s="33">
        <f t="shared" ca="1" si="84"/>
        <v>1.1570589981320547E-2</v>
      </c>
      <c r="DK84" s="33">
        <f t="shared" ca="1" si="84"/>
        <v>1.2322683485438381E-2</v>
      </c>
      <c r="DL84" s="33">
        <f t="shared" ca="1" si="84"/>
        <v>1.1121767301891719E-2</v>
      </c>
      <c r="DM84" s="33">
        <f t="shared" ca="1" si="84"/>
        <v>1.3301261171688171E-2</v>
      </c>
      <c r="DN84" s="33">
        <f t="shared" ca="1" si="84"/>
        <v>1.1848309804934405E-2</v>
      </c>
      <c r="DO84" s="12"/>
      <c r="DP84" s="12"/>
      <c r="DQ84" s="12"/>
    </row>
    <row r="85" spans="9:121" x14ac:dyDescent="0.2">
      <c r="I85" s="32">
        <v>46997</v>
      </c>
      <c r="J85" s="33">
        <f t="shared" ca="1" si="73"/>
        <v>1.1629780276967289E-2</v>
      </c>
      <c r="K85" s="9">
        <v>3554.2025500799996</v>
      </c>
      <c r="L85" s="9">
        <f t="shared" ca="1" si="74"/>
        <v>311993.71636266407</v>
      </c>
      <c r="N85" s="6">
        <v>81</v>
      </c>
      <c r="O85" s="5">
        <v>3.9986534297161351</v>
      </c>
      <c r="P85" s="9">
        <v>692678.34792397229</v>
      </c>
      <c r="R85" s="32">
        <v>46997</v>
      </c>
      <c r="S85" s="33">
        <f t="shared" ref="S85:AB94" ca="1" si="85">_xlfn.NORM.INV(RAND(),$A$52,$B$45)</f>
        <v>1.1830747651002664E-2</v>
      </c>
      <c r="T85" s="33">
        <f t="shared" ca="1" si="85"/>
        <v>1.108022705095376E-2</v>
      </c>
      <c r="U85" s="33">
        <f t="shared" ca="1" si="85"/>
        <v>1.2949979214277913E-2</v>
      </c>
      <c r="V85" s="33">
        <f t="shared" ca="1" si="85"/>
        <v>1.1203563248278887E-2</v>
      </c>
      <c r="W85" s="33">
        <f t="shared" ca="1" si="85"/>
        <v>9.1029237985920837E-3</v>
      </c>
      <c r="X85" s="33">
        <f t="shared" ca="1" si="85"/>
        <v>1.1256376163180088E-2</v>
      </c>
      <c r="Y85" s="33">
        <f t="shared" ca="1" si="85"/>
        <v>1.24616048072172E-2</v>
      </c>
      <c r="Z85" s="33">
        <f t="shared" ca="1" si="85"/>
        <v>1.075969945219472E-2</v>
      </c>
      <c r="AA85" s="33">
        <f t="shared" ca="1" si="85"/>
        <v>9.3866723238108241E-3</v>
      </c>
      <c r="AB85" s="33">
        <f t="shared" ca="1" si="85"/>
        <v>1.2424403637793367E-2</v>
      </c>
      <c r="AC85" s="33">
        <f t="shared" ref="AC85:AL94" ca="1" si="86">_xlfn.NORM.INV(RAND(),$A$52,$B$45)</f>
        <v>1.0497025174912101E-2</v>
      </c>
      <c r="AD85" s="33">
        <f t="shared" ca="1" si="86"/>
        <v>1.1249637622863582E-2</v>
      </c>
      <c r="AE85" s="33">
        <f t="shared" ca="1" si="86"/>
        <v>1.1316523423595673E-2</v>
      </c>
      <c r="AF85" s="33">
        <f t="shared" ca="1" si="86"/>
        <v>1.0284953563109933E-2</v>
      </c>
      <c r="AG85" s="33">
        <f t="shared" ca="1" si="86"/>
        <v>1.4614312734519753E-2</v>
      </c>
      <c r="AH85" s="33">
        <f t="shared" ca="1" si="86"/>
        <v>1.1279163854138819E-2</v>
      </c>
      <c r="AI85" s="33">
        <f t="shared" ca="1" si="86"/>
        <v>8.0619296881040258E-3</v>
      </c>
      <c r="AJ85" s="33">
        <f t="shared" ca="1" si="86"/>
        <v>1.171397083796401E-2</v>
      </c>
      <c r="AK85" s="33">
        <f t="shared" ca="1" si="86"/>
        <v>1.0445673941676149E-2</v>
      </c>
      <c r="AL85" s="33">
        <f t="shared" ca="1" si="86"/>
        <v>1.0005701146197556E-2</v>
      </c>
      <c r="AM85" s="33">
        <f t="shared" ref="AM85:AV94" ca="1" si="87">_xlfn.NORM.INV(RAND(),$A$52,$B$45)</f>
        <v>1.0305837250299481E-2</v>
      </c>
      <c r="AN85" s="33">
        <f t="shared" ca="1" si="87"/>
        <v>1.2246779795464485E-2</v>
      </c>
      <c r="AO85" s="33">
        <f t="shared" ca="1" si="87"/>
        <v>1.1620560121334401E-2</v>
      </c>
      <c r="AP85" s="33">
        <f t="shared" ca="1" si="87"/>
        <v>1.2968087317151033E-2</v>
      </c>
      <c r="AQ85" s="33">
        <f t="shared" ca="1" si="87"/>
        <v>1.0655078310654324E-2</v>
      </c>
      <c r="AR85" s="33">
        <f t="shared" ca="1" si="87"/>
        <v>1.1633468921078674E-2</v>
      </c>
      <c r="AS85" s="33">
        <f t="shared" ca="1" si="87"/>
        <v>9.8284752726985822E-3</v>
      </c>
      <c r="AT85" s="33">
        <f t="shared" ca="1" si="87"/>
        <v>7.4482467320980492E-3</v>
      </c>
      <c r="AU85" s="33">
        <f t="shared" ca="1" si="87"/>
        <v>1.155984861649852E-2</v>
      </c>
      <c r="AV85" s="33">
        <f t="shared" ca="1" si="87"/>
        <v>1.0205844592170249E-2</v>
      </c>
      <c r="AW85" s="33">
        <f t="shared" ref="AW85:BF94" ca="1" si="88">_xlfn.NORM.INV(RAND(),$A$52,$B$45)</f>
        <v>1.0499873900378733E-2</v>
      </c>
      <c r="AX85" s="33">
        <f t="shared" ca="1" si="88"/>
        <v>1.373068724100512E-2</v>
      </c>
      <c r="AY85" s="33">
        <f t="shared" ca="1" si="88"/>
        <v>5.9688309148595428E-3</v>
      </c>
      <c r="AZ85" s="33">
        <f t="shared" ca="1" si="88"/>
        <v>1.2672141594509394E-2</v>
      </c>
      <c r="BA85" s="33">
        <f t="shared" ca="1" si="88"/>
        <v>1.0257216060345749E-2</v>
      </c>
      <c r="BB85" s="33">
        <f t="shared" ca="1" si="88"/>
        <v>1.0942090645595502E-2</v>
      </c>
      <c r="BC85" s="33">
        <f t="shared" ca="1" si="88"/>
        <v>1.3086678613580932E-2</v>
      </c>
      <c r="BD85" s="33">
        <f t="shared" ca="1" si="88"/>
        <v>1.0234532311949304E-2</v>
      </c>
      <c r="BE85" s="33">
        <f t="shared" ca="1" si="88"/>
        <v>1.2997549554956009E-2</v>
      </c>
      <c r="BF85" s="33">
        <f t="shared" ca="1" si="88"/>
        <v>1.1227792027989797E-2</v>
      </c>
      <c r="BG85" s="33">
        <f t="shared" ref="BG85:BP94" ca="1" si="89">_xlfn.NORM.INV(RAND(),$A$52,$B$45)</f>
        <v>1.205998183971085E-2</v>
      </c>
      <c r="BH85" s="33">
        <f t="shared" ca="1" si="89"/>
        <v>1.1347214186004989E-2</v>
      </c>
      <c r="BI85" s="33">
        <f t="shared" ca="1" si="89"/>
        <v>1.0613759996144785E-2</v>
      </c>
      <c r="BJ85" s="33">
        <f t="shared" ca="1" si="89"/>
        <v>1.2051705093947129E-2</v>
      </c>
      <c r="BK85" s="33">
        <f t="shared" ca="1" si="89"/>
        <v>1.0922106077300032E-2</v>
      </c>
      <c r="BL85" s="33">
        <f t="shared" ca="1" si="89"/>
        <v>1.0126712134657677E-2</v>
      </c>
      <c r="BM85" s="33">
        <f t="shared" ca="1" si="89"/>
        <v>1.183149841494483E-2</v>
      </c>
      <c r="BN85" s="33">
        <f t="shared" ca="1" si="89"/>
        <v>1.1416236355853697E-2</v>
      </c>
      <c r="BO85" s="33">
        <f t="shared" ca="1" si="89"/>
        <v>1.1069758608908511E-2</v>
      </c>
      <c r="BP85" s="33">
        <f t="shared" ca="1" si="89"/>
        <v>1.346100611894098E-2</v>
      </c>
      <c r="BQ85" s="33">
        <f t="shared" ref="BQ85:BZ94" ca="1" si="90">_xlfn.NORM.INV(RAND(),$A$52,$B$45)</f>
        <v>1.3127757636624243E-2</v>
      </c>
      <c r="BR85" s="33">
        <f t="shared" ca="1" si="90"/>
        <v>1.1596086869867031E-2</v>
      </c>
      <c r="BS85" s="33">
        <f t="shared" ca="1" si="90"/>
        <v>1.0950716687368739E-2</v>
      </c>
      <c r="BT85" s="33">
        <f t="shared" ca="1" si="90"/>
        <v>1.3009836975049639E-2</v>
      </c>
      <c r="BU85" s="33">
        <f t="shared" ca="1" si="90"/>
        <v>1.2077370152039834E-2</v>
      </c>
      <c r="BV85" s="33">
        <f t="shared" ca="1" si="90"/>
        <v>1.2575881707560563E-2</v>
      </c>
      <c r="BW85" s="33">
        <f t="shared" ca="1" si="90"/>
        <v>1.3822700105778477E-2</v>
      </c>
      <c r="BX85" s="33">
        <f t="shared" ca="1" si="90"/>
        <v>1.0343130574634412E-2</v>
      </c>
      <c r="BY85" s="33">
        <f t="shared" ca="1" si="90"/>
        <v>1.0599681466938517E-2</v>
      </c>
      <c r="BZ85" s="33">
        <f t="shared" ca="1" si="90"/>
        <v>1.0613949372649341E-2</v>
      </c>
      <c r="CA85" s="33">
        <f t="shared" ref="CA85:CJ94" ca="1" si="91">_xlfn.NORM.INV(RAND(),$A$52,$B$45)</f>
        <v>1.201312859885586E-2</v>
      </c>
      <c r="CB85" s="33">
        <f t="shared" ca="1" si="91"/>
        <v>6.9140370205550659E-3</v>
      </c>
      <c r="CC85" s="33">
        <f t="shared" ca="1" si="91"/>
        <v>1.1644935073969194E-2</v>
      </c>
      <c r="CD85" s="33">
        <f t="shared" ca="1" si="91"/>
        <v>1.2624399950169713E-2</v>
      </c>
      <c r="CE85" s="33">
        <f t="shared" ca="1" si="91"/>
        <v>1.2531107524530011E-2</v>
      </c>
      <c r="CF85" s="33">
        <f t="shared" ca="1" si="91"/>
        <v>1.084399453552861E-2</v>
      </c>
      <c r="CG85" s="33">
        <f t="shared" ca="1" si="91"/>
        <v>1.0842203598955479E-2</v>
      </c>
      <c r="CH85" s="33">
        <f t="shared" ca="1" si="91"/>
        <v>9.5387914698970878E-3</v>
      </c>
      <c r="CI85" s="33">
        <f t="shared" ca="1" si="91"/>
        <v>1.3257877906337577E-2</v>
      </c>
      <c r="CJ85" s="33">
        <f t="shared" ca="1" si="91"/>
        <v>1.2438475604395739E-2</v>
      </c>
      <c r="CK85" s="33">
        <f t="shared" ref="CK85:CT94" ca="1" si="92">_xlfn.NORM.INV(RAND(),$A$52,$B$45)</f>
        <v>1.3860494764085556E-2</v>
      </c>
      <c r="CL85" s="33">
        <f t="shared" ca="1" si="92"/>
        <v>9.1701547889690097E-3</v>
      </c>
      <c r="CM85" s="33">
        <f t="shared" ca="1" si="92"/>
        <v>1.3784784723960853E-2</v>
      </c>
      <c r="CN85" s="33">
        <f t="shared" ca="1" si="92"/>
        <v>1.1123821745510838E-2</v>
      </c>
      <c r="CO85" s="33">
        <f t="shared" ca="1" si="92"/>
        <v>1.2503320349968643E-2</v>
      </c>
      <c r="CP85" s="33">
        <f t="shared" ca="1" si="92"/>
        <v>1.0046693598354481E-2</v>
      </c>
      <c r="CQ85" s="33">
        <f t="shared" ca="1" si="92"/>
        <v>1.140011543321553E-2</v>
      </c>
      <c r="CR85" s="33">
        <f t="shared" ca="1" si="92"/>
        <v>7.7205303982228954E-3</v>
      </c>
      <c r="CS85" s="33">
        <f t="shared" ca="1" si="92"/>
        <v>1.0625853481315466E-2</v>
      </c>
      <c r="CT85" s="33">
        <f t="shared" ca="1" si="92"/>
        <v>1.0686945913219538E-2</v>
      </c>
      <c r="CU85" s="33">
        <f t="shared" ref="CU85:DD94" ca="1" si="93">_xlfn.NORM.INV(RAND(),$A$52,$B$45)</f>
        <v>8.5155743457213766E-3</v>
      </c>
      <c r="CV85" s="33">
        <f t="shared" ca="1" si="93"/>
        <v>1.1857101606336174E-2</v>
      </c>
      <c r="CW85" s="33">
        <f t="shared" ca="1" si="93"/>
        <v>1.2270616828243494E-2</v>
      </c>
      <c r="CX85" s="33">
        <f t="shared" ca="1" si="93"/>
        <v>1.2172138795525773E-2</v>
      </c>
      <c r="CY85" s="33">
        <f t="shared" ca="1" si="93"/>
        <v>1.2724327163977794E-2</v>
      </c>
      <c r="CZ85" s="33">
        <f t="shared" ca="1" si="93"/>
        <v>1.0856591815559497E-2</v>
      </c>
      <c r="DA85" s="33">
        <f t="shared" ca="1" si="93"/>
        <v>1.1338078449008849E-2</v>
      </c>
      <c r="DB85" s="33">
        <f t="shared" ca="1" si="93"/>
        <v>1.2117065641607982E-2</v>
      </c>
      <c r="DC85" s="33">
        <f t="shared" ca="1" si="93"/>
        <v>1.0798255006106004E-2</v>
      </c>
      <c r="DD85" s="33">
        <f t="shared" ca="1" si="93"/>
        <v>1.3670473365621558E-2</v>
      </c>
      <c r="DE85" s="33">
        <f t="shared" ref="DE85:DN94" ca="1" si="94">_xlfn.NORM.INV(RAND(),$A$52,$B$45)</f>
        <v>9.5084568156627216E-3</v>
      </c>
      <c r="DF85" s="33">
        <f t="shared" ca="1" si="94"/>
        <v>9.7583506505877684E-3</v>
      </c>
      <c r="DG85" s="33">
        <f t="shared" ca="1" si="94"/>
        <v>1.01340347223688E-2</v>
      </c>
      <c r="DH85" s="33">
        <f t="shared" ca="1" si="94"/>
        <v>1.0646915798471513E-2</v>
      </c>
      <c r="DI85" s="33">
        <f t="shared" ca="1" si="94"/>
        <v>1.2819869292542793E-2</v>
      </c>
      <c r="DJ85" s="33">
        <f t="shared" ca="1" si="94"/>
        <v>1.244862513580753E-2</v>
      </c>
      <c r="DK85" s="33">
        <f t="shared" ca="1" si="94"/>
        <v>1.108099830581121E-2</v>
      </c>
      <c r="DL85" s="33">
        <f t="shared" ca="1" si="94"/>
        <v>1.1862572318493568E-2</v>
      </c>
      <c r="DM85" s="33">
        <f t="shared" ca="1" si="94"/>
        <v>1.1695558428456727E-2</v>
      </c>
      <c r="DN85" s="33">
        <f t="shared" ca="1" si="94"/>
        <v>1.323426528245422E-2</v>
      </c>
      <c r="DO85" s="12"/>
      <c r="DP85" s="12"/>
      <c r="DQ85" s="12"/>
    </row>
    <row r="86" spans="9:121" x14ac:dyDescent="0.2">
      <c r="I86" s="32">
        <v>47027</v>
      </c>
      <c r="J86" s="33">
        <f t="shared" ca="1" si="73"/>
        <v>1.1455150122892784E-2</v>
      </c>
      <c r="K86" s="9">
        <v>3554.2025500799996</v>
      </c>
      <c r="L86" s="9">
        <f t="shared" ca="1" si="74"/>
        <v>319142.40213782928</v>
      </c>
      <c r="N86" s="6">
        <v>82</v>
      </c>
      <c r="O86" s="5">
        <v>4.0419708611787764</v>
      </c>
      <c r="P86" s="9">
        <v>697621.6678262233</v>
      </c>
      <c r="R86" s="32">
        <v>47027</v>
      </c>
      <c r="S86" s="33">
        <f t="shared" ca="1" si="85"/>
        <v>1.0156571674201661E-2</v>
      </c>
      <c r="T86" s="33">
        <f t="shared" ca="1" si="85"/>
        <v>1.1354596454153392E-2</v>
      </c>
      <c r="U86" s="33">
        <f t="shared" ca="1" si="85"/>
        <v>1.0158817606975207E-2</v>
      </c>
      <c r="V86" s="33">
        <f t="shared" ca="1" si="85"/>
        <v>1.1603155161503958E-2</v>
      </c>
      <c r="W86" s="33">
        <f t="shared" ca="1" si="85"/>
        <v>1.0876863922910129E-2</v>
      </c>
      <c r="X86" s="33">
        <f t="shared" ca="1" si="85"/>
        <v>1.395271507541831E-2</v>
      </c>
      <c r="Y86" s="33">
        <f t="shared" ca="1" si="85"/>
        <v>1.340506210680727E-2</v>
      </c>
      <c r="Z86" s="33">
        <f t="shared" ca="1" si="85"/>
        <v>9.0643281778136787E-3</v>
      </c>
      <c r="AA86" s="33">
        <f t="shared" ca="1" si="85"/>
        <v>1.3022901232533517E-2</v>
      </c>
      <c r="AB86" s="33">
        <f t="shared" ca="1" si="85"/>
        <v>1.0437643828627443E-2</v>
      </c>
      <c r="AC86" s="33">
        <f t="shared" ca="1" si="86"/>
        <v>1.0895544830922749E-2</v>
      </c>
      <c r="AD86" s="33">
        <f t="shared" ca="1" si="86"/>
        <v>9.9063746794627611E-3</v>
      </c>
      <c r="AE86" s="33">
        <f t="shared" ca="1" si="86"/>
        <v>1.0802627100143864E-2</v>
      </c>
      <c r="AF86" s="33">
        <f t="shared" ca="1" si="86"/>
        <v>1.5458495472703728E-2</v>
      </c>
      <c r="AG86" s="33">
        <f t="shared" ca="1" si="86"/>
        <v>1.1019766615913308E-2</v>
      </c>
      <c r="AH86" s="33">
        <f t="shared" ca="1" si="86"/>
        <v>1.1889321206117503E-2</v>
      </c>
      <c r="AI86" s="33">
        <f t="shared" ca="1" si="86"/>
        <v>1.0202927452023643E-2</v>
      </c>
      <c r="AJ86" s="33">
        <f t="shared" ca="1" si="86"/>
        <v>9.7801248236534521E-3</v>
      </c>
      <c r="AK86" s="33">
        <f t="shared" ca="1" si="86"/>
        <v>1.0073450462026115E-2</v>
      </c>
      <c r="AL86" s="33">
        <f t="shared" ca="1" si="86"/>
        <v>8.6600185517691566E-3</v>
      </c>
      <c r="AM86" s="33">
        <f t="shared" ca="1" si="87"/>
        <v>1.252012197547436E-2</v>
      </c>
      <c r="AN86" s="33">
        <f t="shared" ca="1" si="87"/>
        <v>1.1971113564813387E-2</v>
      </c>
      <c r="AO86" s="33">
        <f t="shared" ca="1" si="87"/>
        <v>8.8819156044289711E-3</v>
      </c>
      <c r="AP86" s="33">
        <f t="shared" ca="1" si="87"/>
        <v>7.2081539935486532E-3</v>
      </c>
      <c r="AQ86" s="33">
        <f t="shared" ca="1" si="87"/>
        <v>1.058133519596541E-2</v>
      </c>
      <c r="AR86" s="33">
        <f t="shared" ca="1" si="87"/>
        <v>1.0972140790619752E-2</v>
      </c>
      <c r="AS86" s="33">
        <f t="shared" ca="1" si="87"/>
        <v>8.6350033605061549E-3</v>
      </c>
      <c r="AT86" s="33">
        <f t="shared" ca="1" si="87"/>
        <v>8.7433105984003907E-3</v>
      </c>
      <c r="AU86" s="33">
        <f t="shared" ca="1" si="87"/>
        <v>1.487811384438361E-2</v>
      </c>
      <c r="AV86" s="33">
        <f t="shared" ca="1" si="87"/>
        <v>1.1260473473897581E-2</v>
      </c>
      <c r="AW86" s="33">
        <f t="shared" ca="1" si="88"/>
        <v>9.603505675859457E-3</v>
      </c>
      <c r="AX86" s="33">
        <f t="shared" ca="1" si="88"/>
        <v>1.0773390259353907E-2</v>
      </c>
      <c r="AY86" s="33">
        <f t="shared" ca="1" si="88"/>
        <v>1.1558745474996916E-2</v>
      </c>
      <c r="AZ86" s="33">
        <f t="shared" ca="1" si="88"/>
        <v>1.2092364342710831E-2</v>
      </c>
      <c r="BA86" s="33">
        <f t="shared" ca="1" si="88"/>
        <v>1.1161391860963755E-2</v>
      </c>
      <c r="BB86" s="33">
        <f t="shared" ca="1" si="88"/>
        <v>1.1810215221533672E-2</v>
      </c>
      <c r="BC86" s="33">
        <f t="shared" ca="1" si="88"/>
        <v>1.2547564544004748E-2</v>
      </c>
      <c r="BD86" s="33">
        <f t="shared" ca="1" si="88"/>
        <v>1.1002062135508866E-2</v>
      </c>
      <c r="BE86" s="33">
        <f t="shared" ca="1" si="88"/>
        <v>1.1110291087186072E-2</v>
      </c>
      <c r="BF86" s="33">
        <f t="shared" ca="1" si="88"/>
        <v>1.2890196868602358E-2</v>
      </c>
      <c r="BG86" s="33">
        <f t="shared" ca="1" si="89"/>
        <v>1.3603724191019219E-2</v>
      </c>
      <c r="BH86" s="33">
        <f t="shared" ca="1" si="89"/>
        <v>1.0548878431038767E-2</v>
      </c>
      <c r="BI86" s="33">
        <f t="shared" ca="1" si="89"/>
        <v>1.0980252243004271E-2</v>
      </c>
      <c r="BJ86" s="33">
        <f t="shared" ca="1" si="89"/>
        <v>1.2527933807366134E-2</v>
      </c>
      <c r="BK86" s="33">
        <f t="shared" ca="1" si="89"/>
        <v>1.2301652845387562E-2</v>
      </c>
      <c r="BL86" s="33">
        <f t="shared" ca="1" si="89"/>
        <v>1.2239749947906454E-2</v>
      </c>
      <c r="BM86" s="33">
        <f t="shared" ca="1" si="89"/>
        <v>1.1112251467211202E-2</v>
      </c>
      <c r="BN86" s="33">
        <f t="shared" ca="1" si="89"/>
        <v>1.015934229177195E-2</v>
      </c>
      <c r="BO86" s="33">
        <f t="shared" ca="1" si="89"/>
        <v>1.1550616568855069E-2</v>
      </c>
      <c r="BP86" s="33">
        <f t="shared" ca="1" si="89"/>
        <v>1.0493485775694558E-2</v>
      </c>
      <c r="BQ86" s="33">
        <f t="shared" ca="1" si="90"/>
        <v>1.263659780209025E-2</v>
      </c>
      <c r="BR86" s="33">
        <f t="shared" ca="1" si="90"/>
        <v>9.7054028884544247E-3</v>
      </c>
      <c r="BS86" s="33">
        <f t="shared" ca="1" si="90"/>
        <v>9.7400621943611147E-3</v>
      </c>
      <c r="BT86" s="33">
        <f t="shared" ca="1" si="90"/>
        <v>1.326979844505557E-2</v>
      </c>
      <c r="BU86" s="33">
        <f t="shared" ca="1" si="90"/>
        <v>1.1214713455018722E-2</v>
      </c>
      <c r="BV86" s="33">
        <f t="shared" ca="1" si="90"/>
        <v>1.3433274476831462E-2</v>
      </c>
      <c r="BW86" s="33">
        <f t="shared" ca="1" si="90"/>
        <v>1.1673767198368382E-2</v>
      </c>
      <c r="BX86" s="33">
        <f t="shared" ca="1" si="90"/>
        <v>1.1523973232234959E-2</v>
      </c>
      <c r="BY86" s="33">
        <f t="shared" ca="1" si="90"/>
        <v>1.1701813345653138E-2</v>
      </c>
      <c r="BZ86" s="33">
        <f t="shared" ca="1" si="90"/>
        <v>1.0316210695562907E-2</v>
      </c>
      <c r="CA86" s="33">
        <f t="shared" ca="1" si="91"/>
        <v>1.3862797951177359E-2</v>
      </c>
      <c r="CB86" s="33">
        <f t="shared" ca="1" si="91"/>
        <v>1.1771892628369795E-2</v>
      </c>
      <c r="CC86" s="33">
        <f t="shared" ca="1" si="91"/>
        <v>1.1390721674497435E-2</v>
      </c>
      <c r="CD86" s="33">
        <f t="shared" ca="1" si="91"/>
        <v>1.1161949383751779E-2</v>
      </c>
      <c r="CE86" s="33">
        <f t="shared" ca="1" si="91"/>
        <v>1.1425716681592271E-2</v>
      </c>
      <c r="CF86" s="33">
        <f t="shared" ca="1" si="91"/>
        <v>1.0897561569183725E-2</v>
      </c>
      <c r="CG86" s="33">
        <f t="shared" ca="1" si="91"/>
        <v>8.9921196637487467E-3</v>
      </c>
      <c r="CH86" s="33">
        <f t="shared" ca="1" si="91"/>
        <v>1.2981182935166096E-2</v>
      </c>
      <c r="CI86" s="33">
        <f t="shared" ca="1" si="91"/>
        <v>1.167149292893521E-2</v>
      </c>
      <c r="CJ86" s="33">
        <f t="shared" ca="1" si="91"/>
        <v>9.4310157725983178E-3</v>
      </c>
      <c r="CK86" s="33">
        <f t="shared" ca="1" si="92"/>
        <v>9.8043500951436741E-3</v>
      </c>
      <c r="CL86" s="33">
        <f t="shared" ca="1" si="92"/>
        <v>1.1707449303501555E-2</v>
      </c>
      <c r="CM86" s="33">
        <f t="shared" ca="1" si="92"/>
        <v>8.3183823717545395E-3</v>
      </c>
      <c r="CN86" s="33">
        <f t="shared" ca="1" si="92"/>
        <v>1.0794261357106717E-2</v>
      </c>
      <c r="CO86" s="33">
        <f t="shared" ca="1" si="92"/>
        <v>1.2730721853168557E-2</v>
      </c>
      <c r="CP86" s="33">
        <f t="shared" ca="1" si="92"/>
        <v>1.2828424859512499E-2</v>
      </c>
      <c r="CQ86" s="33">
        <f t="shared" ca="1" si="92"/>
        <v>1.2733492527143279E-2</v>
      </c>
      <c r="CR86" s="33">
        <f t="shared" ca="1" si="92"/>
        <v>9.7524596276401879E-3</v>
      </c>
      <c r="CS86" s="33">
        <f t="shared" ca="1" si="92"/>
        <v>1.2569255212485139E-2</v>
      </c>
      <c r="CT86" s="33">
        <f t="shared" ca="1" si="92"/>
        <v>1.1437587452084405E-2</v>
      </c>
      <c r="CU86" s="33">
        <f t="shared" ca="1" si="93"/>
        <v>1.2514742859715022E-2</v>
      </c>
      <c r="CV86" s="33">
        <f t="shared" ca="1" si="93"/>
        <v>1.1442776066283434E-2</v>
      </c>
      <c r="CW86" s="33">
        <f t="shared" ca="1" si="93"/>
        <v>1.2467660168465863E-2</v>
      </c>
      <c r="CX86" s="33">
        <f t="shared" ca="1" si="93"/>
        <v>1.2983635738742337E-2</v>
      </c>
      <c r="CY86" s="33">
        <f t="shared" ca="1" si="93"/>
        <v>1.2571041950171375E-2</v>
      </c>
      <c r="CZ86" s="33">
        <f t="shared" ca="1" si="93"/>
        <v>1.2679156773205186E-2</v>
      </c>
      <c r="DA86" s="33">
        <f t="shared" ca="1" si="93"/>
        <v>1.2643578663679003E-2</v>
      </c>
      <c r="DB86" s="33">
        <f t="shared" ca="1" si="93"/>
        <v>1.1434565135709028E-2</v>
      </c>
      <c r="DC86" s="33">
        <f t="shared" ca="1" si="93"/>
        <v>9.5377870273732415E-3</v>
      </c>
      <c r="DD86" s="33">
        <f t="shared" ca="1" si="93"/>
        <v>1.1405866750328333E-2</v>
      </c>
      <c r="DE86" s="33">
        <f t="shared" ca="1" si="94"/>
        <v>1.1946892837209516E-2</v>
      </c>
      <c r="DF86" s="33">
        <f t="shared" ca="1" si="94"/>
        <v>9.5123913579548604E-3</v>
      </c>
      <c r="DG86" s="33">
        <f t="shared" ca="1" si="94"/>
        <v>1.240613443798186E-2</v>
      </c>
      <c r="DH86" s="33">
        <f t="shared" ca="1" si="94"/>
        <v>1.0246715768821519E-2</v>
      </c>
      <c r="DI86" s="33">
        <f t="shared" ca="1" si="94"/>
        <v>1.1479296932770623E-2</v>
      </c>
      <c r="DJ86" s="33">
        <f t="shared" ca="1" si="94"/>
        <v>1.0089880453594595E-2</v>
      </c>
      <c r="DK86" s="33">
        <f t="shared" ca="1" si="94"/>
        <v>1.3032741332245438E-2</v>
      </c>
      <c r="DL86" s="33">
        <f t="shared" ca="1" si="94"/>
        <v>1.1580868189369181E-2</v>
      </c>
      <c r="DM86" s="33">
        <f t="shared" ca="1" si="94"/>
        <v>9.9513459908038334E-3</v>
      </c>
      <c r="DN86" s="33">
        <f t="shared" ca="1" si="94"/>
        <v>1.1953384643390123E-2</v>
      </c>
      <c r="DO86" s="12"/>
      <c r="DP86" s="12"/>
      <c r="DQ86" s="12"/>
    </row>
    <row r="87" spans="9:121" x14ac:dyDescent="0.2">
      <c r="I87" s="32">
        <v>47058</v>
      </c>
      <c r="J87" s="33">
        <f t="shared" ca="1" si="73"/>
        <v>1.0979360885034043E-2</v>
      </c>
      <c r="K87" s="9">
        <v>3554.2025500799996</v>
      </c>
      <c r="L87" s="9">
        <f t="shared" ca="1" si="74"/>
        <v>326219.89061534143</v>
      </c>
      <c r="N87" s="6">
        <v>83</v>
      </c>
      <c r="O87" s="5">
        <v>3.9449854758457494</v>
      </c>
      <c r="P87" s="9">
        <v>683305.90020318306</v>
      </c>
      <c r="R87" s="32">
        <v>47058</v>
      </c>
      <c r="S87" s="33">
        <f t="shared" ca="1" si="85"/>
        <v>1.1307276403391013E-2</v>
      </c>
      <c r="T87" s="33">
        <f t="shared" ca="1" si="85"/>
        <v>9.4644837930102747E-3</v>
      </c>
      <c r="U87" s="33">
        <f t="shared" ca="1" si="85"/>
        <v>1.3592050932840933E-2</v>
      </c>
      <c r="V87" s="33">
        <f t="shared" ca="1" si="85"/>
        <v>9.3634115035589223E-3</v>
      </c>
      <c r="W87" s="33">
        <f t="shared" ca="1" si="85"/>
        <v>1.0228831359547757E-2</v>
      </c>
      <c r="X87" s="33">
        <f t="shared" ca="1" si="85"/>
        <v>1.2846245302005722E-2</v>
      </c>
      <c r="Y87" s="33">
        <f t="shared" ca="1" si="85"/>
        <v>1.3544160078645928E-2</v>
      </c>
      <c r="Z87" s="33">
        <f t="shared" ca="1" si="85"/>
        <v>1.1761736146642651E-2</v>
      </c>
      <c r="AA87" s="33">
        <f t="shared" ca="1" si="85"/>
        <v>1.2934160602913646E-2</v>
      </c>
      <c r="AB87" s="33">
        <f t="shared" ca="1" si="85"/>
        <v>1.1630708648819878E-2</v>
      </c>
      <c r="AC87" s="33">
        <f t="shared" ca="1" si="86"/>
        <v>1.2326416274147199E-2</v>
      </c>
      <c r="AD87" s="33">
        <f t="shared" ca="1" si="86"/>
        <v>1.0904775680101559E-2</v>
      </c>
      <c r="AE87" s="33">
        <f t="shared" ca="1" si="86"/>
        <v>5.7163713594827695E-3</v>
      </c>
      <c r="AF87" s="33">
        <f t="shared" ca="1" si="86"/>
        <v>1.1447409479959749E-2</v>
      </c>
      <c r="AG87" s="33">
        <f t="shared" ca="1" si="86"/>
        <v>1.3091562527929985E-2</v>
      </c>
      <c r="AH87" s="33">
        <f t="shared" ca="1" si="86"/>
        <v>1.0720509743342814E-2</v>
      </c>
      <c r="AI87" s="33">
        <f t="shared" ca="1" si="86"/>
        <v>9.7904767744559189E-3</v>
      </c>
      <c r="AJ87" s="33">
        <f t="shared" ca="1" si="86"/>
        <v>1.1593864112738515E-2</v>
      </c>
      <c r="AK87" s="33">
        <f t="shared" ca="1" si="86"/>
        <v>9.0258474372051818E-3</v>
      </c>
      <c r="AL87" s="33">
        <f t="shared" ca="1" si="86"/>
        <v>7.9761933002875755E-3</v>
      </c>
      <c r="AM87" s="33">
        <f t="shared" ca="1" si="87"/>
        <v>1.1991776086595039E-2</v>
      </c>
      <c r="AN87" s="33">
        <f t="shared" ca="1" si="87"/>
        <v>9.683752937058622E-3</v>
      </c>
      <c r="AO87" s="33">
        <f t="shared" ca="1" si="87"/>
        <v>1.4331177891887203E-2</v>
      </c>
      <c r="AP87" s="33">
        <f t="shared" ca="1" si="87"/>
        <v>1.3312507775773893E-2</v>
      </c>
      <c r="AQ87" s="33">
        <f t="shared" ca="1" si="87"/>
        <v>1.1546088844706421E-2</v>
      </c>
      <c r="AR87" s="33">
        <f t="shared" ca="1" si="87"/>
        <v>1.1727993342359461E-2</v>
      </c>
      <c r="AS87" s="33">
        <f t="shared" ca="1" si="87"/>
        <v>1.1674691590058631E-2</v>
      </c>
      <c r="AT87" s="33">
        <f t="shared" ca="1" si="87"/>
        <v>9.164195332019627E-3</v>
      </c>
      <c r="AU87" s="33">
        <f t="shared" ca="1" si="87"/>
        <v>1.0064777168952588E-2</v>
      </c>
      <c r="AV87" s="33">
        <f t="shared" ca="1" si="87"/>
        <v>8.8873886890098331E-3</v>
      </c>
      <c r="AW87" s="33">
        <f t="shared" ca="1" si="88"/>
        <v>1.0092655687570859E-2</v>
      </c>
      <c r="AX87" s="33">
        <f t="shared" ca="1" si="88"/>
        <v>1.2800016104978402E-2</v>
      </c>
      <c r="AY87" s="33">
        <f t="shared" ca="1" si="88"/>
        <v>1.2069003428843391E-2</v>
      </c>
      <c r="AZ87" s="33">
        <f t="shared" ca="1" si="88"/>
        <v>1.1111310087119259E-2</v>
      </c>
      <c r="BA87" s="33">
        <f t="shared" ca="1" si="88"/>
        <v>1.0795520774895843E-2</v>
      </c>
      <c r="BB87" s="33">
        <f t="shared" ca="1" si="88"/>
        <v>9.3920729239864668E-3</v>
      </c>
      <c r="BC87" s="33">
        <f t="shared" ca="1" si="88"/>
        <v>1.2710840854748343E-2</v>
      </c>
      <c r="BD87" s="33">
        <f t="shared" ca="1" si="88"/>
        <v>1.0342700878258417E-2</v>
      </c>
      <c r="BE87" s="33">
        <f t="shared" ca="1" si="88"/>
        <v>1.0796886779739948E-2</v>
      </c>
      <c r="BF87" s="33">
        <f t="shared" ca="1" si="88"/>
        <v>1.2920717758749051E-2</v>
      </c>
      <c r="BG87" s="33">
        <f t="shared" ca="1" si="89"/>
        <v>1.2235182190185708E-2</v>
      </c>
      <c r="BH87" s="33">
        <f t="shared" ca="1" si="89"/>
        <v>1.0683390059517706E-2</v>
      </c>
      <c r="BI87" s="33">
        <f t="shared" ca="1" si="89"/>
        <v>1.1606879726259825E-2</v>
      </c>
      <c r="BJ87" s="33">
        <f t="shared" ca="1" si="89"/>
        <v>1.2507640096890961E-2</v>
      </c>
      <c r="BK87" s="33">
        <f t="shared" ca="1" si="89"/>
        <v>1.0799143315221454E-2</v>
      </c>
      <c r="BL87" s="33">
        <f t="shared" ca="1" si="89"/>
        <v>1.06883322977082E-2</v>
      </c>
      <c r="BM87" s="33">
        <f t="shared" ca="1" si="89"/>
        <v>1.2391500568903067E-2</v>
      </c>
      <c r="BN87" s="33">
        <f t="shared" ca="1" si="89"/>
        <v>1.0432190311835492E-2</v>
      </c>
      <c r="BO87" s="33">
        <f t="shared" ca="1" si="89"/>
        <v>1.2128574656532956E-2</v>
      </c>
      <c r="BP87" s="33">
        <f t="shared" ca="1" si="89"/>
        <v>1.1968865601084367E-2</v>
      </c>
      <c r="BQ87" s="33">
        <f t="shared" ca="1" si="90"/>
        <v>1.1326922782698538E-2</v>
      </c>
      <c r="BR87" s="33">
        <f t="shared" ca="1" si="90"/>
        <v>1.098460655003981E-2</v>
      </c>
      <c r="BS87" s="33">
        <f t="shared" ca="1" si="90"/>
        <v>7.8015431321152131E-3</v>
      </c>
      <c r="BT87" s="33">
        <f t="shared" ca="1" si="90"/>
        <v>9.6319853267238988E-3</v>
      </c>
      <c r="BU87" s="33">
        <f t="shared" ca="1" si="90"/>
        <v>9.1102241424469779E-3</v>
      </c>
      <c r="BV87" s="33">
        <f t="shared" ca="1" si="90"/>
        <v>1.2490222252453652E-2</v>
      </c>
      <c r="BW87" s="33">
        <f t="shared" ca="1" si="90"/>
        <v>1.377901166859399E-2</v>
      </c>
      <c r="BX87" s="33">
        <f t="shared" ca="1" si="90"/>
        <v>1.3931289200405303E-2</v>
      </c>
      <c r="BY87" s="33">
        <f t="shared" ca="1" si="90"/>
        <v>1.2559705943891874E-2</v>
      </c>
      <c r="BZ87" s="33">
        <f t="shared" ca="1" si="90"/>
        <v>1.2648776385681675E-2</v>
      </c>
      <c r="CA87" s="33">
        <f t="shared" ca="1" si="91"/>
        <v>1.1263518921861443E-2</v>
      </c>
      <c r="CB87" s="33">
        <f t="shared" ca="1" si="91"/>
        <v>1.1113712222453729E-2</v>
      </c>
      <c r="CC87" s="33">
        <f t="shared" ca="1" si="91"/>
        <v>1.2500826083757376E-2</v>
      </c>
      <c r="CD87" s="33">
        <f t="shared" ca="1" si="91"/>
        <v>8.9410476862200813E-3</v>
      </c>
      <c r="CE87" s="33">
        <f t="shared" ca="1" si="91"/>
        <v>1.1703247568332409E-2</v>
      </c>
      <c r="CF87" s="33">
        <f t="shared" ca="1" si="91"/>
        <v>1.2272178540405644E-2</v>
      </c>
      <c r="CG87" s="33">
        <f t="shared" ca="1" si="91"/>
        <v>1.1085684499151774E-2</v>
      </c>
      <c r="CH87" s="33">
        <f t="shared" ca="1" si="91"/>
        <v>1.1970489356539523E-2</v>
      </c>
      <c r="CI87" s="33">
        <f t="shared" ca="1" si="91"/>
        <v>1.1480386194623233E-2</v>
      </c>
      <c r="CJ87" s="33">
        <f t="shared" ca="1" si="91"/>
        <v>1.2082187076584575E-2</v>
      </c>
      <c r="CK87" s="33">
        <f t="shared" ca="1" si="92"/>
        <v>1.2506467333845195E-2</v>
      </c>
      <c r="CL87" s="33">
        <f t="shared" ca="1" si="92"/>
        <v>1.0739099041423337E-2</v>
      </c>
      <c r="CM87" s="33">
        <f t="shared" ca="1" si="92"/>
        <v>1.5052926174802845E-2</v>
      </c>
      <c r="CN87" s="33">
        <f t="shared" ca="1" si="92"/>
        <v>1.1995757592621113E-2</v>
      </c>
      <c r="CO87" s="33">
        <f t="shared" ca="1" si="92"/>
        <v>1.1856483939349688E-2</v>
      </c>
      <c r="CP87" s="33">
        <f t="shared" ca="1" si="92"/>
        <v>1.1226236676567374E-2</v>
      </c>
      <c r="CQ87" s="33">
        <f t="shared" ca="1" si="92"/>
        <v>9.3925899839320363E-3</v>
      </c>
      <c r="CR87" s="33">
        <f t="shared" ca="1" si="92"/>
        <v>1.0421435544109164E-2</v>
      </c>
      <c r="CS87" s="33">
        <f t="shared" ca="1" si="92"/>
        <v>7.685531810034351E-3</v>
      </c>
      <c r="CT87" s="33">
        <f t="shared" ca="1" si="92"/>
        <v>1.3051393046207312E-2</v>
      </c>
      <c r="CU87" s="33">
        <f t="shared" ca="1" si="93"/>
        <v>1.3155588524723561E-2</v>
      </c>
      <c r="CV87" s="33">
        <f t="shared" ca="1" si="93"/>
        <v>1.0751187105559192E-2</v>
      </c>
      <c r="CW87" s="33">
        <f t="shared" ca="1" si="93"/>
        <v>1.4776230175497004E-2</v>
      </c>
      <c r="CX87" s="33">
        <f t="shared" ca="1" si="93"/>
        <v>6.8721551295075475E-3</v>
      </c>
      <c r="CY87" s="33">
        <f t="shared" ca="1" si="93"/>
        <v>9.7797959955180681E-3</v>
      </c>
      <c r="CZ87" s="33">
        <f t="shared" ca="1" si="93"/>
        <v>1.0227440386563447E-2</v>
      </c>
      <c r="DA87" s="33">
        <f t="shared" ca="1" si="93"/>
        <v>1.149679483600565E-2</v>
      </c>
      <c r="DB87" s="33">
        <f t="shared" ca="1" si="93"/>
        <v>8.6071990377045784E-3</v>
      </c>
      <c r="DC87" s="33">
        <f t="shared" ca="1" si="93"/>
        <v>1.253252889210002E-2</v>
      </c>
      <c r="DD87" s="33">
        <f t="shared" ca="1" si="93"/>
        <v>1.1656100682274259E-2</v>
      </c>
      <c r="DE87" s="33">
        <f t="shared" ca="1" si="94"/>
        <v>8.6525876145835887E-3</v>
      </c>
      <c r="DF87" s="33">
        <f t="shared" ca="1" si="94"/>
        <v>9.7342612595888219E-3</v>
      </c>
      <c r="DG87" s="33">
        <f t="shared" ca="1" si="94"/>
        <v>8.9455212818869111E-3</v>
      </c>
      <c r="DH87" s="33">
        <f t="shared" ca="1" si="94"/>
        <v>9.1063025184671582E-3</v>
      </c>
      <c r="DI87" s="33">
        <f t="shared" ca="1" si="94"/>
        <v>1.0990678712963388E-2</v>
      </c>
      <c r="DJ87" s="33">
        <f t="shared" ca="1" si="94"/>
        <v>1.2219551503929749E-2</v>
      </c>
      <c r="DK87" s="33">
        <f t="shared" ca="1" si="94"/>
        <v>1.1091974726000139E-2</v>
      </c>
      <c r="DL87" s="33">
        <f t="shared" ca="1" si="94"/>
        <v>1.2458829524928362E-2</v>
      </c>
      <c r="DM87" s="33">
        <f t="shared" ca="1" si="94"/>
        <v>9.3055927875822404E-3</v>
      </c>
      <c r="DN87" s="33">
        <f t="shared" ca="1" si="94"/>
        <v>1.1307075921941131E-2</v>
      </c>
      <c r="DO87" s="12"/>
      <c r="DP87" s="12"/>
      <c r="DQ87" s="12"/>
    </row>
    <row r="88" spans="9:121" x14ac:dyDescent="0.2">
      <c r="I88" s="32">
        <v>47088</v>
      </c>
      <c r="J88" s="33">
        <f t="shared" ca="1" si="73"/>
        <v>1.1255814826909075E-2</v>
      </c>
      <c r="K88" s="9">
        <v>3554.2025500799996</v>
      </c>
      <c r="L88" s="9">
        <f t="shared" ca="1" si="74"/>
        <v>333466.70654755092</v>
      </c>
      <c r="N88" s="6">
        <v>84</v>
      </c>
      <c r="O88" s="5">
        <v>3.9899359910917718</v>
      </c>
      <c r="P88" s="9">
        <v>685975.24522766867</v>
      </c>
      <c r="R88" s="32">
        <v>47088</v>
      </c>
      <c r="S88" s="33">
        <f t="shared" ca="1" si="85"/>
        <v>1.2376073612189894E-2</v>
      </c>
      <c r="T88" s="33">
        <f t="shared" ca="1" si="85"/>
        <v>1.1829240390591786E-2</v>
      </c>
      <c r="U88" s="33">
        <f t="shared" ca="1" si="85"/>
        <v>1.2683959503259139E-2</v>
      </c>
      <c r="V88" s="33">
        <f t="shared" ca="1" si="85"/>
        <v>1.1911979755310814E-2</v>
      </c>
      <c r="W88" s="33">
        <f t="shared" ca="1" si="85"/>
        <v>1.1703006872815469E-2</v>
      </c>
      <c r="X88" s="33">
        <f t="shared" ca="1" si="85"/>
        <v>9.7094910861215983E-3</v>
      </c>
      <c r="Y88" s="33">
        <f t="shared" ca="1" si="85"/>
        <v>1.2134632743731251E-2</v>
      </c>
      <c r="Z88" s="33">
        <f t="shared" ca="1" si="85"/>
        <v>1.0854167602742699E-2</v>
      </c>
      <c r="AA88" s="33">
        <f t="shared" ca="1" si="85"/>
        <v>1.1127476712808657E-2</v>
      </c>
      <c r="AB88" s="33">
        <f t="shared" ca="1" si="85"/>
        <v>1.6840533322327746E-2</v>
      </c>
      <c r="AC88" s="33">
        <f t="shared" ca="1" si="86"/>
        <v>1.264634441641326E-2</v>
      </c>
      <c r="AD88" s="33">
        <f t="shared" ca="1" si="86"/>
        <v>1.2232493806022433E-2</v>
      </c>
      <c r="AE88" s="33">
        <f t="shared" ca="1" si="86"/>
        <v>1.1552521165776418E-2</v>
      </c>
      <c r="AF88" s="33">
        <f t="shared" ca="1" si="86"/>
        <v>1.2745136917469892E-2</v>
      </c>
      <c r="AG88" s="33">
        <f t="shared" ca="1" si="86"/>
        <v>9.7950215512309976E-3</v>
      </c>
      <c r="AH88" s="33">
        <f t="shared" ca="1" si="86"/>
        <v>1.3146897937011187E-2</v>
      </c>
      <c r="AI88" s="33">
        <f t="shared" ca="1" si="86"/>
        <v>1.1647237444722401E-2</v>
      </c>
      <c r="AJ88" s="33">
        <f t="shared" ca="1" si="86"/>
        <v>1.1590971916611046E-2</v>
      </c>
      <c r="AK88" s="33">
        <f t="shared" ca="1" si="86"/>
        <v>1.408422053090652E-2</v>
      </c>
      <c r="AL88" s="33">
        <f t="shared" ca="1" si="86"/>
        <v>9.8842412637315993E-3</v>
      </c>
      <c r="AM88" s="33">
        <f t="shared" ca="1" si="87"/>
        <v>1.4143652854580323E-2</v>
      </c>
      <c r="AN88" s="33">
        <f t="shared" ca="1" si="87"/>
        <v>1.1406453427921733E-2</v>
      </c>
      <c r="AO88" s="33">
        <f t="shared" ca="1" si="87"/>
        <v>9.778712865387883E-3</v>
      </c>
      <c r="AP88" s="33">
        <f t="shared" ca="1" si="87"/>
        <v>1.061606081570525E-2</v>
      </c>
      <c r="AQ88" s="33">
        <f t="shared" ca="1" si="87"/>
        <v>1.2119768084142467E-2</v>
      </c>
      <c r="AR88" s="33">
        <f t="shared" ca="1" si="87"/>
        <v>1.1182703874453866E-2</v>
      </c>
      <c r="AS88" s="33">
        <f t="shared" ca="1" si="87"/>
        <v>1.1183625274851838E-2</v>
      </c>
      <c r="AT88" s="33">
        <f t="shared" ca="1" si="87"/>
        <v>1.1294830164003554E-2</v>
      </c>
      <c r="AU88" s="33">
        <f t="shared" ca="1" si="87"/>
        <v>1.135741063141728E-2</v>
      </c>
      <c r="AV88" s="33">
        <f t="shared" ca="1" si="87"/>
        <v>1.1127091370420703E-2</v>
      </c>
      <c r="AW88" s="33">
        <f t="shared" ca="1" si="88"/>
        <v>1.2088499766509032E-2</v>
      </c>
      <c r="AX88" s="33">
        <f t="shared" ca="1" si="88"/>
        <v>9.43969462324179E-3</v>
      </c>
      <c r="AY88" s="33">
        <f t="shared" ca="1" si="88"/>
        <v>1.1416073795873904E-2</v>
      </c>
      <c r="AZ88" s="33">
        <f t="shared" ca="1" si="88"/>
        <v>1.0269304880493518E-2</v>
      </c>
      <c r="BA88" s="33">
        <f t="shared" ca="1" si="88"/>
        <v>9.9114813541741325E-3</v>
      </c>
      <c r="BB88" s="33">
        <f t="shared" ca="1" si="88"/>
        <v>1.3280080775763453E-2</v>
      </c>
      <c r="BC88" s="33">
        <f t="shared" ca="1" si="88"/>
        <v>1.1544043007148954E-2</v>
      </c>
      <c r="BD88" s="33">
        <f t="shared" ca="1" si="88"/>
        <v>1.439896792047681E-2</v>
      </c>
      <c r="BE88" s="33">
        <f t="shared" ca="1" si="88"/>
        <v>1.2722666164498707E-2</v>
      </c>
      <c r="BF88" s="33">
        <f t="shared" ca="1" si="88"/>
        <v>8.522709831097413E-3</v>
      </c>
      <c r="BG88" s="33">
        <f t="shared" ca="1" si="89"/>
        <v>1.1479436860472189E-2</v>
      </c>
      <c r="BH88" s="33">
        <f t="shared" ca="1" si="89"/>
        <v>1.285419472551917E-2</v>
      </c>
      <c r="BI88" s="33">
        <f t="shared" ca="1" si="89"/>
        <v>9.5386140593244767E-3</v>
      </c>
      <c r="BJ88" s="33">
        <f t="shared" ca="1" si="89"/>
        <v>8.8125160972625308E-3</v>
      </c>
      <c r="BK88" s="33">
        <f t="shared" ca="1" si="89"/>
        <v>1.1373042370803488E-2</v>
      </c>
      <c r="BL88" s="33">
        <f t="shared" ca="1" si="89"/>
        <v>1.240122784668561E-2</v>
      </c>
      <c r="BM88" s="33">
        <f t="shared" ca="1" si="89"/>
        <v>1.0260960972095579E-2</v>
      </c>
      <c r="BN88" s="33">
        <f t="shared" ca="1" si="89"/>
        <v>9.1806201630565201E-3</v>
      </c>
      <c r="BO88" s="33">
        <f t="shared" ca="1" si="89"/>
        <v>1.1601586355503778E-2</v>
      </c>
      <c r="BP88" s="33">
        <f t="shared" ca="1" si="89"/>
        <v>1.2310078446247721E-2</v>
      </c>
      <c r="BQ88" s="33">
        <f t="shared" ca="1" si="90"/>
        <v>1.0064892181481015E-2</v>
      </c>
      <c r="BR88" s="33">
        <f t="shared" ca="1" si="90"/>
        <v>1.3694112447272623E-2</v>
      </c>
      <c r="BS88" s="33">
        <f t="shared" ca="1" si="90"/>
        <v>1.1293534816898572E-2</v>
      </c>
      <c r="BT88" s="33">
        <f t="shared" ca="1" si="90"/>
        <v>1.1493063200388988E-2</v>
      </c>
      <c r="BU88" s="33">
        <f t="shared" ca="1" si="90"/>
        <v>1.0289585776594517E-2</v>
      </c>
      <c r="BV88" s="33">
        <f t="shared" ca="1" si="90"/>
        <v>9.0444424741407507E-3</v>
      </c>
      <c r="BW88" s="33">
        <f t="shared" ca="1" si="90"/>
        <v>1.256420241877311E-2</v>
      </c>
      <c r="BX88" s="33">
        <f t="shared" ca="1" si="90"/>
        <v>1.4389805961965353E-2</v>
      </c>
      <c r="BY88" s="33">
        <f t="shared" ca="1" si="90"/>
        <v>1.1218534573878235E-2</v>
      </c>
      <c r="BZ88" s="33">
        <f t="shared" ca="1" si="90"/>
        <v>1.005994949042883E-2</v>
      </c>
      <c r="CA88" s="33">
        <f t="shared" ca="1" si="91"/>
        <v>1.0027199986302582E-2</v>
      </c>
      <c r="CB88" s="33">
        <f t="shared" ca="1" si="91"/>
        <v>9.4443911105537969E-3</v>
      </c>
      <c r="CC88" s="33">
        <f t="shared" ca="1" si="91"/>
        <v>1.3249415708016207E-2</v>
      </c>
      <c r="CD88" s="33">
        <f t="shared" ca="1" si="91"/>
        <v>8.7362196992590135E-3</v>
      </c>
      <c r="CE88" s="33">
        <f t="shared" ca="1" si="91"/>
        <v>9.5197981792068086E-3</v>
      </c>
      <c r="CF88" s="33">
        <f t="shared" ca="1" si="91"/>
        <v>8.6218200203262343E-3</v>
      </c>
      <c r="CG88" s="33">
        <f t="shared" ca="1" si="91"/>
        <v>1.1722087391166076E-2</v>
      </c>
      <c r="CH88" s="33">
        <f t="shared" ca="1" si="91"/>
        <v>1.2752669613531404E-2</v>
      </c>
      <c r="CI88" s="33">
        <f t="shared" ca="1" si="91"/>
        <v>1.0842110831655791E-2</v>
      </c>
      <c r="CJ88" s="33">
        <f t="shared" ca="1" si="91"/>
        <v>1.1267231769036726E-2</v>
      </c>
      <c r="CK88" s="33">
        <f t="shared" ca="1" si="92"/>
        <v>1.3335291119068908E-2</v>
      </c>
      <c r="CL88" s="33">
        <f t="shared" ca="1" si="92"/>
        <v>1.1889220279950057E-2</v>
      </c>
      <c r="CM88" s="33">
        <f t="shared" ca="1" si="92"/>
        <v>1.2889028779583174E-2</v>
      </c>
      <c r="CN88" s="33">
        <f t="shared" ca="1" si="92"/>
        <v>8.0772907437195972E-3</v>
      </c>
      <c r="CO88" s="33">
        <f t="shared" ca="1" si="92"/>
        <v>1.0773113380014823E-2</v>
      </c>
      <c r="CP88" s="33">
        <f t="shared" ca="1" si="92"/>
        <v>1.0837294611798954E-2</v>
      </c>
      <c r="CQ88" s="33">
        <f t="shared" ca="1" si="92"/>
        <v>1.2572973545830807E-2</v>
      </c>
      <c r="CR88" s="33">
        <f t="shared" ca="1" si="92"/>
        <v>9.9987123345212162E-3</v>
      </c>
      <c r="CS88" s="33">
        <f t="shared" ca="1" si="92"/>
        <v>1.2242057932181584E-2</v>
      </c>
      <c r="CT88" s="33">
        <f t="shared" ca="1" si="92"/>
        <v>1.3069741401697242E-2</v>
      </c>
      <c r="CU88" s="33">
        <f t="shared" ca="1" si="93"/>
        <v>1.0599624554026688E-2</v>
      </c>
      <c r="CV88" s="33">
        <f t="shared" ca="1" si="93"/>
        <v>9.615832035811742E-3</v>
      </c>
      <c r="CW88" s="33">
        <f t="shared" ca="1" si="93"/>
        <v>1.1358715183620003E-2</v>
      </c>
      <c r="CX88" s="33">
        <f t="shared" ca="1" si="93"/>
        <v>1.0570809730713671E-2</v>
      </c>
      <c r="CY88" s="33">
        <f t="shared" ca="1" si="93"/>
        <v>1.3131778179051786E-2</v>
      </c>
      <c r="CZ88" s="33">
        <f t="shared" ca="1" si="93"/>
        <v>1.1410707434611726E-2</v>
      </c>
      <c r="DA88" s="33">
        <f t="shared" ca="1" si="93"/>
        <v>1.038772973879845E-2</v>
      </c>
      <c r="DB88" s="33">
        <f t="shared" ca="1" si="93"/>
        <v>1.003350187210867E-2</v>
      </c>
      <c r="DC88" s="33">
        <f t="shared" ca="1" si="93"/>
        <v>8.7601855795602906E-3</v>
      </c>
      <c r="DD88" s="33">
        <f t="shared" ca="1" si="93"/>
        <v>1.1878615206648046E-2</v>
      </c>
      <c r="DE88" s="33">
        <f t="shared" ca="1" si="94"/>
        <v>1.2869955521421218E-2</v>
      </c>
      <c r="DF88" s="33">
        <f t="shared" ca="1" si="94"/>
        <v>8.4625105860746657E-3</v>
      </c>
      <c r="DG88" s="33">
        <f t="shared" ca="1" si="94"/>
        <v>1.3019038984140655E-2</v>
      </c>
      <c r="DH88" s="33">
        <f t="shared" ca="1" si="94"/>
        <v>1.1254412645441641E-2</v>
      </c>
      <c r="DI88" s="33">
        <f t="shared" ca="1" si="94"/>
        <v>1.1946082484643092E-2</v>
      </c>
      <c r="DJ88" s="33">
        <f t="shared" ca="1" si="94"/>
        <v>1.2496714487942628E-2</v>
      </c>
      <c r="DK88" s="33">
        <f t="shared" ca="1" si="94"/>
        <v>1.1894039043082638E-2</v>
      </c>
      <c r="DL88" s="33">
        <f t="shared" ca="1" si="94"/>
        <v>1.1401055559267447E-2</v>
      </c>
      <c r="DM88" s="33">
        <f t="shared" ca="1" si="94"/>
        <v>1.2011054103632573E-2</v>
      </c>
      <c r="DN88" s="33">
        <f t="shared" ca="1" si="94"/>
        <v>1.229760553052542E-2</v>
      </c>
      <c r="DO88" s="12"/>
      <c r="DP88" s="12"/>
      <c r="DQ88" s="12"/>
    </row>
    <row r="89" spans="9:121" x14ac:dyDescent="0.2">
      <c r="I89" s="32">
        <v>47119</v>
      </c>
      <c r="J89" s="33">
        <f t="shared" ca="1" si="73"/>
        <v>1.07569703945809E-2</v>
      </c>
      <c r="K89" s="9">
        <v>3554.2025500799996</v>
      </c>
      <c r="L89" s="9">
        <f t="shared" ca="1" si="74"/>
        <v>340627.36307096132</v>
      </c>
      <c r="N89" s="6">
        <v>85</v>
      </c>
      <c r="O89" s="5">
        <v>3.913901313765777</v>
      </c>
      <c r="P89" s="9">
        <v>684781.47766017856</v>
      </c>
      <c r="R89" s="32">
        <v>47119</v>
      </c>
      <c r="S89" s="33">
        <f t="shared" ca="1" si="85"/>
        <v>9.7592543627867644E-3</v>
      </c>
      <c r="T89" s="33">
        <f t="shared" ca="1" si="85"/>
        <v>1.009735361187356E-2</v>
      </c>
      <c r="U89" s="33">
        <f t="shared" ca="1" si="85"/>
        <v>1.0019383101812605E-2</v>
      </c>
      <c r="V89" s="33">
        <f t="shared" ca="1" si="85"/>
        <v>1.1403287228682854E-2</v>
      </c>
      <c r="W89" s="33">
        <f t="shared" ca="1" si="85"/>
        <v>1.2073313129910414E-2</v>
      </c>
      <c r="X89" s="33">
        <f t="shared" ca="1" si="85"/>
        <v>1.0718807414649463E-2</v>
      </c>
      <c r="Y89" s="33">
        <f t="shared" ca="1" si="85"/>
        <v>1.1579677320888234E-2</v>
      </c>
      <c r="Z89" s="33">
        <f t="shared" ca="1" si="85"/>
        <v>1.4926773815660564E-2</v>
      </c>
      <c r="AA89" s="33">
        <f t="shared" ca="1" si="85"/>
        <v>1.2543984359185637E-2</v>
      </c>
      <c r="AB89" s="33">
        <f t="shared" ca="1" si="85"/>
        <v>1.1351775917690378E-2</v>
      </c>
      <c r="AC89" s="33">
        <f t="shared" ca="1" si="86"/>
        <v>1.3035663123009597E-2</v>
      </c>
      <c r="AD89" s="33">
        <f t="shared" ca="1" si="86"/>
        <v>1.2125096600028022E-2</v>
      </c>
      <c r="AE89" s="33">
        <f t="shared" ca="1" si="86"/>
        <v>1.162196429768866E-2</v>
      </c>
      <c r="AF89" s="33">
        <f t="shared" ca="1" si="86"/>
        <v>1.2481605014264808E-2</v>
      </c>
      <c r="AG89" s="33">
        <f t="shared" ca="1" si="86"/>
        <v>1.0113333154152531E-2</v>
      </c>
      <c r="AH89" s="33">
        <f t="shared" ca="1" si="86"/>
        <v>1.0393205209761293E-2</v>
      </c>
      <c r="AI89" s="33">
        <f t="shared" ca="1" si="86"/>
        <v>1.1583762418638373E-2</v>
      </c>
      <c r="AJ89" s="33">
        <f t="shared" ca="1" si="86"/>
        <v>1.1194830124766124E-2</v>
      </c>
      <c r="AK89" s="33">
        <f t="shared" ca="1" si="86"/>
        <v>9.5649654154208001E-3</v>
      </c>
      <c r="AL89" s="33">
        <f t="shared" ca="1" si="86"/>
        <v>1.0201897579855079E-2</v>
      </c>
      <c r="AM89" s="33">
        <f t="shared" ca="1" si="87"/>
        <v>1.2362281652744488E-2</v>
      </c>
      <c r="AN89" s="33">
        <f t="shared" ca="1" si="87"/>
        <v>1.3196333267115322E-2</v>
      </c>
      <c r="AO89" s="33">
        <f t="shared" ca="1" si="87"/>
        <v>9.7507269320020757E-3</v>
      </c>
      <c r="AP89" s="33">
        <f t="shared" ca="1" si="87"/>
        <v>1.2337264433325498E-2</v>
      </c>
      <c r="AQ89" s="33">
        <f t="shared" ca="1" si="87"/>
        <v>1.0595127804159464E-2</v>
      </c>
      <c r="AR89" s="33">
        <f t="shared" ca="1" si="87"/>
        <v>1.2060743379247233E-2</v>
      </c>
      <c r="AS89" s="33">
        <f t="shared" ca="1" si="87"/>
        <v>1.2453283807060723E-2</v>
      </c>
      <c r="AT89" s="33">
        <f t="shared" ca="1" si="87"/>
        <v>1.1078261782410125E-2</v>
      </c>
      <c r="AU89" s="33">
        <f t="shared" ca="1" si="87"/>
        <v>1.1523166865127728E-2</v>
      </c>
      <c r="AV89" s="33">
        <f t="shared" ca="1" si="87"/>
        <v>1.1317202693280378E-2</v>
      </c>
      <c r="AW89" s="33">
        <f t="shared" ca="1" si="88"/>
        <v>1.3667094355549129E-2</v>
      </c>
      <c r="AX89" s="33">
        <f t="shared" ca="1" si="88"/>
        <v>1.258953766618782E-2</v>
      </c>
      <c r="AY89" s="33">
        <f t="shared" ca="1" si="88"/>
        <v>1.2932114376265938E-2</v>
      </c>
      <c r="AZ89" s="33">
        <f t="shared" ca="1" si="88"/>
        <v>1.3910642787844941E-2</v>
      </c>
      <c r="BA89" s="33">
        <f t="shared" ca="1" si="88"/>
        <v>1.1267813178474428E-2</v>
      </c>
      <c r="BB89" s="33">
        <f t="shared" ca="1" si="88"/>
        <v>7.6036971482373221E-3</v>
      </c>
      <c r="BC89" s="33">
        <f t="shared" ca="1" si="88"/>
        <v>1.112441046579662E-2</v>
      </c>
      <c r="BD89" s="33">
        <f t="shared" ca="1" si="88"/>
        <v>1.2213452915227147E-2</v>
      </c>
      <c r="BE89" s="33">
        <f t="shared" ca="1" si="88"/>
        <v>8.7872939842567714E-3</v>
      </c>
      <c r="BF89" s="33">
        <f t="shared" ca="1" si="88"/>
        <v>1.1636982717901524E-2</v>
      </c>
      <c r="BG89" s="33">
        <f t="shared" ca="1" si="89"/>
        <v>1.0585230531033565E-2</v>
      </c>
      <c r="BH89" s="33">
        <f t="shared" ca="1" si="89"/>
        <v>8.1378261651107384E-3</v>
      </c>
      <c r="BI89" s="33">
        <f t="shared" ca="1" si="89"/>
        <v>1.0376578168378732E-2</v>
      </c>
      <c r="BJ89" s="33">
        <f t="shared" ca="1" si="89"/>
        <v>1.1622063651367958E-2</v>
      </c>
      <c r="BK89" s="33">
        <f t="shared" ca="1" si="89"/>
        <v>1.0332188404770256E-2</v>
      </c>
      <c r="BL89" s="33">
        <f t="shared" ca="1" si="89"/>
        <v>1.3107826486209749E-2</v>
      </c>
      <c r="BM89" s="33">
        <f t="shared" ca="1" si="89"/>
        <v>1.3149574597575844E-2</v>
      </c>
      <c r="BN89" s="33">
        <f t="shared" ca="1" si="89"/>
        <v>1.2379414151406561E-2</v>
      </c>
      <c r="BO89" s="33">
        <f t="shared" ca="1" si="89"/>
        <v>1.2369940901508784E-2</v>
      </c>
      <c r="BP89" s="33">
        <f t="shared" ca="1" si="89"/>
        <v>1.2006645822549455E-2</v>
      </c>
      <c r="BQ89" s="33">
        <f t="shared" ca="1" si="90"/>
        <v>1.3075008403417219E-2</v>
      </c>
      <c r="BR89" s="33">
        <f t="shared" ca="1" si="90"/>
        <v>1.3211866134336846E-2</v>
      </c>
      <c r="BS89" s="33">
        <f t="shared" ca="1" si="90"/>
        <v>1.1456195317681711E-2</v>
      </c>
      <c r="BT89" s="33">
        <f t="shared" ca="1" si="90"/>
        <v>1.0825952031206244E-2</v>
      </c>
      <c r="BU89" s="33">
        <f t="shared" ca="1" si="90"/>
        <v>1.1433529151686828E-2</v>
      </c>
      <c r="BV89" s="33">
        <f t="shared" ca="1" si="90"/>
        <v>9.9593695212424043E-3</v>
      </c>
      <c r="BW89" s="33">
        <f t="shared" ca="1" si="90"/>
        <v>1.2398334710940904E-2</v>
      </c>
      <c r="BX89" s="33">
        <f t="shared" ca="1" si="90"/>
        <v>7.8473980718865334E-3</v>
      </c>
      <c r="BY89" s="33">
        <f t="shared" ca="1" si="90"/>
        <v>1.3904006540743384E-2</v>
      </c>
      <c r="BZ89" s="33">
        <f t="shared" ca="1" si="90"/>
        <v>1.0343418522167639E-2</v>
      </c>
      <c r="CA89" s="33">
        <f t="shared" ca="1" si="91"/>
        <v>9.6085415479105901E-3</v>
      </c>
      <c r="CB89" s="33">
        <f t="shared" ca="1" si="91"/>
        <v>1.1338497408870558E-2</v>
      </c>
      <c r="CC89" s="33">
        <f t="shared" ca="1" si="91"/>
        <v>1.1396262758255737E-2</v>
      </c>
      <c r="CD89" s="33">
        <f t="shared" ca="1" si="91"/>
        <v>1.128506287308737E-2</v>
      </c>
      <c r="CE89" s="33">
        <f t="shared" ca="1" si="91"/>
        <v>1.2221556093694914E-2</v>
      </c>
      <c r="CF89" s="33">
        <f t="shared" ca="1" si="91"/>
        <v>1.1399430023919393E-2</v>
      </c>
      <c r="CG89" s="33">
        <f t="shared" ca="1" si="91"/>
        <v>1.3064226062921827E-2</v>
      </c>
      <c r="CH89" s="33">
        <f t="shared" ca="1" si="91"/>
        <v>1.2250747247703949E-2</v>
      </c>
      <c r="CI89" s="33">
        <f t="shared" ca="1" si="91"/>
        <v>1.0377290397396615E-2</v>
      </c>
      <c r="CJ89" s="33">
        <f t="shared" ca="1" si="91"/>
        <v>1.0863551388038992E-2</v>
      </c>
      <c r="CK89" s="33">
        <f t="shared" ca="1" si="92"/>
        <v>1.2841390723769252E-2</v>
      </c>
      <c r="CL89" s="33">
        <f t="shared" ca="1" si="92"/>
        <v>9.2658402079930664E-3</v>
      </c>
      <c r="CM89" s="33">
        <f t="shared" ca="1" si="92"/>
        <v>1.0417601498286681E-2</v>
      </c>
      <c r="CN89" s="33">
        <f t="shared" ca="1" si="92"/>
        <v>1.3034217277917187E-2</v>
      </c>
      <c r="CO89" s="33">
        <f t="shared" ca="1" si="92"/>
        <v>1.1108965887377536E-2</v>
      </c>
      <c r="CP89" s="33">
        <f t="shared" ca="1" si="92"/>
        <v>1.2870683259935222E-2</v>
      </c>
      <c r="CQ89" s="33">
        <f t="shared" ca="1" si="92"/>
        <v>9.1129008367314031E-3</v>
      </c>
      <c r="CR89" s="33">
        <f t="shared" ca="1" si="92"/>
        <v>1.0352509830045839E-2</v>
      </c>
      <c r="CS89" s="33">
        <f t="shared" ca="1" si="92"/>
        <v>8.215411436007982E-3</v>
      </c>
      <c r="CT89" s="33">
        <f t="shared" ca="1" si="92"/>
        <v>1.2035524780796973E-2</v>
      </c>
      <c r="CU89" s="33">
        <f t="shared" ca="1" si="93"/>
        <v>1.3122476910474797E-2</v>
      </c>
      <c r="CV89" s="33">
        <f t="shared" ca="1" si="93"/>
        <v>1.3017471301965114E-2</v>
      </c>
      <c r="CW89" s="33">
        <f t="shared" ca="1" si="93"/>
        <v>1.069451283447171E-2</v>
      </c>
      <c r="CX89" s="33">
        <f t="shared" ca="1" si="93"/>
        <v>1.0137748330106416E-2</v>
      </c>
      <c r="CY89" s="33">
        <f t="shared" ca="1" si="93"/>
        <v>1.2401054920699811E-2</v>
      </c>
      <c r="CZ89" s="33">
        <f t="shared" ca="1" si="93"/>
        <v>1.296742848098816E-2</v>
      </c>
      <c r="DA89" s="33">
        <f t="shared" ca="1" si="93"/>
        <v>1.1567593879837782E-2</v>
      </c>
      <c r="DB89" s="33">
        <f t="shared" ca="1" si="93"/>
        <v>1.2288547670556E-2</v>
      </c>
      <c r="DC89" s="33">
        <f t="shared" ca="1" si="93"/>
        <v>9.8659308754280115E-3</v>
      </c>
      <c r="DD89" s="33">
        <f t="shared" ca="1" si="93"/>
        <v>1.3267614402108191E-2</v>
      </c>
      <c r="DE89" s="33">
        <f t="shared" ca="1" si="94"/>
        <v>1.1548463014579433E-2</v>
      </c>
      <c r="DF89" s="33">
        <f t="shared" ca="1" si="94"/>
        <v>7.8085973292403854E-3</v>
      </c>
      <c r="DG89" s="33">
        <f t="shared" ca="1" si="94"/>
        <v>1.0301518800159811E-2</v>
      </c>
      <c r="DH89" s="33">
        <f t="shared" ca="1" si="94"/>
        <v>1.0922436071725401E-2</v>
      </c>
      <c r="DI89" s="33">
        <f t="shared" ca="1" si="94"/>
        <v>1.0773706215550769E-2</v>
      </c>
      <c r="DJ89" s="33">
        <f t="shared" ca="1" si="94"/>
        <v>1.1394316648038985E-2</v>
      </c>
      <c r="DK89" s="33">
        <f t="shared" ca="1" si="94"/>
        <v>1.1566502391304346E-2</v>
      </c>
      <c r="DL89" s="33">
        <f t="shared" ca="1" si="94"/>
        <v>1.2886814981564559E-2</v>
      </c>
      <c r="DM89" s="33">
        <f t="shared" ca="1" si="94"/>
        <v>8.7430541745597227E-3</v>
      </c>
      <c r="DN89" s="33">
        <f t="shared" ca="1" si="94"/>
        <v>1.176966590479582E-2</v>
      </c>
      <c r="DO89" s="12"/>
      <c r="DP89" s="12"/>
      <c r="DQ89" s="12"/>
    </row>
    <row r="90" spans="9:121" x14ac:dyDescent="0.2">
      <c r="I90" s="32">
        <v>47150</v>
      </c>
      <c r="J90" s="33">
        <f t="shared" ca="1" si="73"/>
        <v>1.1897031293630941E-2</v>
      </c>
      <c r="K90" s="9">
        <v>3696.3706520831997</v>
      </c>
      <c r="L90" s="9">
        <f t="shared" ca="1" si="74"/>
        <v>348400.39009133133</v>
      </c>
      <c r="N90" s="6">
        <v>86</v>
      </c>
      <c r="O90" s="5">
        <v>3.9478547487705837</v>
      </c>
      <c r="P90" s="9">
        <v>684003.12499377108</v>
      </c>
      <c r="R90" s="32">
        <v>47150</v>
      </c>
      <c r="S90" s="33">
        <f t="shared" ca="1" si="85"/>
        <v>9.3683431389834388E-3</v>
      </c>
      <c r="T90" s="33">
        <f t="shared" ca="1" si="85"/>
        <v>9.72397771652583E-3</v>
      </c>
      <c r="U90" s="33">
        <f t="shared" ca="1" si="85"/>
        <v>1.3647937101535461E-2</v>
      </c>
      <c r="V90" s="33">
        <f t="shared" ca="1" si="85"/>
        <v>1.0686992454011853E-2</v>
      </c>
      <c r="W90" s="33">
        <f t="shared" ca="1" si="85"/>
        <v>1.3190695057493852E-2</v>
      </c>
      <c r="X90" s="33">
        <f t="shared" ca="1" si="85"/>
        <v>1.2151287841532687E-2</v>
      </c>
      <c r="Y90" s="33">
        <f t="shared" ca="1" si="85"/>
        <v>1.1596709592173043E-2</v>
      </c>
      <c r="Z90" s="33">
        <f t="shared" ca="1" si="85"/>
        <v>1.0883199658224235E-2</v>
      </c>
      <c r="AA90" s="33">
        <f t="shared" ca="1" si="85"/>
        <v>1.1342468448967911E-2</v>
      </c>
      <c r="AB90" s="33">
        <f t="shared" ca="1" si="85"/>
        <v>1.1986395912961224E-2</v>
      </c>
      <c r="AC90" s="33">
        <f t="shared" ca="1" si="86"/>
        <v>1.2485183946098205E-2</v>
      </c>
      <c r="AD90" s="33">
        <f t="shared" ca="1" si="86"/>
        <v>1.1170880416279094E-2</v>
      </c>
      <c r="AE90" s="33">
        <f t="shared" ca="1" si="86"/>
        <v>1.0952937428555083E-2</v>
      </c>
      <c r="AF90" s="33">
        <f t="shared" ca="1" si="86"/>
        <v>1.068734057757134E-2</v>
      </c>
      <c r="AG90" s="33">
        <f t="shared" ca="1" si="86"/>
        <v>1.0535555525196173E-2</v>
      </c>
      <c r="AH90" s="33">
        <f t="shared" ca="1" si="86"/>
        <v>1.4031772811616411E-2</v>
      </c>
      <c r="AI90" s="33">
        <f t="shared" ca="1" si="86"/>
        <v>9.1936204633878311E-3</v>
      </c>
      <c r="AJ90" s="33">
        <f t="shared" ca="1" si="86"/>
        <v>1.1062312720753973E-2</v>
      </c>
      <c r="AK90" s="33">
        <f t="shared" ca="1" si="86"/>
        <v>9.8485616370820473E-3</v>
      </c>
      <c r="AL90" s="33">
        <f t="shared" ca="1" si="86"/>
        <v>1.3303998579378801E-2</v>
      </c>
      <c r="AM90" s="33">
        <f t="shared" ca="1" si="87"/>
        <v>1.2424654887001728E-2</v>
      </c>
      <c r="AN90" s="33">
        <f t="shared" ca="1" si="87"/>
        <v>1.1618794285136317E-2</v>
      </c>
      <c r="AO90" s="33">
        <f t="shared" ca="1" si="87"/>
        <v>9.9970126638901109E-3</v>
      </c>
      <c r="AP90" s="33">
        <f t="shared" ca="1" si="87"/>
        <v>9.801483209232421E-3</v>
      </c>
      <c r="AQ90" s="33">
        <f t="shared" ca="1" si="87"/>
        <v>1.1096807201634822E-2</v>
      </c>
      <c r="AR90" s="33">
        <f t="shared" ca="1" si="87"/>
        <v>1.4263280099816193E-2</v>
      </c>
      <c r="AS90" s="33">
        <f t="shared" ca="1" si="87"/>
        <v>1.1745993041040832E-2</v>
      </c>
      <c r="AT90" s="33">
        <f t="shared" ca="1" si="87"/>
        <v>9.6607854323179417E-3</v>
      </c>
      <c r="AU90" s="33">
        <f t="shared" ca="1" si="87"/>
        <v>1.3462325996875558E-2</v>
      </c>
      <c r="AV90" s="33">
        <f t="shared" ca="1" si="87"/>
        <v>9.6391568294474737E-3</v>
      </c>
      <c r="AW90" s="33">
        <f t="shared" ca="1" si="88"/>
        <v>1.2557099544063656E-2</v>
      </c>
      <c r="AX90" s="33">
        <f t="shared" ca="1" si="88"/>
        <v>1.1420103799468914E-2</v>
      </c>
      <c r="AY90" s="33">
        <f t="shared" ca="1" si="88"/>
        <v>1.2353698752550879E-2</v>
      </c>
      <c r="AZ90" s="33">
        <f t="shared" ca="1" si="88"/>
        <v>1.0845711922703966E-2</v>
      </c>
      <c r="BA90" s="33">
        <f t="shared" ca="1" si="88"/>
        <v>1.1095760926963844E-2</v>
      </c>
      <c r="BB90" s="33">
        <f t="shared" ca="1" si="88"/>
        <v>1.1171339470358458E-2</v>
      </c>
      <c r="BC90" s="33">
        <f t="shared" ca="1" si="88"/>
        <v>9.6349710269625927E-3</v>
      </c>
      <c r="BD90" s="33">
        <f t="shared" ca="1" si="88"/>
        <v>9.8034803982728312E-3</v>
      </c>
      <c r="BE90" s="33">
        <f t="shared" ca="1" si="88"/>
        <v>1.2114131799585693E-2</v>
      </c>
      <c r="BF90" s="33">
        <f t="shared" ca="1" si="88"/>
        <v>9.8628520226229973E-3</v>
      </c>
      <c r="BG90" s="33">
        <f t="shared" ca="1" si="89"/>
        <v>1.2899621397918157E-2</v>
      </c>
      <c r="BH90" s="33">
        <f t="shared" ca="1" si="89"/>
        <v>1.3601532321813938E-2</v>
      </c>
      <c r="BI90" s="33">
        <f t="shared" ca="1" si="89"/>
        <v>1.1345537596155362E-2</v>
      </c>
      <c r="BJ90" s="33">
        <f t="shared" ca="1" si="89"/>
        <v>9.7037492345859837E-3</v>
      </c>
      <c r="BK90" s="33">
        <f t="shared" ca="1" si="89"/>
        <v>1.307306823094722E-2</v>
      </c>
      <c r="BL90" s="33">
        <f t="shared" ca="1" si="89"/>
        <v>1.2197830358069628E-2</v>
      </c>
      <c r="BM90" s="33">
        <f t="shared" ca="1" si="89"/>
        <v>1.2095378678545807E-2</v>
      </c>
      <c r="BN90" s="33">
        <f t="shared" ca="1" si="89"/>
        <v>1.0981741960794964E-2</v>
      </c>
      <c r="BO90" s="33">
        <f t="shared" ca="1" si="89"/>
        <v>1.2392321499121438E-2</v>
      </c>
      <c r="BP90" s="33">
        <f t="shared" ca="1" si="89"/>
        <v>9.4810861108623051E-3</v>
      </c>
      <c r="BQ90" s="33">
        <f t="shared" ca="1" si="90"/>
        <v>9.317725206933726E-3</v>
      </c>
      <c r="BR90" s="33">
        <f t="shared" ca="1" si="90"/>
        <v>1.0719313390834144E-2</v>
      </c>
      <c r="BS90" s="33">
        <f t="shared" ca="1" si="90"/>
        <v>1.308889901915289E-2</v>
      </c>
      <c r="BT90" s="33">
        <f t="shared" ca="1" si="90"/>
        <v>1.25637851084184E-2</v>
      </c>
      <c r="BU90" s="33">
        <f t="shared" ca="1" si="90"/>
        <v>1.0174549677525294E-2</v>
      </c>
      <c r="BV90" s="33">
        <f t="shared" ca="1" si="90"/>
        <v>9.460603985167083E-3</v>
      </c>
      <c r="BW90" s="33">
        <f t="shared" ca="1" si="90"/>
        <v>1.106985255951716E-2</v>
      </c>
      <c r="BX90" s="33">
        <f t="shared" ca="1" si="90"/>
        <v>1.1680768701693139E-2</v>
      </c>
      <c r="BY90" s="33">
        <f t="shared" ca="1" si="90"/>
        <v>1.1602449063668091E-2</v>
      </c>
      <c r="BZ90" s="33">
        <f t="shared" ca="1" si="90"/>
        <v>1.0987246257976254E-2</v>
      </c>
      <c r="CA90" s="33">
        <f t="shared" ca="1" si="91"/>
        <v>1.1466611741529621E-2</v>
      </c>
      <c r="CB90" s="33">
        <f t="shared" ca="1" si="91"/>
        <v>1.0081621019953349E-2</v>
      </c>
      <c r="CC90" s="33">
        <f t="shared" ca="1" si="91"/>
        <v>1.2007453897713216E-2</v>
      </c>
      <c r="CD90" s="33">
        <f t="shared" ca="1" si="91"/>
        <v>1.162194056538738E-2</v>
      </c>
      <c r="CE90" s="33">
        <f t="shared" ca="1" si="91"/>
        <v>8.8933981569513567E-3</v>
      </c>
      <c r="CF90" s="33">
        <f t="shared" ca="1" si="91"/>
        <v>1.2219883465650287E-2</v>
      </c>
      <c r="CG90" s="33">
        <f t="shared" ca="1" si="91"/>
        <v>1.067507799475185E-2</v>
      </c>
      <c r="CH90" s="33">
        <f t="shared" ca="1" si="91"/>
        <v>1.0761828561748061E-2</v>
      </c>
      <c r="CI90" s="33">
        <f t="shared" ca="1" si="91"/>
        <v>1.2197772687102423E-2</v>
      </c>
      <c r="CJ90" s="33">
        <f t="shared" ca="1" si="91"/>
        <v>8.9339886726545348E-3</v>
      </c>
      <c r="CK90" s="33">
        <f t="shared" ca="1" si="92"/>
        <v>1.1766753915594622E-2</v>
      </c>
      <c r="CL90" s="33">
        <f t="shared" ca="1" si="92"/>
        <v>7.6306457614393301E-3</v>
      </c>
      <c r="CM90" s="33">
        <f t="shared" ca="1" si="92"/>
        <v>1.2498890190707854E-2</v>
      </c>
      <c r="CN90" s="33">
        <f t="shared" ca="1" si="92"/>
        <v>9.3631607520823605E-3</v>
      </c>
      <c r="CO90" s="33">
        <f t="shared" ca="1" si="92"/>
        <v>1.1153088321411254E-2</v>
      </c>
      <c r="CP90" s="33">
        <f t="shared" ca="1" si="92"/>
        <v>1.4312888079163831E-2</v>
      </c>
      <c r="CQ90" s="33">
        <f t="shared" ca="1" si="92"/>
        <v>1.1749334023690711E-2</v>
      </c>
      <c r="CR90" s="33">
        <f t="shared" ca="1" si="92"/>
        <v>9.692679575272891E-3</v>
      </c>
      <c r="CS90" s="33">
        <f t="shared" ca="1" si="92"/>
        <v>1.3902953551560494E-2</v>
      </c>
      <c r="CT90" s="33">
        <f t="shared" ca="1" si="92"/>
        <v>1.2811087325548172E-2</v>
      </c>
      <c r="CU90" s="33">
        <f t="shared" ca="1" si="93"/>
        <v>1.094824472247647E-2</v>
      </c>
      <c r="CV90" s="33">
        <f t="shared" ca="1" si="93"/>
        <v>1.2164141764636467E-2</v>
      </c>
      <c r="CW90" s="33">
        <f t="shared" ca="1" si="93"/>
        <v>8.8999955344244829E-3</v>
      </c>
      <c r="CX90" s="33">
        <f t="shared" ca="1" si="93"/>
        <v>1.1626072055560394E-2</v>
      </c>
      <c r="CY90" s="33">
        <f t="shared" ca="1" si="93"/>
        <v>1.3367380193782974E-2</v>
      </c>
      <c r="CZ90" s="33">
        <f t="shared" ca="1" si="93"/>
        <v>9.3574621796262969E-3</v>
      </c>
      <c r="DA90" s="33">
        <f t="shared" ca="1" si="93"/>
        <v>1.1424077339228251E-2</v>
      </c>
      <c r="DB90" s="33">
        <f t="shared" ca="1" si="93"/>
        <v>1.2507971756550766E-2</v>
      </c>
      <c r="DC90" s="33">
        <f t="shared" ca="1" si="93"/>
        <v>1.2076200604825194E-2</v>
      </c>
      <c r="DD90" s="33">
        <f t="shared" ca="1" si="93"/>
        <v>1.500384227524898E-2</v>
      </c>
      <c r="DE90" s="33">
        <f t="shared" ca="1" si="94"/>
        <v>1.1922253488510573E-2</v>
      </c>
      <c r="DF90" s="33">
        <f t="shared" ca="1" si="94"/>
        <v>9.9714986991803842E-3</v>
      </c>
      <c r="DG90" s="33">
        <f t="shared" ca="1" si="94"/>
        <v>9.7925182691417124E-3</v>
      </c>
      <c r="DH90" s="33">
        <f t="shared" ca="1" si="94"/>
        <v>1.3075090803947614E-2</v>
      </c>
      <c r="DI90" s="33">
        <f t="shared" ca="1" si="94"/>
        <v>7.1529059575724694E-3</v>
      </c>
      <c r="DJ90" s="33">
        <f t="shared" ca="1" si="94"/>
        <v>1.089061537935733E-2</v>
      </c>
      <c r="DK90" s="33">
        <f t="shared" ca="1" si="94"/>
        <v>1.1868876094398817E-2</v>
      </c>
      <c r="DL90" s="33">
        <f t="shared" ca="1" si="94"/>
        <v>1.0021721791976435E-2</v>
      </c>
      <c r="DM90" s="33">
        <f t="shared" ca="1" si="94"/>
        <v>1.2441570503975211E-2</v>
      </c>
      <c r="DN90" s="33">
        <f t="shared" ca="1" si="94"/>
        <v>1.0497171148161809E-2</v>
      </c>
      <c r="DO90" s="12"/>
      <c r="DP90" s="12"/>
      <c r="DQ90" s="12"/>
    </row>
    <row r="91" spans="9:121" x14ac:dyDescent="0.2">
      <c r="I91" s="32">
        <v>47178</v>
      </c>
      <c r="J91" s="33">
        <f t="shared" ca="1" si="73"/>
        <v>1.179886282892448E-2</v>
      </c>
      <c r="K91" s="9">
        <v>3696.3706520831997</v>
      </c>
      <c r="L91" s="9">
        <f t="shared" ca="1" si="74"/>
        <v>356231.83577589842</v>
      </c>
      <c r="N91" s="6">
        <v>87</v>
      </c>
      <c r="O91" s="5">
        <v>3.9051322087279186</v>
      </c>
      <c r="P91" s="9">
        <v>684597.38405159931</v>
      </c>
      <c r="R91" s="32">
        <v>47178</v>
      </c>
      <c r="S91" s="33">
        <f t="shared" ca="1" si="85"/>
        <v>1.2953897260297966E-2</v>
      </c>
      <c r="T91" s="33">
        <f t="shared" ca="1" si="85"/>
        <v>1.1470901162875389E-2</v>
      </c>
      <c r="U91" s="33">
        <f t="shared" ca="1" si="85"/>
        <v>1.0269177633340117E-2</v>
      </c>
      <c r="V91" s="33">
        <f t="shared" ca="1" si="85"/>
        <v>1.0836919324583437E-2</v>
      </c>
      <c r="W91" s="33">
        <f t="shared" ca="1" si="85"/>
        <v>1.0956339097807324E-2</v>
      </c>
      <c r="X91" s="33">
        <f t="shared" ca="1" si="85"/>
        <v>1.2305952103705975E-2</v>
      </c>
      <c r="Y91" s="33">
        <f t="shared" ca="1" si="85"/>
        <v>1.0919256226346723E-2</v>
      </c>
      <c r="Z91" s="33">
        <f t="shared" ca="1" si="85"/>
        <v>9.2797957681143729E-3</v>
      </c>
      <c r="AA91" s="33">
        <f t="shared" ca="1" si="85"/>
        <v>9.3635213344978215E-3</v>
      </c>
      <c r="AB91" s="33">
        <f t="shared" ca="1" si="85"/>
        <v>1.1137408986685337E-2</v>
      </c>
      <c r="AC91" s="33">
        <f t="shared" ca="1" si="86"/>
        <v>1.1142225526402394E-2</v>
      </c>
      <c r="AD91" s="33">
        <f t="shared" ca="1" si="86"/>
        <v>1.2623688161332582E-2</v>
      </c>
      <c r="AE91" s="33">
        <f t="shared" ca="1" si="86"/>
        <v>1.1115562909060198E-2</v>
      </c>
      <c r="AF91" s="33">
        <f t="shared" ca="1" si="86"/>
        <v>1.1417183440008709E-2</v>
      </c>
      <c r="AG91" s="33">
        <f t="shared" ca="1" si="86"/>
        <v>1.1789118068786852E-2</v>
      </c>
      <c r="AH91" s="33">
        <f t="shared" ca="1" si="86"/>
        <v>1.2606441411686349E-2</v>
      </c>
      <c r="AI91" s="33">
        <f t="shared" ca="1" si="86"/>
        <v>1.1479122517530185E-2</v>
      </c>
      <c r="AJ91" s="33">
        <f t="shared" ca="1" si="86"/>
        <v>1.0741219494640535E-2</v>
      </c>
      <c r="AK91" s="33">
        <f t="shared" ca="1" si="86"/>
        <v>9.3517508899001525E-3</v>
      </c>
      <c r="AL91" s="33">
        <f t="shared" ca="1" si="86"/>
        <v>1.1639042768052372E-2</v>
      </c>
      <c r="AM91" s="33">
        <f t="shared" ca="1" si="87"/>
        <v>1.2133298776475027E-2</v>
      </c>
      <c r="AN91" s="33">
        <f t="shared" ca="1" si="87"/>
        <v>1.1232296354669056E-2</v>
      </c>
      <c r="AO91" s="33">
        <f t="shared" ca="1" si="87"/>
        <v>1.1434647273841959E-2</v>
      </c>
      <c r="AP91" s="33">
        <f t="shared" ca="1" si="87"/>
        <v>1.0391351677980373E-2</v>
      </c>
      <c r="AQ91" s="33">
        <f t="shared" ca="1" si="87"/>
        <v>1.1465940290452472E-2</v>
      </c>
      <c r="AR91" s="33">
        <f t="shared" ca="1" si="87"/>
        <v>1.2739820737684914E-2</v>
      </c>
      <c r="AS91" s="33">
        <f t="shared" ca="1" si="87"/>
        <v>1.1123645470951883E-2</v>
      </c>
      <c r="AT91" s="33">
        <f t="shared" ca="1" si="87"/>
        <v>1.0877078768081088E-2</v>
      </c>
      <c r="AU91" s="33">
        <f t="shared" ca="1" si="87"/>
        <v>1.2395255444737064E-2</v>
      </c>
      <c r="AV91" s="33">
        <f t="shared" ca="1" si="87"/>
        <v>1.255403724531956E-2</v>
      </c>
      <c r="AW91" s="33">
        <f t="shared" ca="1" si="88"/>
        <v>1.085105049878045E-2</v>
      </c>
      <c r="AX91" s="33">
        <f t="shared" ca="1" si="88"/>
        <v>1.1235357852248704E-2</v>
      </c>
      <c r="AY91" s="33">
        <f t="shared" ca="1" si="88"/>
        <v>1.2847196365931523E-2</v>
      </c>
      <c r="AZ91" s="33">
        <f t="shared" ca="1" si="88"/>
        <v>1.3178323444159902E-2</v>
      </c>
      <c r="BA91" s="33">
        <f t="shared" ca="1" si="88"/>
        <v>1.1802580130988427E-2</v>
      </c>
      <c r="BB91" s="33">
        <f t="shared" ca="1" si="88"/>
        <v>1.2114589826608985E-2</v>
      </c>
      <c r="BC91" s="33">
        <f t="shared" ca="1" si="88"/>
        <v>1.3157029021809073E-2</v>
      </c>
      <c r="BD91" s="33">
        <f t="shared" ca="1" si="88"/>
        <v>1.3111207239359119E-2</v>
      </c>
      <c r="BE91" s="33">
        <f t="shared" ca="1" si="88"/>
        <v>9.2554324819234708E-3</v>
      </c>
      <c r="BF91" s="33">
        <f t="shared" ca="1" si="88"/>
        <v>1.0581496855824161E-2</v>
      </c>
      <c r="BG91" s="33">
        <f t="shared" ca="1" si="89"/>
        <v>1.1512129671940064E-2</v>
      </c>
      <c r="BH91" s="33">
        <f t="shared" ca="1" si="89"/>
        <v>1.1078120009730056E-2</v>
      </c>
      <c r="BI91" s="33">
        <f t="shared" ca="1" si="89"/>
        <v>1.041677172744279E-2</v>
      </c>
      <c r="BJ91" s="33">
        <f t="shared" ca="1" si="89"/>
        <v>1.254293504778479E-2</v>
      </c>
      <c r="BK91" s="33">
        <f t="shared" ca="1" si="89"/>
        <v>1.5400284871923207E-2</v>
      </c>
      <c r="BL91" s="33">
        <f t="shared" ca="1" si="89"/>
        <v>1.111005014335022E-2</v>
      </c>
      <c r="BM91" s="33">
        <f t="shared" ca="1" si="89"/>
        <v>1.1470873178881529E-2</v>
      </c>
      <c r="BN91" s="33">
        <f t="shared" ca="1" si="89"/>
        <v>1.060454280190855E-2</v>
      </c>
      <c r="BO91" s="33">
        <f t="shared" ca="1" si="89"/>
        <v>1.1905603511847196E-2</v>
      </c>
      <c r="BP91" s="33">
        <f t="shared" ca="1" si="89"/>
        <v>1.2845362671130652E-2</v>
      </c>
      <c r="BQ91" s="33">
        <f t="shared" ca="1" si="90"/>
        <v>1.2958002341537168E-2</v>
      </c>
      <c r="BR91" s="33">
        <f t="shared" ca="1" si="90"/>
        <v>9.9671899367000001E-3</v>
      </c>
      <c r="BS91" s="33">
        <f t="shared" ca="1" si="90"/>
        <v>1.0010087234188676E-2</v>
      </c>
      <c r="BT91" s="33">
        <f t="shared" ca="1" si="90"/>
        <v>9.1179192304426306E-3</v>
      </c>
      <c r="BU91" s="33">
        <f t="shared" ca="1" si="90"/>
        <v>1.0130652167795476E-2</v>
      </c>
      <c r="BV91" s="33">
        <f t="shared" ca="1" si="90"/>
        <v>1.1999470241433989E-2</v>
      </c>
      <c r="BW91" s="33">
        <f t="shared" ca="1" si="90"/>
        <v>1.3789963164878514E-2</v>
      </c>
      <c r="BX91" s="33">
        <f t="shared" ca="1" si="90"/>
        <v>1.2333637042994032E-2</v>
      </c>
      <c r="BY91" s="33">
        <f t="shared" ca="1" si="90"/>
        <v>1.2016517626800319E-2</v>
      </c>
      <c r="BZ91" s="33">
        <f t="shared" ca="1" si="90"/>
        <v>1.3091274676196982E-2</v>
      </c>
      <c r="CA91" s="33">
        <f t="shared" ca="1" si="91"/>
        <v>1.3640855256623067E-2</v>
      </c>
      <c r="CB91" s="33">
        <f t="shared" ca="1" si="91"/>
        <v>1.1182537852874101E-2</v>
      </c>
      <c r="CC91" s="33">
        <f t="shared" ca="1" si="91"/>
        <v>1.244366288980692E-2</v>
      </c>
      <c r="CD91" s="33">
        <f t="shared" ca="1" si="91"/>
        <v>1.0459429318413562E-2</v>
      </c>
      <c r="CE91" s="33">
        <f t="shared" ca="1" si="91"/>
        <v>1.1407229503600354E-2</v>
      </c>
      <c r="CF91" s="33">
        <f t="shared" ca="1" si="91"/>
        <v>1.0251542044781363E-2</v>
      </c>
      <c r="CG91" s="33">
        <f t="shared" ca="1" si="91"/>
        <v>1.2752649994786907E-2</v>
      </c>
      <c r="CH91" s="33">
        <f t="shared" ca="1" si="91"/>
        <v>1.009004109962611E-2</v>
      </c>
      <c r="CI91" s="33">
        <f t="shared" ca="1" si="91"/>
        <v>1.0764849226720509E-2</v>
      </c>
      <c r="CJ91" s="33">
        <f t="shared" ca="1" si="91"/>
        <v>1.1772394006834672E-2</v>
      </c>
      <c r="CK91" s="33">
        <f t="shared" ca="1" si="92"/>
        <v>1.270124292446557E-2</v>
      </c>
      <c r="CL91" s="33">
        <f t="shared" ca="1" si="92"/>
        <v>1.3842911098079374E-2</v>
      </c>
      <c r="CM91" s="33">
        <f t="shared" ca="1" si="92"/>
        <v>1.3053301583721E-2</v>
      </c>
      <c r="CN91" s="33">
        <f t="shared" ca="1" si="92"/>
        <v>1.0898306626446369E-2</v>
      </c>
      <c r="CO91" s="33">
        <f t="shared" ca="1" si="92"/>
        <v>9.7278693990929602E-3</v>
      </c>
      <c r="CP91" s="33">
        <f t="shared" ca="1" si="92"/>
        <v>1.3157530054907744E-2</v>
      </c>
      <c r="CQ91" s="33">
        <f t="shared" ca="1" si="92"/>
        <v>1.2641775220578957E-2</v>
      </c>
      <c r="CR91" s="33">
        <f t="shared" ca="1" si="92"/>
        <v>1.3748104844041251E-2</v>
      </c>
      <c r="CS91" s="33">
        <f t="shared" ca="1" si="92"/>
        <v>9.4489216617591656E-3</v>
      </c>
      <c r="CT91" s="33">
        <f t="shared" ca="1" si="92"/>
        <v>1.278440463343471E-2</v>
      </c>
      <c r="CU91" s="33">
        <f t="shared" ca="1" si="93"/>
        <v>1.1982569016748129E-2</v>
      </c>
      <c r="CV91" s="33">
        <f t="shared" ca="1" si="93"/>
        <v>1.0640322307899528E-2</v>
      </c>
      <c r="CW91" s="33">
        <f t="shared" ca="1" si="93"/>
        <v>1.2643900763357557E-2</v>
      </c>
      <c r="CX91" s="33">
        <f t="shared" ca="1" si="93"/>
        <v>1.1651100471687676E-2</v>
      </c>
      <c r="CY91" s="33">
        <f t="shared" ca="1" si="93"/>
        <v>1.0881987197843905E-2</v>
      </c>
      <c r="CZ91" s="33">
        <f t="shared" ca="1" si="93"/>
        <v>1.2074276651249737E-2</v>
      </c>
      <c r="DA91" s="33">
        <f t="shared" ca="1" si="93"/>
        <v>1.0001955732256405E-2</v>
      </c>
      <c r="DB91" s="33">
        <f t="shared" ca="1" si="93"/>
        <v>1.1266109653181942E-2</v>
      </c>
      <c r="DC91" s="33">
        <f t="shared" ca="1" si="93"/>
        <v>1.3594367966523583E-2</v>
      </c>
      <c r="DD91" s="33">
        <f t="shared" ca="1" si="93"/>
        <v>1.0604702919158581E-2</v>
      </c>
      <c r="DE91" s="33">
        <f t="shared" ca="1" si="94"/>
        <v>1.3474666486467519E-2</v>
      </c>
      <c r="DF91" s="33">
        <f t="shared" ca="1" si="94"/>
        <v>8.9692704720935792E-3</v>
      </c>
      <c r="DG91" s="33">
        <f t="shared" ca="1" si="94"/>
        <v>1.1002892735007668E-2</v>
      </c>
      <c r="DH91" s="33">
        <f t="shared" ca="1" si="94"/>
        <v>1.1025632724639479E-2</v>
      </c>
      <c r="DI91" s="33">
        <f t="shared" ca="1" si="94"/>
        <v>1.1067944278815731E-2</v>
      </c>
      <c r="DJ91" s="33">
        <f t="shared" ca="1" si="94"/>
        <v>1.0611496567527003E-2</v>
      </c>
      <c r="DK91" s="33">
        <f t="shared" ca="1" si="94"/>
        <v>1.306020910943391E-2</v>
      </c>
      <c r="DL91" s="33">
        <f t="shared" ca="1" si="94"/>
        <v>1.1554372731448772E-2</v>
      </c>
      <c r="DM91" s="33">
        <f t="shared" ca="1" si="94"/>
        <v>1.0672044111699282E-2</v>
      </c>
      <c r="DN91" s="33">
        <f t="shared" ca="1" si="94"/>
        <v>8.8012496032723285E-3</v>
      </c>
      <c r="DO91" s="12"/>
      <c r="DP91" s="12"/>
      <c r="DQ91" s="12"/>
    </row>
    <row r="92" spans="9:121" x14ac:dyDescent="0.2">
      <c r="I92" s="32">
        <v>47209</v>
      </c>
      <c r="J92" s="33">
        <f t="shared" ca="1" si="73"/>
        <v>1.1333016071392579E-2</v>
      </c>
      <c r="K92" s="9">
        <v>3696.3706520831997</v>
      </c>
      <c r="L92" s="9">
        <f t="shared" ca="1" si="74"/>
        <v>363988.35093337984</v>
      </c>
      <c r="N92" s="6">
        <v>88</v>
      </c>
      <c r="O92" s="5">
        <v>4.0274607472981518</v>
      </c>
      <c r="P92" s="9">
        <v>695872.85149025172</v>
      </c>
      <c r="R92" s="32">
        <v>47209</v>
      </c>
      <c r="S92" s="33">
        <f t="shared" ca="1" si="85"/>
        <v>1.1558832753013913E-2</v>
      </c>
      <c r="T92" s="33">
        <f t="shared" ca="1" si="85"/>
        <v>1.070477648577166E-2</v>
      </c>
      <c r="U92" s="33">
        <f t="shared" ca="1" si="85"/>
        <v>1.1683263196065777E-2</v>
      </c>
      <c r="V92" s="33">
        <f t="shared" ca="1" si="85"/>
        <v>1.1627995612249514E-2</v>
      </c>
      <c r="W92" s="33">
        <f t="shared" ca="1" si="85"/>
        <v>9.8111072615102209E-3</v>
      </c>
      <c r="X92" s="33">
        <f t="shared" ca="1" si="85"/>
        <v>1.3458880820742052E-2</v>
      </c>
      <c r="Y92" s="33">
        <f t="shared" ca="1" si="85"/>
        <v>1.0489758469637851E-2</v>
      </c>
      <c r="Z92" s="33">
        <f t="shared" ca="1" si="85"/>
        <v>1.0137047756484958E-2</v>
      </c>
      <c r="AA92" s="33">
        <f t="shared" ca="1" si="85"/>
        <v>1.0658546129847046E-2</v>
      </c>
      <c r="AB92" s="33">
        <f t="shared" ca="1" si="85"/>
        <v>1.4099203350528011E-2</v>
      </c>
      <c r="AC92" s="33">
        <f t="shared" ca="1" si="86"/>
        <v>1.240825407728623E-2</v>
      </c>
      <c r="AD92" s="33">
        <f t="shared" ca="1" si="86"/>
        <v>1.1290078635862776E-2</v>
      </c>
      <c r="AE92" s="33">
        <f t="shared" ca="1" si="86"/>
        <v>9.0299722367454469E-3</v>
      </c>
      <c r="AF92" s="33">
        <f t="shared" ca="1" si="86"/>
        <v>1.17688522566698E-2</v>
      </c>
      <c r="AG92" s="33">
        <f t="shared" ca="1" si="86"/>
        <v>9.5199567193205714E-3</v>
      </c>
      <c r="AH92" s="33">
        <f t="shared" ca="1" si="86"/>
        <v>1.0890219360055358E-2</v>
      </c>
      <c r="AI92" s="33">
        <f t="shared" ca="1" si="86"/>
        <v>1.0793875121131901E-2</v>
      </c>
      <c r="AJ92" s="33">
        <f t="shared" ca="1" si="86"/>
        <v>1.1378191840604946E-2</v>
      </c>
      <c r="AK92" s="33">
        <f t="shared" ca="1" si="86"/>
        <v>1.0179648247007766E-2</v>
      </c>
      <c r="AL92" s="33">
        <f t="shared" ca="1" si="86"/>
        <v>1.2873878317478367E-2</v>
      </c>
      <c r="AM92" s="33">
        <f t="shared" ca="1" si="87"/>
        <v>1.2408166785364329E-2</v>
      </c>
      <c r="AN92" s="33">
        <f t="shared" ca="1" si="87"/>
        <v>8.0431294873108475E-3</v>
      </c>
      <c r="AO92" s="33">
        <f t="shared" ca="1" si="87"/>
        <v>1.1683402194633622E-2</v>
      </c>
      <c r="AP92" s="33">
        <f t="shared" ca="1" si="87"/>
        <v>1.0907751177653907E-2</v>
      </c>
      <c r="AQ92" s="33">
        <f t="shared" ca="1" si="87"/>
        <v>6.2252351820861898E-3</v>
      </c>
      <c r="AR92" s="33">
        <f t="shared" ca="1" si="87"/>
        <v>1.1236223837255501E-2</v>
      </c>
      <c r="AS92" s="33">
        <f t="shared" ca="1" si="87"/>
        <v>1.2712568220087633E-2</v>
      </c>
      <c r="AT92" s="33">
        <f t="shared" ca="1" si="87"/>
        <v>1.2805979621202801E-2</v>
      </c>
      <c r="AU92" s="33">
        <f t="shared" ca="1" si="87"/>
        <v>1.0812089845980519E-2</v>
      </c>
      <c r="AV92" s="33">
        <f t="shared" ca="1" si="87"/>
        <v>1.0080959772817919E-2</v>
      </c>
      <c r="AW92" s="33">
        <f t="shared" ca="1" si="88"/>
        <v>9.1867164371577641E-3</v>
      </c>
      <c r="AX92" s="33">
        <f t="shared" ca="1" si="88"/>
        <v>1.0087993779040724E-2</v>
      </c>
      <c r="AY92" s="33">
        <f t="shared" ca="1" si="88"/>
        <v>1.2660606867954151E-2</v>
      </c>
      <c r="AZ92" s="33">
        <f t="shared" ca="1" si="88"/>
        <v>1.3542996337470775E-2</v>
      </c>
      <c r="BA92" s="33">
        <f t="shared" ca="1" si="88"/>
        <v>1.4130928390327698E-2</v>
      </c>
      <c r="BB92" s="33">
        <f t="shared" ca="1" si="88"/>
        <v>1.1638717213306391E-2</v>
      </c>
      <c r="BC92" s="33">
        <f t="shared" ca="1" si="88"/>
        <v>1.0940723191904434E-2</v>
      </c>
      <c r="BD92" s="33">
        <f t="shared" ca="1" si="88"/>
        <v>8.6875823758093482E-3</v>
      </c>
      <c r="BE92" s="33">
        <f t="shared" ca="1" si="88"/>
        <v>1.4423214027187707E-2</v>
      </c>
      <c r="BF92" s="33">
        <f t="shared" ca="1" si="88"/>
        <v>1.1010070845365474E-2</v>
      </c>
      <c r="BG92" s="33">
        <f t="shared" ca="1" si="89"/>
        <v>1.0526949935011137E-2</v>
      </c>
      <c r="BH92" s="33">
        <f t="shared" ca="1" si="89"/>
        <v>1.1346590814395549E-2</v>
      </c>
      <c r="BI92" s="33">
        <f t="shared" ca="1" si="89"/>
        <v>1.1754706669546512E-2</v>
      </c>
      <c r="BJ92" s="33">
        <f t="shared" ca="1" si="89"/>
        <v>8.8891015728362974E-3</v>
      </c>
      <c r="BK92" s="33">
        <f t="shared" ca="1" si="89"/>
        <v>1.1617598122442689E-2</v>
      </c>
      <c r="BL92" s="33">
        <f t="shared" ca="1" si="89"/>
        <v>1.0065082121258806E-2</v>
      </c>
      <c r="BM92" s="33">
        <f t="shared" ca="1" si="89"/>
        <v>1.160525988819606E-2</v>
      </c>
      <c r="BN92" s="33">
        <f t="shared" ca="1" si="89"/>
        <v>1.1332616558680987E-2</v>
      </c>
      <c r="BO92" s="33">
        <f t="shared" ca="1" si="89"/>
        <v>1.2104670587885629E-2</v>
      </c>
      <c r="BP92" s="33">
        <f t="shared" ca="1" si="89"/>
        <v>9.3939329448213711E-3</v>
      </c>
      <c r="BQ92" s="33">
        <f t="shared" ca="1" si="90"/>
        <v>1.1387770817801526E-2</v>
      </c>
      <c r="BR92" s="33">
        <f t="shared" ca="1" si="90"/>
        <v>1.1814017398762828E-2</v>
      </c>
      <c r="BS92" s="33">
        <f t="shared" ca="1" si="90"/>
        <v>1.086448101114428E-2</v>
      </c>
      <c r="BT92" s="33">
        <f t="shared" ca="1" si="90"/>
        <v>1.350496251543549E-2</v>
      </c>
      <c r="BU92" s="33">
        <f t="shared" ca="1" si="90"/>
        <v>1.0951007166097246E-2</v>
      </c>
      <c r="BV92" s="33">
        <f t="shared" ca="1" si="90"/>
        <v>1.1657637295280326E-2</v>
      </c>
      <c r="BW92" s="33">
        <f t="shared" ca="1" si="90"/>
        <v>9.6435429325824641E-3</v>
      </c>
      <c r="BX92" s="33">
        <f t="shared" ca="1" si="90"/>
        <v>1.021487412142761E-2</v>
      </c>
      <c r="BY92" s="33">
        <f t="shared" ca="1" si="90"/>
        <v>1.0101725583356209E-2</v>
      </c>
      <c r="BZ92" s="33">
        <f t="shared" ca="1" si="90"/>
        <v>1.0074903800969828E-2</v>
      </c>
      <c r="CA92" s="33">
        <f t="shared" ca="1" si="91"/>
        <v>8.3345074991732649E-3</v>
      </c>
      <c r="CB92" s="33">
        <f t="shared" ca="1" si="91"/>
        <v>1.170903356181691E-2</v>
      </c>
      <c r="CC92" s="33">
        <f t="shared" ca="1" si="91"/>
        <v>1.0921760156928572E-2</v>
      </c>
      <c r="CD92" s="33">
        <f t="shared" ca="1" si="91"/>
        <v>1.3029157751041947E-2</v>
      </c>
      <c r="CE92" s="33">
        <f t="shared" ca="1" si="91"/>
        <v>1.210153484405126E-2</v>
      </c>
      <c r="CF92" s="33">
        <f t="shared" ca="1" si="91"/>
        <v>1.110401678986009E-2</v>
      </c>
      <c r="CG92" s="33">
        <f t="shared" ca="1" si="91"/>
        <v>1.4964755734298736E-2</v>
      </c>
      <c r="CH92" s="33">
        <f t="shared" ca="1" si="91"/>
        <v>7.9885922344996446E-3</v>
      </c>
      <c r="CI92" s="33">
        <f t="shared" ca="1" si="91"/>
        <v>1.1328553115595117E-2</v>
      </c>
      <c r="CJ92" s="33">
        <f t="shared" ca="1" si="91"/>
        <v>1.1709895016785377E-2</v>
      </c>
      <c r="CK92" s="33">
        <f t="shared" ca="1" si="92"/>
        <v>1.3623060251750746E-2</v>
      </c>
      <c r="CL92" s="33">
        <f t="shared" ca="1" si="92"/>
        <v>9.6046626322495721E-3</v>
      </c>
      <c r="CM92" s="33">
        <f t="shared" ca="1" si="92"/>
        <v>1.3509870292463649E-2</v>
      </c>
      <c r="CN92" s="33">
        <f t="shared" ca="1" si="92"/>
        <v>1.1607938965318589E-2</v>
      </c>
      <c r="CO92" s="33">
        <f t="shared" ca="1" si="92"/>
        <v>9.5952134257264593E-3</v>
      </c>
      <c r="CP92" s="33">
        <f t="shared" ca="1" si="92"/>
        <v>1.223249275951817E-2</v>
      </c>
      <c r="CQ92" s="33">
        <f t="shared" ca="1" si="92"/>
        <v>1.2419608450644921E-2</v>
      </c>
      <c r="CR92" s="33">
        <f t="shared" ca="1" si="92"/>
        <v>1.3721612650652698E-2</v>
      </c>
      <c r="CS92" s="33">
        <f t="shared" ca="1" si="92"/>
        <v>1.246419009077142E-2</v>
      </c>
      <c r="CT92" s="33">
        <f t="shared" ca="1" si="92"/>
        <v>1.0856063452870263E-2</v>
      </c>
      <c r="CU92" s="33">
        <f t="shared" ca="1" si="93"/>
        <v>1.0811511020113946E-2</v>
      </c>
      <c r="CV92" s="33">
        <f t="shared" ca="1" si="93"/>
        <v>1.2030086270735827E-2</v>
      </c>
      <c r="CW92" s="33">
        <f t="shared" ca="1" si="93"/>
        <v>1.3348361332849048E-2</v>
      </c>
      <c r="CX92" s="33">
        <f t="shared" ca="1" si="93"/>
        <v>1.3163504419672463E-2</v>
      </c>
      <c r="CY92" s="33">
        <f t="shared" ca="1" si="93"/>
        <v>1.2019207943858962E-2</v>
      </c>
      <c r="CZ92" s="33">
        <f t="shared" ca="1" si="93"/>
        <v>1.4145648931879307E-2</v>
      </c>
      <c r="DA92" s="33">
        <f t="shared" ca="1" si="93"/>
        <v>1.0444923042566659E-2</v>
      </c>
      <c r="DB92" s="33">
        <f t="shared" ca="1" si="93"/>
        <v>1.0828846573197853E-2</v>
      </c>
      <c r="DC92" s="33">
        <f t="shared" ca="1" si="93"/>
        <v>9.3826965438275258E-3</v>
      </c>
      <c r="DD92" s="33">
        <f t="shared" ca="1" si="93"/>
        <v>1.2470961585662427E-2</v>
      </c>
      <c r="DE92" s="33">
        <f t="shared" ca="1" si="94"/>
        <v>1.4021789810886318E-2</v>
      </c>
      <c r="DF92" s="33">
        <f t="shared" ca="1" si="94"/>
        <v>1.1524762386847014E-2</v>
      </c>
      <c r="DG92" s="33">
        <f t="shared" ca="1" si="94"/>
        <v>1.0216234450626662E-2</v>
      </c>
      <c r="DH92" s="33">
        <f t="shared" ca="1" si="94"/>
        <v>1.209082932105442E-2</v>
      </c>
      <c r="DI92" s="33">
        <f t="shared" ca="1" si="94"/>
        <v>1.034834031456696E-2</v>
      </c>
      <c r="DJ92" s="33">
        <f t="shared" ca="1" si="94"/>
        <v>1.2818496947637618E-2</v>
      </c>
      <c r="DK92" s="33">
        <f t="shared" ca="1" si="94"/>
        <v>9.212977352967177E-3</v>
      </c>
      <c r="DL92" s="33">
        <f t="shared" ca="1" si="94"/>
        <v>1.2164274209292128E-2</v>
      </c>
      <c r="DM92" s="33">
        <f t="shared" ca="1" si="94"/>
        <v>1.3424234157211112E-2</v>
      </c>
      <c r="DN92" s="33">
        <f t="shared" ca="1" si="94"/>
        <v>8.7566741848233761E-3</v>
      </c>
      <c r="DO92" s="12"/>
      <c r="DP92" s="12"/>
      <c r="DQ92" s="12"/>
    </row>
    <row r="93" spans="9:121" x14ac:dyDescent="0.2">
      <c r="I93" s="32">
        <v>47239</v>
      </c>
      <c r="J93" s="33">
        <f t="shared" ca="1" si="73"/>
        <v>1.1974893410822841E-2</v>
      </c>
      <c r="K93" s="9">
        <v>3696.3706520831997</v>
      </c>
      <c r="L93" s="9">
        <f t="shared" ca="1" si="74"/>
        <v>372069.64538924408</v>
      </c>
      <c r="N93" s="6">
        <v>89</v>
      </c>
      <c r="O93" s="5">
        <v>3.9880620710240184</v>
      </c>
      <c r="P93" s="9">
        <v>686739.15947500838</v>
      </c>
      <c r="R93" s="32">
        <v>47239</v>
      </c>
      <c r="S93" s="33">
        <f t="shared" ca="1" si="85"/>
        <v>9.8940301361226494E-3</v>
      </c>
      <c r="T93" s="33">
        <f t="shared" ca="1" si="85"/>
        <v>1.0592628266875802E-2</v>
      </c>
      <c r="U93" s="33">
        <f t="shared" ca="1" si="85"/>
        <v>1.0377844061752444E-2</v>
      </c>
      <c r="V93" s="33">
        <f t="shared" ca="1" si="85"/>
        <v>1.0746714299749873E-2</v>
      </c>
      <c r="W93" s="33">
        <f t="shared" ca="1" si="85"/>
        <v>1.2256414404034721E-2</v>
      </c>
      <c r="X93" s="33">
        <f t="shared" ca="1" si="85"/>
        <v>1.1676810548401938E-2</v>
      </c>
      <c r="Y93" s="33">
        <f t="shared" ca="1" si="85"/>
        <v>1.1791496740915262E-2</v>
      </c>
      <c r="Z93" s="33">
        <f t="shared" ca="1" si="85"/>
        <v>1.1956483198376449E-2</v>
      </c>
      <c r="AA93" s="33">
        <f t="shared" ca="1" si="85"/>
        <v>1.2018306101154291E-2</v>
      </c>
      <c r="AB93" s="33">
        <f t="shared" ca="1" si="85"/>
        <v>1.0279688222713211E-2</v>
      </c>
      <c r="AC93" s="33">
        <f t="shared" ca="1" si="86"/>
        <v>1.2920588878677844E-2</v>
      </c>
      <c r="AD93" s="33">
        <f t="shared" ca="1" si="86"/>
        <v>1.058843756937307E-2</v>
      </c>
      <c r="AE93" s="33">
        <f t="shared" ca="1" si="86"/>
        <v>1.2584506557388575E-2</v>
      </c>
      <c r="AF93" s="33">
        <f t="shared" ca="1" si="86"/>
        <v>1.1541773748825972E-2</v>
      </c>
      <c r="AG93" s="33">
        <f t="shared" ca="1" si="86"/>
        <v>9.0711997541358825E-3</v>
      </c>
      <c r="AH93" s="33">
        <f t="shared" ca="1" si="86"/>
        <v>1.2188262374882746E-2</v>
      </c>
      <c r="AI93" s="33">
        <f t="shared" ca="1" si="86"/>
        <v>1.0925687248975496E-2</v>
      </c>
      <c r="AJ93" s="33">
        <f t="shared" ca="1" si="86"/>
        <v>1.2534649046953207E-2</v>
      </c>
      <c r="AK93" s="33">
        <f t="shared" ca="1" si="86"/>
        <v>1.185405341088069E-2</v>
      </c>
      <c r="AL93" s="33">
        <f t="shared" ca="1" si="86"/>
        <v>1.1158031515576533E-2</v>
      </c>
      <c r="AM93" s="33">
        <f t="shared" ca="1" si="87"/>
        <v>1.1803257014700688E-2</v>
      </c>
      <c r="AN93" s="33">
        <f t="shared" ca="1" si="87"/>
        <v>8.9328617339999722E-3</v>
      </c>
      <c r="AO93" s="33">
        <f t="shared" ca="1" si="87"/>
        <v>1.08661115246675E-2</v>
      </c>
      <c r="AP93" s="33">
        <f t="shared" ca="1" si="87"/>
        <v>8.7572911064551697E-3</v>
      </c>
      <c r="AQ93" s="33">
        <f t="shared" ca="1" si="87"/>
        <v>1.3022013823384174E-2</v>
      </c>
      <c r="AR93" s="33">
        <f t="shared" ca="1" si="87"/>
        <v>1.1416488081886099E-2</v>
      </c>
      <c r="AS93" s="33">
        <f t="shared" ca="1" si="87"/>
        <v>1.0983676338004858E-2</v>
      </c>
      <c r="AT93" s="33">
        <f t="shared" ca="1" si="87"/>
        <v>1.2664067249889135E-2</v>
      </c>
      <c r="AU93" s="33">
        <f t="shared" ca="1" si="87"/>
        <v>1.228029641891394E-2</v>
      </c>
      <c r="AV93" s="33">
        <f t="shared" ca="1" si="87"/>
        <v>1.0939124775594196E-2</v>
      </c>
      <c r="AW93" s="33">
        <f t="shared" ca="1" si="88"/>
        <v>1.0813627791091626E-2</v>
      </c>
      <c r="AX93" s="33">
        <f t="shared" ca="1" si="88"/>
        <v>8.7794187784165714E-3</v>
      </c>
      <c r="AY93" s="33">
        <f t="shared" ca="1" si="88"/>
        <v>8.333418371800733E-3</v>
      </c>
      <c r="AZ93" s="33">
        <f t="shared" ca="1" si="88"/>
        <v>1.2026927031799084E-2</v>
      </c>
      <c r="BA93" s="33">
        <f t="shared" ca="1" si="88"/>
        <v>1.0194328754072076E-2</v>
      </c>
      <c r="BB93" s="33">
        <f t="shared" ca="1" si="88"/>
        <v>1.1612814193757195E-2</v>
      </c>
      <c r="BC93" s="33">
        <f t="shared" ca="1" si="88"/>
        <v>7.9794727367990294E-3</v>
      </c>
      <c r="BD93" s="33">
        <f t="shared" ca="1" si="88"/>
        <v>1.070147246733028E-2</v>
      </c>
      <c r="BE93" s="33">
        <f t="shared" ca="1" si="88"/>
        <v>9.2639992199689547E-3</v>
      </c>
      <c r="BF93" s="33">
        <f t="shared" ca="1" si="88"/>
        <v>9.4333993410508424E-3</v>
      </c>
      <c r="BG93" s="33">
        <f t="shared" ca="1" si="89"/>
        <v>1.1368584436607756E-2</v>
      </c>
      <c r="BH93" s="33">
        <f t="shared" ca="1" si="89"/>
        <v>1.2732148303171273E-2</v>
      </c>
      <c r="BI93" s="33">
        <f t="shared" ca="1" si="89"/>
        <v>1.3714623334343701E-2</v>
      </c>
      <c r="BJ93" s="33">
        <f t="shared" ca="1" si="89"/>
        <v>1.0375280750579502E-2</v>
      </c>
      <c r="BK93" s="33">
        <f t="shared" ca="1" si="89"/>
        <v>8.8445129135367069E-3</v>
      </c>
      <c r="BL93" s="33">
        <f t="shared" ca="1" si="89"/>
        <v>1.2795520024665819E-2</v>
      </c>
      <c r="BM93" s="33">
        <f t="shared" ca="1" si="89"/>
        <v>9.4252542042460776E-3</v>
      </c>
      <c r="BN93" s="33">
        <f t="shared" ca="1" si="89"/>
        <v>1.1574287203459795E-2</v>
      </c>
      <c r="BO93" s="33">
        <f t="shared" ca="1" si="89"/>
        <v>1.128395720064029E-2</v>
      </c>
      <c r="BP93" s="33">
        <f t="shared" ca="1" si="89"/>
        <v>9.3478458510872463E-3</v>
      </c>
      <c r="BQ93" s="33">
        <f t="shared" ca="1" si="90"/>
        <v>1.3091005636459423E-2</v>
      </c>
      <c r="BR93" s="33">
        <f t="shared" ca="1" si="90"/>
        <v>1.1002090464880569E-2</v>
      </c>
      <c r="BS93" s="33">
        <f t="shared" ca="1" si="90"/>
        <v>9.4059311725772001E-3</v>
      </c>
      <c r="BT93" s="33">
        <f t="shared" ca="1" si="90"/>
        <v>9.6405354884757655E-3</v>
      </c>
      <c r="BU93" s="33">
        <f t="shared" ca="1" si="90"/>
        <v>1.2534389731104904E-2</v>
      </c>
      <c r="BV93" s="33">
        <f t="shared" ca="1" si="90"/>
        <v>1.008502545957609E-2</v>
      </c>
      <c r="BW93" s="33">
        <f t="shared" ca="1" si="90"/>
        <v>1.2064472288360262E-2</v>
      </c>
      <c r="BX93" s="33">
        <f t="shared" ca="1" si="90"/>
        <v>7.6548286375994869E-3</v>
      </c>
      <c r="BY93" s="33">
        <f t="shared" ca="1" si="90"/>
        <v>1.2406121001101722E-2</v>
      </c>
      <c r="BZ93" s="33">
        <f t="shared" ca="1" si="90"/>
        <v>1.0493989069809362E-2</v>
      </c>
      <c r="CA93" s="33">
        <f t="shared" ca="1" si="91"/>
        <v>1.1016761978535315E-2</v>
      </c>
      <c r="CB93" s="33">
        <f t="shared" ca="1" si="91"/>
        <v>1.1633710528281554E-2</v>
      </c>
      <c r="CC93" s="33">
        <f t="shared" ca="1" si="91"/>
        <v>1.141383058267246E-2</v>
      </c>
      <c r="CD93" s="33">
        <f t="shared" ca="1" si="91"/>
        <v>8.1019539506424296E-3</v>
      </c>
      <c r="CE93" s="33">
        <f t="shared" ca="1" si="91"/>
        <v>1.234227248601775E-2</v>
      </c>
      <c r="CF93" s="33">
        <f t="shared" ca="1" si="91"/>
        <v>9.4434029035981512E-3</v>
      </c>
      <c r="CG93" s="33">
        <f t="shared" ca="1" si="91"/>
        <v>1.3005687859942173E-2</v>
      </c>
      <c r="CH93" s="33">
        <f t="shared" ca="1" si="91"/>
        <v>1.1087734176504114E-2</v>
      </c>
      <c r="CI93" s="33">
        <f t="shared" ca="1" si="91"/>
        <v>1.3499170484117955E-2</v>
      </c>
      <c r="CJ93" s="33">
        <f t="shared" ca="1" si="91"/>
        <v>1.4160549264715227E-2</v>
      </c>
      <c r="CK93" s="33">
        <f t="shared" ca="1" si="92"/>
        <v>8.8491627696107265E-3</v>
      </c>
      <c r="CL93" s="33">
        <f t="shared" ca="1" si="92"/>
        <v>1.4427394694360112E-2</v>
      </c>
      <c r="CM93" s="33">
        <f t="shared" ca="1" si="92"/>
        <v>1.0456998079789953E-2</v>
      </c>
      <c r="CN93" s="33">
        <f t="shared" ca="1" si="92"/>
        <v>1.2606054082174217E-2</v>
      </c>
      <c r="CO93" s="33">
        <f t="shared" ca="1" si="92"/>
        <v>1.1798301335168154E-2</v>
      </c>
      <c r="CP93" s="33">
        <f t="shared" ca="1" si="92"/>
        <v>1.1212326134902762E-2</v>
      </c>
      <c r="CQ93" s="33">
        <f t="shared" ca="1" si="92"/>
        <v>1.2015054088233492E-2</v>
      </c>
      <c r="CR93" s="33">
        <f t="shared" ca="1" si="92"/>
        <v>1.1219966767163315E-2</v>
      </c>
      <c r="CS93" s="33">
        <f t="shared" ca="1" si="92"/>
        <v>1.1336526970979839E-2</v>
      </c>
      <c r="CT93" s="33">
        <f t="shared" ca="1" si="92"/>
        <v>1.1212171063534802E-2</v>
      </c>
      <c r="CU93" s="33">
        <f t="shared" ca="1" si="93"/>
        <v>1.050047852107026E-2</v>
      </c>
      <c r="CV93" s="33">
        <f t="shared" ca="1" si="93"/>
        <v>1.0893186714461066E-2</v>
      </c>
      <c r="CW93" s="33">
        <f t="shared" ca="1" si="93"/>
        <v>1.0593524719440915E-2</v>
      </c>
      <c r="CX93" s="33">
        <f t="shared" ca="1" si="93"/>
        <v>1.0283259448819261E-2</v>
      </c>
      <c r="CY93" s="33">
        <f t="shared" ca="1" si="93"/>
        <v>1.0010938770919771E-2</v>
      </c>
      <c r="CZ93" s="33">
        <f t="shared" ca="1" si="93"/>
        <v>1.1859759399753164E-2</v>
      </c>
      <c r="DA93" s="33">
        <f t="shared" ca="1" si="93"/>
        <v>1.2329281415245688E-2</v>
      </c>
      <c r="DB93" s="33">
        <f t="shared" ca="1" si="93"/>
        <v>1.2278884779837377E-2</v>
      </c>
      <c r="DC93" s="33">
        <f t="shared" ca="1" si="93"/>
        <v>1.1890404984642805E-2</v>
      </c>
      <c r="DD93" s="33">
        <f t="shared" ca="1" si="93"/>
        <v>9.0535018005476753E-3</v>
      </c>
      <c r="DE93" s="33">
        <f t="shared" ca="1" si="94"/>
        <v>9.8206836695044972E-3</v>
      </c>
      <c r="DF93" s="33">
        <f t="shared" ca="1" si="94"/>
        <v>1.0518588856694018E-2</v>
      </c>
      <c r="DG93" s="33">
        <f t="shared" ca="1" si="94"/>
        <v>1.1409412000370749E-2</v>
      </c>
      <c r="DH93" s="33">
        <f t="shared" ca="1" si="94"/>
        <v>1.3264086444127431E-2</v>
      </c>
      <c r="DI93" s="33">
        <f t="shared" ca="1" si="94"/>
        <v>1.2653362911839407E-2</v>
      </c>
      <c r="DJ93" s="33">
        <f t="shared" ca="1" si="94"/>
        <v>1.0200534517757244E-2</v>
      </c>
      <c r="DK93" s="33">
        <f t="shared" ca="1" si="94"/>
        <v>9.6353547356110378E-3</v>
      </c>
      <c r="DL93" s="33">
        <f t="shared" ca="1" si="94"/>
        <v>1.1614874997473729E-2</v>
      </c>
      <c r="DM93" s="33">
        <f t="shared" ca="1" si="94"/>
        <v>1.1425286228084416E-2</v>
      </c>
      <c r="DN93" s="33">
        <f t="shared" ca="1" si="94"/>
        <v>1.2015423161351471E-2</v>
      </c>
      <c r="DO93" s="12"/>
      <c r="DP93" s="12"/>
      <c r="DQ93" s="12"/>
    </row>
    <row r="94" spans="9:121" x14ac:dyDescent="0.2">
      <c r="I94" s="32">
        <v>47270</v>
      </c>
      <c r="J94" s="33">
        <f t="shared" ca="1" si="73"/>
        <v>1.0531673659366754E-2</v>
      </c>
      <c r="K94" s="9">
        <v>3696.3706520831997</v>
      </c>
      <c r="L94" s="9">
        <f t="shared" ca="1" si="74"/>
        <v>379705.23902034637</v>
      </c>
      <c r="N94" s="6">
        <v>90</v>
      </c>
      <c r="O94" s="5">
        <v>3.9756333072072416</v>
      </c>
      <c r="P94" s="9">
        <v>687955.06348606385</v>
      </c>
      <c r="R94" s="32">
        <v>47270</v>
      </c>
      <c r="S94" s="33">
        <f t="shared" ca="1" si="85"/>
        <v>1.305725641305139E-2</v>
      </c>
      <c r="T94" s="33">
        <f t="shared" ca="1" si="85"/>
        <v>1.2145260747080746E-2</v>
      </c>
      <c r="U94" s="33">
        <f t="shared" ca="1" si="85"/>
        <v>1.2944622524113249E-2</v>
      </c>
      <c r="V94" s="33">
        <f t="shared" ca="1" si="85"/>
        <v>1.3351605807912396E-2</v>
      </c>
      <c r="W94" s="33">
        <f t="shared" ca="1" si="85"/>
        <v>1.356905765362082E-2</v>
      </c>
      <c r="X94" s="33">
        <f t="shared" ca="1" si="85"/>
        <v>1.318904940591584E-2</v>
      </c>
      <c r="Y94" s="33">
        <f t="shared" ca="1" si="85"/>
        <v>1.2245379601274165E-2</v>
      </c>
      <c r="Z94" s="33">
        <f t="shared" ca="1" si="85"/>
        <v>1.2739283403178444E-2</v>
      </c>
      <c r="AA94" s="33">
        <f t="shared" ca="1" si="85"/>
        <v>1.3526650327841342E-2</v>
      </c>
      <c r="AB94" s="33">
        <f t="shared" ca="1" si="85"/>
        <v>9.7524986519246619E-3</v>
      </c>
      <c r="AC94" s="33">
        <f t="shared" ca="1" si="86"/>
        <v>1.1954983891103575E-2</v>
      </c>
      <c r="AD94" s="33">
        <f t="shared" ca="1" si="86"/>
        <v>1.1987613716113465E-2</v>
      </c>
      <c r="AE94" s="33">
        <f t="shared" ca="1" si="86"/>
        <v>1.1440610374258297E-2</v>
      </c>
      <c r="AF94" s="33">
        <f t="shared" ca="1" si="86"/>
        <v>1.3056543036827061E-2</v>
      </c>
      <c r="AG94" s="33">
        <f t="shared" ca="1" si="86"/>
        <v>1.2413617274205629E-2</v>
      </c>
      <c r="AH94" s="33">
        <f t="shared" ca="1" si="86"/>
        <v>1.2406569980826001E-2</v>
      </c>
      <c r="AI94" s="33">
        <f t="shared" ca="1" si="86"/>
        <v>1.2737726292119866E-2</v>
      </c>
      <c r="AJ94" s="33">
        <f t="shared" ca="1" si="86"/>
        <v>1.2947752666785316E-2</v>
      </c>
      <c r="AK94" s="33">
        <f t="shared" ca="1" si="86"/>
        <v>1.1596513844131351E-2</v>
      </c>
      <c r="AL94" s="33">
        <f t="shared" ca="1" si="86"/>
        <v>1.0699659127447884E-2</v>
      </c>
      <c r="AM94" s="33">
        <f t="shared" ca="1" si="87"/>
        <v>1.1164757140111694E-2</v>
      </c>
      <c r="AN94" s="33">
        <f t="shared" ca="1" si="87"/>
        <v>8.3090643048888153E-3</v>
      </c>
      <c r="AO94" s="33">
        <f t="shared" ca="1" si="87"/>
        <v>1.0186101962084259E-2</v>
      </c>
      <c r="AP94" s="33">
        <f t="shared" ca="1" si="87"/>
        <v>1.2178186061011351E-2</v>
      </c>
      <c r="AQ94" s="33">
        <f t="shared" ca="1" si="87"/>
        <v>1.1651750459903808E-2</v>
      </c>
      <c r="AR94" s="33">
        <f t="shared" ca="1" si="87"/>
        <v>9.4571298139304993E-3</v>
      </c>
      <c r="AS94" s="33">
        <f t="shared" ca="1" si="87"/>
        <v>1.2996878835437499E-2</v>
      </c>
      <c r="AT94" s="33">
        <f t="shared" ca="1" si="87"/>
        <v>1.2845252350591915E-2</v>
      </c>
      <c r="AU94" s="33">
        <f t="shared" ca="1" si="87"/>
        <v>1.5394608567692125E-2</v>
      </c>
      <c r="AV94" s="33">
        <f t="shared" ca="1" si="87"/>
        <v>1.2057210000892399E-2</v>
      </c>
      <c r="AW94" s="33">
        <f t="shared" ca="1" si="88"/>
        <v>1.297788518424927E-2</v>
      </c>
      <c r="AX94" s="33">
        <f t="shared" ca="1" si="88"/>
        <v>1.336600999949235E-2</v>
      </c>
      <c r="AY94" s="33">
        <f t="shared" ca="1" si="88"/>
        <v>1.1430395518246079E-2</v>
      </c>
      <c r="AZ94" s="33">
        <f t="shared" ca="1" si="88"/>
        <v>1.1106304775509637E-2</v>
      </c>
      <c r="BA94" s="33">
        <f t="shared" ca="1" si="88"/>
        <v>1.2300844521444068E-2</v>
      </c>
      <c r="BB94" s="33">
        <f t="shared" ca="1" si="88"/>
        <v>1.0824895031452411E-2</v>
      </c>
      <c r="BC94" s="33">
        <f t="shared" ca="1" si="88"/>
        <v>8.4199475359274106E-3</v>
      </c>
      <c r="BD94" s="33">
        <f t="shared" ca="1" si="88"/>
        <v>1.1091039698552971E-2</v>
      </c>
      <c r="BE94" s="33">
        <f t="shared" ca="1" si="88"/>
        <v>1.2323510127730464E-2</v>
      </c>
      <c r="BF94" s="33">
        <f t="shared" ca="1" si="88"/>
        <v>1.1576843266086647E-2</v>
      </c>
      <c r="BG94" s="33">
        <f t="shared" ca="1" si="89"/>
        <v>1.0318259527750824E-2</v>
      </c>
      <c r="BH94" s="33">
        <f t="shared" ca="1" si="89"/>
        <v>1.152273025266882E-2</v>
      </c>
      <c r="BI94" s="33">
        <f t="shared" ca="1" si="89"/>
        <v>9.6335396574521674E-3</v>
      </c>
      <c r="BJ94" s="33">
        <f t="shared" ca="1" si="89"/>
        <v>1.20458520025916E-2</v>
      </c>
      <c r="BK94" s="33">
        <f t="shared" ca="1" si="89"/>
        <v>1.0624799277640684E-2</v>
      </c>
      <c r="BL94" s="33">
        <f t="shared" ca="1" si="89"/>
        <v>1.1613277459473792E-2</v>
      </c>
      <c r="BM94" s="33">
        <f t="shared" ca="1" si="89"/>
        <v>1.249000444683351E-2</v>
      </c>
      <c r="BN94" s="33">
        <f t="shared" ca="1" si="89"/>
        <v>1.1827491264864379E-2</v>
      </c>
      <c r="BO94" s="33">
        <f t="shared" ca="1" si="89"/>
        <v>1.2900077395166198E-2</v>
      </c>
      <c r="BP94" s="33">
        <f t="shared" ca="1" si="89"/>
        <v>1.265589185493066E-2</v>
      </c>
      <c r="BQ94" s="33">
        <f t="shared" ca="1" si="90"/>
        <v>8.5245224215193781E-3</v>
      </c>
      <c r="BR94" s="33">
        <f t="shared" ca="1" si="90"/>
        <v>1.0572757061497408E-2</v>
      </c>
      <c r="BS94" s="33">
        <f t="shared" ca="1" si="90"/>
        <v>1.061625259931828E-2</v>
      </c>
      <c r="BT94" s="33">
        <f t="shared" ca="1" si="90"/>
        <v>1.168082779988054E-2</v>
      </c>
      <c r="BU94" s="33">
        <f t="shared" ca="1" si="90"/>
        <v>1.4232736654027776E-2</v>
      </c>
      <c r="BV94" s="33">
        <f t="shared" ca="1" si="90"/>
        <v>1.3027366396241635E-2</v>
      </c>
      <c r="BW94" s="33">
        <f t="shared" ca="1" si="90"/>
        <v>1.1934056926759825E-2</v>
      </c>
      <c r="BX94" s="33">
        <f t="shared" ca="1" si="90"/>
        <v>1.0961186217603693E-2</v>
      </c>
      <c r="BY94" s="33">
        <f t="shared" ca="1" si="90"/>
        <v>9.388076217016067E-3</v>
      </c>
      <c r="BZ94" s="33">
        <f t="shared" ca="1" si="90"/>
        <v>1.3526997573111141E-2</v>
      </c>
      <c r="CA94" s="33">
        <f t="shared" ca="1" si="91"/>
        <v>1.0542986754901642E-2</v>
      </c>
      <c r="CB94" s="33">
        <f t="shared" ca="1" si="91"/>
        <v>1.4040141612855776E-2</v>
      </c>
      <c r="CC94" s="33">
        <f t="shared" ca="1" si="91"/>
        <v>1.1182431415970766E-2</v>
      </c>
      <c r="CD94" s="33">
        <f t="shared" ca="1" si="91"/>
        <v>1.0717744731512348E-2</v>
      </c>
      <c r="CE94" s="33">
        <f t="shared" ca="1" si="91"/>
        <v>1.280431911483019E-2</v>
      </c>
      <c r="CF94" s="33">
        <f t="shared" ca="1" si="91"/>
        <v>1.1492174757047979E-2</v>
      </c>
      <c r="CG94" s="33">
        <f t="shared" ca="1" si="91"/>
        <v>1.0553949715118463E-2</v>
      </c>
      <c r="CH94" s="33">
        <f t="shared" ca="1" si="91"/>
        <v>8.251832432030367E-3</v>
      </c>
      <c r="CI94" s="33">
        <f t="shared" ca="1" si="91"/>
        <v>1.0635845312364008E-2</v>
      </c>
      <c r="CJ94" s="33">
        <f t="shared" ca="1" si="91"/>
        <v>8.4285983645186226E-3</v>
      </c>
      <c r="CK94" s="33">
        <f t="shared" ca="1" si="92"/>
        <v>1.0750544456720279E-2</v>
      </c>
      <c r="CL94" s="33">
        <f t="shared" ca="1" si="92"/>
        <v>9.3820758287947725E-3</v>
      </c>
      <c r="CM94" s="33">
        <f t="shared" ca="1" si="92"/>
        <v>1.3593447530317559E-2</v>
      </c>
      <c r="CN94" s="33">
        <f t="shared" ca="1" si="92"/>
        <v>1.1744084037527084E-2</v>
      </c>
      <c r="CO94" s="33">
        <f t="shared" ca="1" si="92"/>
        <v>1.1256101702749917E-2</v>
      </c>
      <c r="CP94" s="33">
        <f t="shared" ca="1" si="92"/>
        <v>1.2672543226578462E-2</v>
      </c>
      <c r="CQ94" s="33">
        <f t="shared" ca="1" si="92"/>
        <v>1.0400659925930353E-2</v>
      </c>
      <c r="CR94" s="33">
        <f t="shared" ca="1" si="92"/>
        <v>1.1856349388105706E-2</v>
      </c>
      <c r="CS94" s="33">
        <f t="shared" ca="1" si="92"/>
        <v>1.3463883015480202E-2</v>
      </c>
      <c r="CT94" s="33">
        <f t="shared" ca="1" si="92"/>
        <v>1.2518664002784056E-2</v>
      </c>
      <c r="CU94" s="33">
        <f t="shared" ca="1" si="93"/>
        <v>1.0278565395161346E-2</v>
      </c>
      <c r="CV94" s="33">
        <f t="shared" ca="1" si="93"/>
        <v>1.1452788333400113E-2</v>
      </c>
      <c r="CW94" s="33">
        <f t="shared" ca="1" si="93"/>
        <v>1.3057441486547194E-2</v>
      </c>
      <c r="CX94" s="33">
        <f t="shared" ca="1" si="93"/>
        <v>1.3882696417053338E-2</v>
      </c>
      <c r="CY94" s="33">
        <f t="shared" ca="1" si="93"/>
        <v>1.1445219080718855E-2</v>
      </c>
      <c r="CZ94" s="33">
        <f t="shared" ca="1" si="93"/>
        <v>1.0877334990065685E-2</v>
      </c>
      <c r="DA94" s="33">
        <f t="shared" ca="1" si="93"/>
        <v>1.1384491904357089E-2</v>
      </c>
      <c r="DB94" s="33">
        <f t="shared" ca="1" si="93"/>
        <v>1.2536893227064909E-2</v>
      </c>
      <c r="DC94" s="33">
        <f t="shared" ca="1" si="93"/>
        <v>8.8715934680395139E-3</v>
      </c>
      <c r="DD94" s="33">
        <f t="shared" ca="1" si="93"/>
        <v>1.4116208323978453E-2</v>
      </c>
      <c r="DE94" s="33">
        <f t="shared" ca="1" si="94"/>
        <v>1.076839828824417E-2</v>
      </c>
      <c r="DF94" s="33">
        <f t="shared" ca="1" si="94"/>
        <v>1.0099254725137029E-2</v>
      </c>
      <c r="DG94" s="33">
        <f t="shared" ca="1" si="94"/>
        <v>1.2078327097365407E-2</v>
      </c>
      <c r="DH94" s="33">
        <f t="shared" ca="1" si="94"/>
        <v>8.7178796884477654E-3</v>
      </c>
      <c r="DI94" s="33">
        <f t="shared" ca="1" si="94"/>
        <v>1.0635073997728735E-2</v>
      </c>
      <c r="DJ94" s="33">
        <f t="shared" ca="1" si="94"/>
        <v>9.4886607066948792E-3</v>
      </c>
      <c r="DK94" s="33">
        <f t="shared" ca="1" si="94"/>
        <v>1.3241217741178243E-2</v>
      </c>
      <c r="DL94" s="33">
        <f t="shared" ca="1" si="94"/>
        <v>8.4957727620194358E-3</v>
      </c>
      <c r="DM94" s="33">
        <f t="shared" ca="1" si="94"/>
        <v>1.1394141309104221E-2</v>
      </c>
      <c r="DN94" s="33">
        <f t="shared" ca="1" si="94"/>
        <v>1.4619097918370891E-2</v>
      </c>
      <c r="DO94" s="12"/>
      <c r="DP94" s="12"/>
      <c r="DQ94" s="12"/>
    </row>
    <row r="95" spans="9:121" x14ac:dyDescent="0.2">
      <c r="I95" s="32">
        <v>47300</v>
      </c>
      <c r="J95" s="33">
        <f t="shared" ca="1" si="73"/>
        <v>1.2345429443787035E-2</v>
      </c>
      <c r="K95" s="9">
        <v>3696.3706520831997</v>
      </c>
      <c r="L95" s="9">
        <f t="shared" ca="1" si="74"/>
        <v>388118.28871892416</v>
      </c>
      <c r="N95" s="6">
        <v>91</v>
      </c>
      <c r="O95" s="5">
        <v>3.9058040498791557</v>
      </c>
      <c r="P95" s="9">
        <v>689341.79151926725</v>
      </c>
      <c r="R95" s="32">
        <v>47300</v>
      </c>
      <c r="S95" s="33">
        <f t="shared" ref="S95:AB104" ca="1" si="95">_xlfn.NORM.INV(RAND(),$A$52,$B$45)</f>
        <v>1.1888984701168354E-2</v>
      </c>
      <c r="T95" s="33">
        <f t="shared" ca="1" si="95"/>
        <v>1.0191823088664877E-2</v>
      </c>
      <c r="U95" s="33">
        <f t="shared" ca="1" si="95"/>
        <v>1.3750739171674567E-2</v>
      </c>
      <c r="V95" s="33">
        <f t="shared" ca="1" si="95"/>
        <v>1.1007577505724045E-2</v>
      </c>
      <c r="W95" s="33">
        <f t="shared" ca="1" si="95"/>
        <v>1.2594765893314746E-2</v>
      </c>
      <c r="X95" s="33">
        <f t="shared" ca="1" si="95"/>
        <v>1.1606780568480532E-2</v>
      </c>
      <c r="Y95" s="33">
        <f t="shared" ca="1" si="95"/>
        <v>1.0507137898788451E-2</v>
      </c>
      <c r="Z95" s="33">
        <f t="shared" ca="1" si="95"/>
        <v>1.0613569940745343E-2</v>
      </c>
      <c r="AA95" s="33">
        <f t="shared" ca="1" si="95"/>
        <v>1.0502318170720367E-2</v>
      </c>
      <c r="AB95" s="33">
        <f t="shared" ca="1" si="95"/>
        <v>1.2056086002464987E-2</v>
      </c>
      <c r="AC95" s="33">
        <f t="shared" ref="AC95:AL104" ca="1" si="96">_xlfn.NORM.INV(RAND(),$A$52,$B$45)</f>
        <v>1.3585276350008989E-2</v>
      </c>
      <c r="AD95" s="33">
        <f t="shared" ca="1" si="96"/>
        <v>1.0337880916080275E-2</v>
      </c>
      <c r="AE95" s="33">
        <f t="shared" ca="1" si="96"/>
        <v>1.1219703252987776E-2</v>
      </c>
      <c r="AF95" s="33">
        <f t="shared" ca="1" si="96"/>
        <v>1.2093197894028185E-2</v>
      </c>
      <c r="AG95" s="33">
        <f t="shared" ca="1" si="96"/>
        <v>1.2298347597507009E-2</v>
      </c>
      <c r="AH95" s="33">
        <f t="shared" ca="1" si="96"/>
        <v>1.0005174866413571E-2</v>
      </c>
      <c r="AI95" s="33">
        <f t="shared" ca="1" si="96"/>
        <v>8.4158836922654887E-3</v>
      </c>
      <c r="AJ95" s="33">
        <f t="shared" ca="1" si="96"/>
        <v>1.0004198649391892E-2</v>
      </c>
      <c r="AK95" s="33">
        <f t="shared" ca="1" si="96"/>
        <v>9.6881192758978291E-3</v>
      </c>
      <c r="AL95" s="33">
        <f t="shared" ca="1" si="96"/>
        <v>1.1969071294642624E-2</v>
      </c>
      <c r="AM95" s="33">
        <f t="shared" ref="AM95:AV104" ca="1" si="97">_xlfn.NORM.INV(RAND(),$A$52,$B$45)</f>
        <v>1.1472532568926967E-2</v>
      </c>
      <c r="AN95" s="33">
        <f t="shared" ca="1" si="97"/>
        <v>1.3245696135772317E-2</v>
      </c>
      <c r="AO95" s="33">
        <f t="shared" ca="1" si="97"/>
        <v>1.0379100928155881E-2</v>
      </c>
      <c r="AP95" s="33">
        <f t="shared" ca="1" si="97"/>
        <v>1.2413337093586564E-2</v>
      </c>
      <c r="AQ95" s="33">
        <f t="shared" ca="1" si="97"/>
        <v>1.0255941526950208E-2</v>
      </c>
      <c r="AR95" s="33">
        <f t="shared" ca="1" si="97"/>
        <v>1.100288416650365E-2</v>
      </c>
      <c r="AS95" s="33">
        <f t="shared" ca="1" si="97"/>
        <v>1.3218362309167262E-2</v>
      </c>
      <c r="AT95" s="33">
        <f t="shared" ca="1" si="97"/>
        <v>8.6924464480105587E-3</v>
      </c>
      <c r="AU95" s="33">
        <f t="shared" ca="1" si="97"/>
        <v>1.1382855273298218E-2</v>
      </c>
      <c r="AV95" s="33">
        <f t="shared" ca="1" si="97"/>
        <v>1.1589720660521066E-2</v>
      </c>
      <c r="AW95" s="33">
        <f t="shared" ref="AW95:BF104" ca="1" si="98">_xlfn.NORM.INV(RAND(),$A$52,$B$45)</f>
        <v>1.0382294442764083E-2</v>
      </c>
      <c r="AX95" s="33">
        <f t="shared" ca="1" si="98"/>
        <v>8.9107921117988591E-3</v>
      </c>
      <c r="AY95" s="33">
        <f t="shared" ca="1" si="98"/>
        <v>1.3537457603162245E-2</v>
      </c>
      <c r="AZ95" s="33">
        <f t="shared" ca="1" si="98"/>
        <v>1.3283855482029506E-2</v>
      </c>
      <c r="BA95" s="33">
        <f t="shared" ca="1" si="98"/>
        <v>1.1513729793573126E-2</v>
      </c>
      <c r="BB95" s="33">
        <f t="shared" ca="1" si="98"/>
        <v>1.3156382039724392E-2</v>
      </c>
      <c r="BC95" s="33">
        <f t="shared" ca="1" si="98"/>
        <v>1.0342561392394976E-2</v>
      </c>
      <c r="BD95" s="33">
        <f t="shared" ca="1" si="98"/>
        <v>1.2285251674267639E-2</v>
      </c>
      <c r="BE95" s="33">
        <f t="shared" ca="1" si="98"/>
        <v>1.2130529625635007E-2</v>
      </c>
      <c r="BF95" s="33">
        <f t="shared" ca="1" si="98"/>
        <v>1.0332067615071714E-2</v>
      </c>
      <c r="BG95" s="33">
        <f t="shared" ref="BG95:BP104" ca="1" si="99">_xlfn.NORM.INV(RAND(),$A$52,$B$45)</f>
        <v>1.0879770655320984E-2</v>
      </c>
      <c r="BH95" s="33">
        <f t="shared" ca="1" si="99"/>
        <v>8.9867555717255028E-3</v>
      </c>
      <c r="BI95" s="33">
        <f t="shared" ca="1" si="99"/>
        <v>1.3870356547089733E-2</v>
      </c>
      <c r="BJ95" s="33">
        <f t="shared" ca="1" si="99"/>
        <v>1.3461892259290132E-2</v>
      </c>
      <c r="BK95" s="33">
        <f t="shared" ca="1" si="99"/>
        <v>1.1557114759540146E-2</v>
      </c>
      <c r="BL95" s="33">
        <f t="shared" ca="1" si="99"/>
        <v>1.0535174544776409E-2</v>
      </c>
      <c r="BM95" s="33">
        <f t="shared" ca="1" si="99"/>
        <v>1.4318985615654846E-2</v>
      </c>
      <c r="BN95" s="33">
        <f t="shared" ca="1" si="99"/>
        <v>1.1233320524038731E-2</v>
      </c>
      <c r="BO95" s="33">
        <f t="shared" ca="1" si="99"/>
        <v>1.1205103417564017E-2</v>
      </c>
      <c r="BP95" s="33">
        <f t="shared" ca="1" si="99"/>
        <v>1.3135258713842062E-2</v>
      </c>
      <c r="BQ95" s="33">
        <f t="shared" ref="BQ95:BZ104" ca="1" si="100">_xlfn.NORM.INV(RAND(),$A$52,$B$45)</f>
        <v>1.3516372733539218E-2</v>
      </c>
      <c r="BR95" s="33">
        <f t="shared" ca="1" si="100"/>
        <v>1.2572251674846375E-2</v>
      </c>
      <c r="BS95" s="33">
        <f t="shared" ca="1" si="100"/>
        <v>1.2266895853483634E-2</v>
      </c>
      <c r="BT95" s="33">
        <f t="shared" ca="1" si="100"/>
        <v>1.088786883504311E-2</v>
      </c>
      <c r="BU95" s="33">
        <f t="shared" ca="1" si="100"/>
        <v>1.0214666765120069E-2</v>
      </c>
      <c r="BV95" s="33">
        <f t="shared" ca="1" si="100"/>
        <v>1.1995661158087206E-2</v>
      </c>
      <c r="BW95" s="33">
        <f t="shared" ca="1" si="100"/>
        <v>8.3977527544642078E-3</v>
      </c>
      <c r="BX95" s="33">
        <f t="shared" ca="1" si="100"/>
        <v>1.2780749206487691E-2</v>
      </c>
      <c r="BY95" s="33">
        <f t="shared" ca="1" si="100"/>
        <v>9.8740057903553662E-3</v>
      </c>
      <c r="BZ95" s="33">
        <f t="shared" ca="1" si="100"/>
        <v>9.1627435317957577E-3</v>
      </c>
      <c r="CA95" s="33">
        <f t="shared" ref="CA95:CJ104" ca="1" si="101">_xlfn.NORM.INV(RAND(),$A$52,$B$45)</f>
        <v>1.2290925955691661E-2</v>
      </c>
      <c r="CB95" s="33">
        <f t="shared" ca="1" si="101"/>
        <v>1.2072130460592516E-2</v>
      </c>
      <c r="CC95" s="33">
        <f t="shared" ca="1" si="101"/>
        <v>9.5995661659623727E-3</v>
      </c>
      <c r="CD95" s="33">
        <f t="shared" ca="1" si="101"/>
        <v>1.0991697113439954E-2</v>
      </c>
      <c r="CE95" s="33">
        <f t="shared" ca="1" si="101"/>
        <v>1.0919806854309643E-2</v>
      </c>
      <c r="CF95" s="33">
        <f t="shared" ca="1" si="101"/>
        <v>1.1469407040150115E-2</v>
      </c>
      <c r="CG95" s="33">
        <f t="shared" ca="1" si="101"/>
        <v>1.2646300696758338E-2</v>
      </c>
      <c r="CH95" s="33">
        <f t="shared" ca="1" si="101"/>
        <v>1.2293311648961814E-2</v>
      </c>
      <c r="CI95" s="33">
        <f t="shared" ca="1" si="101"/>
        <v>1.2686093470296828E-2</v>
      </c>
      <c r="CJ95" s="33">
        <f t="shared" ca="1" si="101"/>
        <v>1.0688646245692799E-2</v>
      </c>
      <c r="CK95" s="33">
        <f t="shared" ref="CK95:CT104" ca="1" si="102">_xlfn.NORM.INV(RAND(),$A$52,$B$45)</f>
        <v>1.1870495389405392E-2</v>
      </c>
      <c r="CL95" s="33">
        <f t="shared" ca="1" si="102"/>
        <v>1.3763564481363767E-2</v>
      </c>
      <c r="CM95" s="33">
        <f t="shared" ca="1" si="102"/>
        <v>1.1532361501868501E-2</v>
      </c>
      <c r="CN95" s="33">
        <f t="shared" ca="1" si="102"/>
        <v>1.2537585554915708E-2</v>
      </c>
      <c r="CO95" s="33">
        <f t="shared" ca="1" si="102"/>
        <v>1.345038977447793E-2</v>
      </c>
      <c r="CP95" s="33">
        <f t="shared" ca="1" si="102"/>
        <v>1.0576075832209141E-2</v>
      </c>
      <c r="CQ95" s="33">
        <f t="shared" ca="1" si="102"/>
        <v>1.2194024697018795E-2</v>
      </c>
      <c r="CR95" s="33">
        <f t="shared" ca="1" si="102"/>
        <v>1.0650775289631867E-2</v>
      </c>
      <c r="CS95" s="33">
        <f t="shared" ca="1" si="102"/>
        <v>1.3320950783884497E-2</v>
      </c>
      <c r="CT95" s="33">
        <f t="shared" ca="1" si="102"/>
        <v>1.1633672081914882E-2</v>
      </c>
      <c r="CU95" s="33">
        <f t="shared" ref="CU95:DD104" ca="1" si="103">_xlfn.NORM.INV(RAND(),$A$52,$B$45)</f>
        <v>1.4981350197976634E-2</v>
      </c>
      <c r="CV95" s="33">
        <f t="shared" ca="1" si="103"/>
        <v>1.0400222032959561E-2</v>
      </c>
      <c r="CW95" s="33">
        <f t="shared" ca="1" si="103"/>
        <v>1.0340805767702951E-2</v>
      </c>
      <c r="CX95" s="33">
        <f t="shared" ca="1" si="103"/>
        <v>1.3959646908190973E-2</v>
      </c>
      <c r="CY95" s="33">
        <f t="shared" ca="1" si="103"/>
        <v>9.9905260213787022E-3</v>
      </c>
      <c r="CZ95" s="33">
        <f t="shared" ca="1" si="103"/>
        <v>1.374200108059352E-2</v>
      </c>
      <c r="DA95" s="33">
        <f t="shared" ca="1" si="103"/>
        <v>1.3032607154579863E-2</v>
      </c>
      <c r="DB95" s="33">
        <f t="shared" ca="1" si="103"/>
        <v>1.3785708750369666E-2</v>
      </c>
      <c r="DC95" s="33">
        <f t="shared" ca="1" si="103"/>
        <v>1.0920297676661462E-2</v>
      </c>
      <c r="DD95" s="33">
        <f t="shared" ca="1" si="103"/>
        <v>1.2888162155753549E-2</v>
      </c>
      <c r="DE95" s="33">
        <f t="shared" ref="DE95:DN104" ca="1" si="104">_xlfn.NORM.INV(RAND(),$A$52,$B$45)</f>
        <v>1.1763771030890345E-2</v>
      </c>
      <c r="DF95" s="33">
        <f t="shared" ca="1" si="104"/>
        <v>1.1248223768539053E-2</v>
      </c>
      <c r="DG95" s="33">
        <f t="shared" ca="1" si="104"/>
        <v>1.1121989085231569E-2</v>
      </c>
      <c r="DH95" s="33">
        <f t="shared" ca="1" si="104"/>
        <v>1.4199396676470426E-2</v>
      </c>
      <c r="DI95" s="33">
        <f t="shared" ca="1" si="104"/>
        <v>1.0264749764389224E-2</v>
      </c>
      <c r="DJ95" s="33">
        <f t="shared" ca="1" si="104"/>
        <v>1.1344510031430397E-2</v>
      </c>
      <c r="DK95" s="33">
        <f t="shared" ca="1" si="104"/>
        <v>1.1400728551679331E-2</v>
      </c>
      <c r="DL95" s="33">
        <f t="shared" ca="1" si="104"/>
        <v>1.3328117825276908E-2</v>
      </c>
      <c r="DM95" s="33">
        <f t="shared" ca="1" si="104"/>
        <v>9.6514637130054887E-3</v>
      </c>
      <c r="DN95" s="33">
        <f t="shared" ca="1" si="104"/>
        <v>1.2911048376146926E-2</v>
      </c>
      <c r="DO95" s="12"/>
      <c r="DP95" s="12"/>
      <c r="DQ95" s="12"/>
    </row>
    <row r="96" spans="9:121" x14ac:dyDescent="0.2">
      <c r="I96" s="32">
        <v>47331</v>
      </c>
      <c r="J96" s="33">
        <f t="shared" ca="1" si="73"/>
        <v>9.7789818054422016E-3</v>
      </c>
      <c r="K96" s="9">
        <v>3696.3706520831997</v>
      </c>
      <c r="L96" s="9">
        <f t="shared" ca="1" si="74"/>
        <v>395628.67927634867</v>
      </c>
      <c r="N96" s="6">
        <v>92</v>
      </c>
      <c r="O96" s="5">
        <v>3.8736701182499482</v>
      </c>
      <c r="P96" s="9">
        <v>675034.76290838711</v>
      </c>
      <c r="R96" s="32">
        <v>47331</v>
      </c>
      <c r="S96" s="33">
        <f t="shared" ca="1" si="95"/>
        <v>1.1345423948347613E-2</v>
      </c>
      <c r="T96" s="33">
        <f t="shared" ca="1" si="95"/>
        <v>1.3243518969923601E-2</v>
      </c>
      <c r="U96" s="33">
        <f t="shared" ca="1" si="95"/>
        <v>1.4177834807432281E-2</v>
      </c>
      <c r="V96" s="33">
        <f t="shared" ca="1" si="95"/>
        <v>1.2063266327770415E-2</v>
      </c>
      <c r="W96" s="33">
        <f t="shared" ca="1" si="95"/>
        <v>1.0105851595178877E-2</v>
      </c>
      <c r="X96" s="33">
        <f t="shared" ca="1" si="95"/>
        <v>9.6932062077760908E-3</v>
      </c>
      <c r="Y96" s="33">
        <f t="shared" ca="1" si="95"/>
        <v>7.5051840330502342E-3</v>
      </c>
      <c r="Z96" s="33">
        <f t="shared" ca="1" si="95"/>
        <v>9.0509412915133654E-3</v>
      </c>
      <c r="AA96" s="33">
        <f t="shared" ca="1" si="95"/>
        <v>1.2757667936105235E-2</v>
      </c>
      <c r="AB96" s="33">
        <f t="shared" ca="1" si="95"/>
        <v>1.0906548236594957E-2</v>
      </c>
      <c r="AC96" s="33">
        <f t="shared" ca="1" si="96"/>
        <v>1.0988667473606793E-2</v>
      </c>
      <c r="AD96" s="33">
        <f t="shared" ca="1" si="96"/>
        <v>1.2280988123491538E-2</v>
      </c>
      <c r="AE96" s="33">
        <f t="shared" ca="1" si="96"/>
        <v>1.536697148503271E-2</v>
      </c>
      <c r="AF96" s="33">
        <f t="shared" ca="1" si="96"/>
        <v>1.1255716436162E-2</v>
      </c>
      <c r="AG96" s="33">
        <f t="shared" ca="1" si="96"/>
        <v>1.0030175593105029E-2</v>
      </c>
      <c r="AH96" s="33">
        <f t="shared" ca="1" si="96"/>
        <v>1.1816744830895065E-2</v>
      </c>
      <c r="AI96" s="33">
        <f t="shared" ca="1" si="96"/>
        <v>1.1304518554211109E-2</v>
      </c>
      <c r="AJ96" s="33">
        <f t="shared" ca="1" si="96"/>
        <v>1.3182551154060281E-2</v>
      </c>
      <c r="AK96" s="33">
        <f t="shared" ca="1" si="96"/>
        <v>9.7712467071176552E-3</v>
      </c>
      <c r="AL96" s="33">
        <f t="shared" ca="1" si="96"/>
        <v>1.1435835534662925E-2</v>
      </c>
      <c r="AM96" s="33">
        <f t="shared" ca="1" si="97"/>
        <v>1.3519921087824646E-2</v>
      </c>
      <c r="AN96" s="33">
        <f t="shared" ca="1" si="97"/>
        <v>1.1907299080451994E-2</v>
      </c>
      <c r="AO96" s="33">
        <f t="shared" ca="1" si="97"/>
        <v>1.1330126003421679E-2</v>
      </c>
      <c r="AP96" s="33">
        <f t="shared" ca="1" si="97"/>
        <v>1.2476684977187099E-2</v>
      </c>
      <c r="AQ96" s="33">
        <f t="shared" ca="1" si="97"/>
        <v>1.1795837564818008E-2</v>
      </c>
      <c r="AR96" s="33">
        <f t="shared" ca="1" si="97"/>
        <v>1.2221084831306789E-2</v>
      </c>
      <c r="AS96" s="33">
        <f t="shared" ca="1" si="97"/>
        <v>1.0053998164157441E-2</v>
      </c>
      <c r="AT96" s="33">
        <f t="shared" ca="1" si="97"/>
        <v>1.0367312672011079E-2</v>
      </c>
      <c r="AU96" s="33">
        <f t="shared" ca="1" si="97"/>
        <v>1.2651230083866868E-2</v>
      </c>
      <c r="AV96" s="33">
        <f t="shared" ca="1" si="97"/>
        <v>1.3562773087368071E-2</v>
      </c>
      <c r="AW96" s="33">
        <f t="shared" ca="1" si="98"/>
        <v>1.3722341236627023E-2</v>
      </c>
      <c r="AX96" s="33">
        <f t="shared" ca="1" si="98"/>
        <v>1.2081435578147975E-2</v>
      </c>
      <c r="AY96" s="33">
        <f t="shared" ca="1" si="98"/>
        <v>1.1696882214242161E-2</v>
      </c>
      <c r="AZ96" s="33">
        <f t="shared" ca="1" si="98"/>
        <v>1.1158307622224724E-2</v>
      </c>
      <c r="BA96" s="33">
        <f t="shared" ca="1" si="98"/>
        <v>1.175173044557588E-2</v>
      </c>
      <c r="BB96" s="33">
        <f t="shared" ca="1" si="98"/>
        <v>9.4678079014179888E-3</v>
      </c>
      <c r="BC96" s="33">
        <f t="shared" ca="1" si="98"/>
        <v>1.1161217760718281E-2</v>
      </c>
      <c r="BD96" s="33">
        <f t="shared" ca="1" si="98"/>
        <v>1.0974965020967812E-2</v>
      </c>
      <c r="BE96" s="33">
        <f t="shared" ca="1" si="98"/>
        <v>7.2159649969997111E-3</v>
      </c>
      <c r="BF96" s="33">
        <f t="shared" ca="1" si="98"/>
        <v>1.0329952425695199E-2</v>
      </c>
      <c r="BG96" s="33">
        <f t="shared" ca="1" si="99"/>
        <v>1.0798355528901595E-2</v>
      </c>
      <c r="BH96" s="33">
        <f t="shared" ca="1" si="99"/>
        <v>1.1511322495661338E-2</v>
      </c>
      <c r="BI96" s="33">
        <f t="shared" ca="1" si="99"/>
        <v>1.0967164895723211E-2</v>
      </c>
      <c r="BJ96" s="33">
        <f t="shared" ca="1" si="99"/>
        <v>1.257460109089464E-2</v>
      </c>
      <c r="BK96" s="33">
        <f t="shared" ca="1" si="99"/>
        <v>1.0042823125375902E-2</v>
      </c>
      <c r="BL96" s="33">
        <f t="shared" ca="1" si="99"/>
        <v>1.117654797911056E-2</v>
      </c>
      <c r="BM96" s="33">
        <f t="shared" ca="1" si="99"/>
        <v>1.3523134685375781E-2</v>
      </c>
      <c r="BN96" s="33">
        <f t="shared" ca="1" si="99"/>
        <v>1.2365037640124046E-2</v>
      </c>
      <c r="BO96" s="33">
        <f t="shared" ca="1" si="99"/>
        <v>1.0412310106862874E-2</v>
      </c>
      <c r="BP96" s="33">
        <f t="shared" ca="1" si="99"/>
        <v>1.0904493728409698E-2</v>
      </c>
      <c r="BQ96" s="33">
        <f t="shared" ca="1" si="100"/>
        <v>1.2406868004744534E-2</v>
      </c>
      <c r="BR96" s="33">
        <f t="shared" ca="1" si="100"/>
        <v>9.9011826424888136E-3</v>
      </c>
      <c r="BS96" s="33">
        <f t="shared" ca="1" si="100"/>
        <v>1.1203677236222353E-2</v>
      </c>
      <c r="BT96" s="33">
        <f t="shared" ca="1" si="100"/>
        <v>1.0996345496419105E-2</v>
      </c>
      <c r="BU96" s="33">
        <f t="shared" ca="1" si="100"/>
        <v>1.1422644605586701E-2</v>
      </c>
      <c r="BV96" s="33">
        <f t="shared" ca="1" si="100"/>
        <v>1.2235181701666303E-2</v>
      </c>
      <c r="BW96" s="33">
        <f t="shared" ca="1" si="100"/>
        <v>1.116462203760642E-2</v>
      </c>
      <c r="BX96" s="33">
        <f t="shared" ca="1" si="100"/>
        <v>1.0801803271155073E-2</v>
      </c>
      <c r="BY96" s="33">
        <f t="shared" ca="1" si="100"/>
        <v>1.034064066284871E-2</v>
      </c>
      <c r="BZ96" s="33">
        <f t="shared" ca="1" si="100"/>
        <v>1.1766064398398692E-2</v>
      </c>
      <c r="CA96" s="33">
        <f t="shared" ca="1" si="101"/>
        <v>1.1373417004188905E-2</v>
      </c>
      <c r="CB96" s="33">
        <f t="shared" ca="1" si="101"/>
        <v>1.4267163201504736E-2</v>
      </c>
      <c r="CC96" s="33">
        <f t="shared" ca="1" si="101"/>
        <v>9.825891180170427E-3</v>
      </c>
      <c r="CD96" s="33">
        <f t="shared" ca="1" si="101"/>
        <v>1.360057742458747E-2</v>
      </c>
      <c r="CE96" s="33">
        <f t="shared" ca="1" si="101"/>
        <v>1.2257805100629862E-2</v>
      </c>
      <c r="CF96" s="33">
        <f t="shared" ca="1" si="101"/>
        <v>1.0430830532472655E-2</v>
      </c>
      <c r="CG96" s="33">
        <f t="shared" ca="1" si="101"/>
        <v>1.2051269465997605E-2</v>
      </c>
      <c r="CH96" s="33">
        <f t="shared" ca="1" si="101"/>
        <v>1.1688246894173009E-2</v>
      </c>
      <c r="CI96" s="33">
        <f t="shared" ca="1" si="101"/>
        <v>1.0360563579355579E-2</v>
      </c>
      <c r="CJ96" s="33">
        <f t="shared" ca="1" si="101"/>
        <v>1.3586902179457589E-2</v>
      </c>
      <c r="CK96" s="33">
        <f t="shared" ca="1" si="102"/>
        <v>1.2347650175557017E-2</v>
      </c>
      <c r="CL96" s="33">
        <f t="shared" ca="1" si="102"/>
        <v>1.0400596598635519E-2</v>
      </c>
      <c r="CM96" s="33">
        <f t="shared" ca="1" si="102"/>
        <v>1.2747006177385972E-2</v>
      </c>
      <c r="CN96" s="33">
        <f t="shared" ca="1" si="102"/>
        <v>1.200258058341854E-2</v>
      </c>
      <c r="CO96" s="33">
        <f t="shared" ca="1" si="102"/>
        <v>9.423299871860611E-3</v>
      </c>
      <c r="CP96" s="33">
        <f t="shared" ca="1" si="102"/>
        <v>1.2700891984522669E-2</v>
      </c>
      <c r="CQ96" s="33">
        <f t="shared" ca="1" si="102"/>
        <v>1.0087150820039312E-2</v>
      </c>
      <c r="CR96" s="33">
        <f t="shared" ca="1" si="102"/>
        <v>1.3402278050204249E-2</v>
      </c>
      <c r="CS96" s="33">
        <f t="shared" ca="1" si="102"/>
        <v>1.1580411985663182E-2</v>
      </c>
      <c r="CT96" s="33">
        <f t="shared" ca="1" si="102"/>
        <v>1.1341255256073688E-2</v>
      </c>
      <c r="CU96" s="33">
        <f t="shared" ca="1" si="103"/>
        <v>1.0995425883771566E-2</v>
      </c>
      <c r="CV96" s="33">
        <f t="shared" ca="1" si="103"/>
        <v>1.097371993060261E-2</v>
      </c>
      <c r="CW96" s="33">
        <f t="shared" ca="1" si="103"/>
        <v>1.2319851220190874E-2</v>
      </c>
      <c r="CX96" s="33">
        <f t="shared" ca="1" si="103"/>
        <v>1.0049441793607063E-2</v>
      </c>
      <c r="CY96" s="33">
        <f t="shared" ca="1" si="103"/>
        <v>1.1630945738704646E-2</v>
      </c>
      <c r="CZ96" s="33">
        <f t="shared" ca="1" si="103"/>
        <v>1.1553978514111043E-2</v>
      </c>
      <c r="DA96" s="33">
        <f t="shared" ca="1" si="103"/>
        <v>1.0288919025125907E-2</v>
      </c>
      <c r="DB96" s="33">
        <f t="shared" ca="1" si="103"/>
        <v>1.0087607748683024E-2</v>
      </c>
      <c r="DC96" s="33">
        <f t="shared" ca="1" si="103"/>
        <v>1.0433784280545571E-2</v>
      </c>
      <c r="DD96" s="33">
        <f t="shared" ca="1" si="103"/>
        <v>1.1768838273026036E-2</v>
      </c>
      <c r="DE96" s="33">
        <f t="shared" ca="1" si="104"/>
        <v>1.1939908226974662E-2</v>
      </c>
      <c r="DF96" s="33">
        <f t="shared" ca="1" si="104"/>
        <v>9.9244425349376449E-3</v>
      </c>
      <c r="DG96" s="33">
        <f t="shared" ca="1" si="104"/>
        <v>1.0031260368217778E-2</v>
      </c>
      <c r="DH96" s="33">
        <f t="shared" ca="1" si="104"/>
        <v>1.3422400821912048E-2</v>
      </c>
      <c r="DI96" s="33">
        <f t="shared" ca="1" si="104"/>
        <v>1.1166876936992403E-2</v>
      </c>
      <c r="DJ96" s="33">
        <f t="shared" ca="1" si="104"/>
        <v>1.0539867737641269E-2</v>
      </c>
      <c r="DK96" s="33">
        <f t="shared" ca="1" si="104"/>
        <v>1.0129129643104274E-2</v>
      </c>
      <c r="DL96" s="33">
        <f t="shared" ca="1" si="104"/>
        <v>1.163462894929944E-2</v>
      </c>
      <c r="DM96" s="33">
        <f t="shared" ca="1" si="104"/>
        <v>1.3119116922127295E-2</v>
      </c>
      <c r="DN96" s="33">
        <f t="shared" ca="1" si="104"/>
        <v>1.2799428687007825E-2</v>
      </c>
      <c r="DO96" s="12"/>
      <c r="DP96" s="12"/>
      <c r="DQ96" s="12"/>
    </row>
    <row r="97" spans="9:121" x14ac:dyDescent="0.2">
      <c r="I97" s="32">
        <v>47362</v>
      </c>
      <c r="J97" s="33">
        <f t="shared" ca="1" si="73"/>
        <v>1.0644231188958292E-2</v>
      </c>
      <c r="K97" s="9">
        <v>3696.3706520831997</v>
      </c>
      <c r="L97" s="9">
        <f t="shared" ca="1" si="74"/>
        <v>403558.70508519857</v>
      </c>
      <c r="N97" s="6">
        <v>93</v>
      </c>
      <c r="O97" s="5">
        <v>4.1472059286950129</v>
      </c>
      <c r="P97" s="9">
        <v>701332.7910458016</v>
      </c>
      <c r="R97" s="32">
        <v>47362</v>
      </c>
      <c r="S97" s="33">
        <f t="shared" ca="1" si="95"/>
        <v>1.366320249810501E-2</v>
      </c>
      <c r="T97" s="33">
        <f t="shared" ca="1" si="95"/>
        <v>1.0527585964267564E-2</v>
      </c>
      <c r="U97" s="33">
        <f t="shared" ca="1" si="95"/>
        <v>1.2118131010763766E-2</v>
      </c>
      <c r="V97" s="33">
        <f t="shared" ca="1" si="95"/>
        <v>1.0371117088656656E-2</v>
      </c>
      <c r="W97" s="33">
        <f t="shared" ca="1" si="95"/>
        <v>1.1166252604875044E-2</v>
      </c>
      <c r="X97" s="33">
        <f t="shared" ca="1" si="95"/>
        <v>1.2881313595554285E-2</v>
      </c>
      <c r="Y97" s="33">
        <f t="shared" ca="1" si="95"/>
        <v>1.0013448747838067E-2</v>
      </c>
      <c r="Z97" s="33">
        <f t="shared" ca="1" si="95"/>
        <v>1.1336742305531227E-2</v>
      </c>
      <c r="AA97" s="33">
        <f t="shared" ca="1" si="95"/>
        <v>1.126283780490853E-2</v>
      </c>
      <c r="AB97" s="33">
        <f t="shared" ca="1" si="95"/>
        <v>1.3321340250571684E-2</v>
      </c>
      <c r="AC97" s="33">
        <f t="shared" ca="1" si="96"/>
        <v>1.0254429931785713E-2</v>
      </c>
      <c r="AD97" s="33">
        <f t="shared" ca="1" si="96"/>
        <v>7.2199408411192387E-3</v>
      </c>
      <c r="AE97" s="33">
        <f t="shared" ca="1" si="96"/>
        <v>9.15546363377444E-3</v>
      </c>
      <c r="AF97" s="33">
        <f t="shared" ca="1" si="96"/>
        <v>1.1901466037704905E-2</v>
      </c>
      <c r="AG97" s="33">
        <f t="shared" ca="1" si="96"/>
        <v>1.13140059220589E-2</v>
      </c>
      <c r="AH97" s="33">
        <f t="shared" ca="1" si="96"/>
        <v>1.2778258597425216E-2</v>
      </c>
      <c r="AI97" s="33">
        <f t="shared" ca="1" si="96"/>
        <v>1.3444471203409086E-2</v>
      </c>
      <c r="AJ97" s="33">
        <f t="shared" ca="1" si="96"/>
        <v>1.3385128315577548E-2</v>
      </c>
      <c r="AK97" s="33">
        <f t="shared" ca="1" si="96"/>
        <v>1.1991764049907634E-2</v>
      </c>
      <c r="AL97" s="33">
        <f t="shared" ca="1" si="96"/>
        <v>1.1943247736098055E-2</v>
      </c>
      <c r="AM97" s="33">
        <f t="shared" ca="1" si="97"/>
        <v>1.2946278264788943E-2</v>
      </c>
      <c r="AN97" s="33">
        <f t="shared" ca="1" si="97"/>
        <v>8.9045645768568802E-3</v>
      </c>
      <c r="AO97" s="33">
        <f t="shared" ca="1" si="97"/>
        <v>1.4778559678389137E-2</v>
      </c>
      <c r="AP97" s="33">
        <f t="shared" ca="1" si="97"/>
        <v>1.1087709737108953E-2</v>
      </c>
      <c r="AQ97" s="33">
        <f t="shared" ca="1" si="97"/>
        <v>1.122488334824445E-2</v>
      </c>
      <c r="AR97" s="33">
        <f t="shared" ca="1" si="97"/>
        <v>1.4882319030481806E-2</v>
      </c>
      <c r="AS97" s="33">
        <f t="shared" ca="1" si="97"/>
        <v>1.1285583650831097E-2</v>
      </c>
      <c r="AT97" s="33">
        <f t="shared" ca="1" si="97"/>
        <v>1.2245187035754191E-2</v>
      </c>
      <c r="AU97" s="33">
        <f t="shared" ca="1" si="97"/>
        <v>9.6121989796081712E-3</v>
      </c>
      <c r="AV97" s="33">
        <f t="shared" ca="1" si="97"/>
        <v>1.2443343287821531E-2</v>
      </c>
      <c r="AW97" s="33">
        <f t="shared" ca="1" si="98"/>
        <v>1.1533794366722139E-2</v>
      </c>
      <c r="AX97" s="33">
        <f t="shared" ca="1" si="98"/>
        <v>1.2708943711339937E-2</v>
      </c>
      <c r="AY97" s="33">
        <f t="shared" ca="1" si="98"/>
        <v>1.2097100872628599E-2</v>
      </c>
      <c r="AZ97" s="33">
        <f t="shared" ca="1" si="98"/>
        <v>1.2427109799998505E-2</v>
      </c>
      <c r="BA97" s="33">
        <f t="shared" ca="1" si="98"/>
        <v>1.2089741264230883E-2</v>
      </c>
      <c r="BB97" s="33">
        <f t="shared" ca="1" si="98"/>
        <v>1.2984592505781455E-2</v>
      </c>
      <c r="BC97" s="33">
        <f t="shared" ca="1" si="98"/>
        <v>1.1309395212982264E-2</v>
      </c>
      <c r="BD97" s="33">
        <f t="shared" ca="1" si="98"/>
        <v>1.0419446332750163E-2</v>
      </c>
      <c r="BE97" s="33">
        <f t="shared" ca="1" si="98"/>
        <v>1.0787143584955824E-2</v>
      </c>
      <c r="BF97" s="33">
        <f t="shared" ca="1" si="98"/>
        <v>1.2918166001618443E-2</v>
      </c>
      <c r="BG97" s="33">
        <f t="shared" ca="1" si="99"/>
        <v>1.0639097507240904E-2</v>
      </c>
      <c r="BH97" s="33">
        <f t="shared" ca="1" si="99"/>
        <v>1.0398298905605509E-2</v>
      </c>
      <c r="BI97" s="33">
        <f t="shared" ca="1" si="99"/>
        <v>1.0778193855833316E-2</v>
      </c>
      <c r="BJ97" s="33">
        <f t="shared" ca="1" si="99"/>
        <v>1.1087448260653393E-2</v>
      </c>
      <c r="BK97" s="33">
        <f t="shared" ca="1" si="99"/>
        <v>9.6612747154891394E-3</v>
      </c>
      <c r="BL97" s="33">
        <f t="shared" ca="1" si="99"/>
        <v>1.1086637888170801E-2</v>
      </c>
      <c r="BM97" s="33">
        <f t="shared" ca="1" si="99"/>
        <v>1.145422676381634E-2</v>
      </c>
      <c r="BN97" s="33">
        <f t="shared" ca="1" si="99"/>
        <v>1.1224140292013532E-2</v>
      </c>
      <c r="BO97" s="33">
        <f t="shared" ca="1" si="99"/>
        <v>1.1764156277794433E-2</v>
      </c>
      <c r="BP97" s="33">
        <f t="shared" ca="1" si="99"/>
        <v>1.2203601557200858E-2</v>
      </c>
      <c r="BQ97" s="33">
        <f t="shared" ca="1" si="100"/>
        <v>9.5989441141715991E-3</v>
      </c>
      <c r="BR97" s="33">
        <f t="shared" ca="1" si="100"/>
        <v>1.2492211000715521E-2</v>
      </c>
      <c r="BS97" s="33">
        <f t="shared" ca="1" si="100"/>
        <v>1.2665296565869783E-2</v>
      </c>
      <c r="BT97" s="33">
        <f t="shared" ca="1" si="100"/>
        <v>1.1247308231844213E-2</v>
      </c>
      <c r="BU97" s="33">
        <f t="shared" ca="1" si="100"/>
        <v>9.9037052832731797E-3</v>
      </c>
      <c r="BV97" s="33">
        <f t="shared" ca="1" si="100"/>
        <v>1.0077932477314318E-2</v>
      </c>
      <c r="BW97" s="33">
        <f t="shared" ca="1" si="100"/>
        <v>9.3902438557659975E-3</v>
      </c>
      <c r="BX97" s="33">
        <f t="shared" ca="1" si="100"/>
        <v>1.2851529068479558E-2</v>
      </c>
      <c r="BY97" s="33">
        <f t="shared" ca="1" si="100"/>
        <v>1.1219581557436067E-2</v>
      </c>
      <c r="BZ97" s="33">
        <f t="shared" ca="1" si="100"/>
        <v>1.186875969203229E-2</v>
      </c>
      <c r="CA97" s="33">
        <f t="shared" ca="1" si="101"/>
        <v>1.3047697314925041E-2</v>
      </c>
      <c r="CB97" s="33">
        <f t="shared" ca="1" si="101"/>
        <v>9.9200557411802497E-3</v>
      </c>
      <c r="CC97" s="33">
        <f t="shared" ca="1" si="101"/>
        <v>1.2946690017924953E-2</v>
      </c>
      <c r="CD97" s="33">
        <f t="shared" ca="1" si="101"/>
        <v>1.2006962061868182E-2</v>
      </c>
      <c r="CE97" s="33">
        <f t="shared" ca="1" si="101"/>
        <v>1.0674475449651005E-2</v>
      </c>
      <c r="CF97" s="33">
        <f t="shared" ca="1" si="101"/>
        <v>1.1434036873908114E-2</v>
      </c>
      <c r="CG97" s="33">
        <f t="shared" ca="1" si="101"/>
        <v>1.2323529551257477E-2</v>
      </c>
      <c r="CH97" s="33">
        <f t="shared" ca="1" si="101"/>
        <v>1.4250317702504588E-2</v>
      </c>
      <c r="CI97" s="33">
        <f t="shared" ca="1" si="101"/>
        <v>1.3906859016072994E-2</v>
      </c>
      <c r="CJ97" s="33">
        <f t="shared" ca="1" si="101"/>
        <v>7.7243750523918134E-3</v>
      </c>
      <c r="CK97" s="33">
        <f t="shared" ca="1" si="102"/>
        <v>1.0884916163089529E-2</v>
      </c>
      <c r="CL97" s="33">
        <f t="shared" ca="1" si="102"/>
        <v>1.1258216977330404E-2</v>
      </c>
      <c r="CM97" s="33">
        <f t="shared" ca="1" si="102"/>
        <v>1.029619987317606E-2</v>
      </c>
      <c r="CN97" s="33">
        <f t="shared" ca="1" si="102"/>
        <v>1.11673972336849E-2</v>
      </c>
      <c r="CO97" s="33">
        <f t="shared" ca="1" si="102"/>
        <v>1.1242286785785347E-2</v>
      </c>
      <c r="CP97" s="33">
        <f t="shared" ca="1" si="102"/>
        <v>1.1478269854990732E-2</v>
      </c>
      <c r="CQ97" s="33">
        <f t="shared" ca="1" si="102"/>
        <v>1.1729407998918039E-2</v>
      </c>
      <c r="CR97" s="33">
        <f t="shared" ca="1" si="102"/>
        <v>1.5227746771480494E-2</v>
      </c>
      <c r="CS97" s="33">
        <f t="shared" ca="1" si="102"/>
        <v>1.0988711882894927E-2</v>
      </c>
      <c r="CT97" s="33">
        <f t="shared" ca="1" si="102"/>
        <v>1.1475875447424455E-2</v>
      </c>
      <c r="CU97" s="33">
        <f t="shared" ca="1" si="103"/>
        <v>1.1728640231631147E-2</v>
      </c>
      <c r="CV97" s="33">
        <f t="shared" ca="1" si="103"/>
        <v>1.2220044064973486E-2</v>
      </c>
      <c r="CW97" s="33">
        <f t="shared" ca="1" si="103"/>
        <v>1.267952509181999E-2</v>
      </c>
      <c r="CX97" s="33">
        <f t="shared" ca="1" si="103"/>
        <v>1.28925649452965E-2</v>
      </c>
      <c r="CY97" s="33">
        <f t="shared" ca="1" si="103"/>
        <v>1.2106301340917655E-2</v>
      </c>
      <c r="CZ97" s="33">
        <f t="shared" ca="1" si="103"/>
        <v>1.2750176054467273E-2</v>
      </c>
      <c r="DA97" s="33">
        <f t="shared" ca="1" si="103"/>
        <v>1.281130601505857E-2</v>
      </c>
      <c r="DB97" s="33">
        <f t="shared" ca="1" si="103"/>
        <v>1.1391915852955341E-2</v>
      </c>
      <c r="DC97" s="33">
        <f t="shared" ca="1" si="103"/>
        <v>1.2460394775817127E-2</v>
      </c>
      <c r="DD97" s="33">
        <f t="shared" ca="1" si="103"/>
        <v>1.0187044698096101E-2</v>
      </c>
      <c r="DE97" s="33">
        <f t="shared" ca="1" si="104"/>
        <v>1.098182807649515E-2</v>
      </c>
      <c r="DF97" s="33">
        <f t="shared" ca="1" si="104"/>
        <v>9.5536741236753528E-3</v>
      </c>
      <c r="DG97" s="33">
        <f t="shared" ca="1" si="104"/>
        <v>1.1237286031111161E-2</v>
      </c>
      <c r="DH97" s="33">
        <f t="shared" ca="1" si="104"/>
        <v>9.27776412405934E-3</v>
      </c>
      <c r="DI97" s="33">
        <f t="shared" ca="1" si="104"/>
        <v>1.0598234756795282E-2</v>
      </c>
      <c r="DJ97" s="33">
        <f t="shared" ca="1" si="104"/>
        <v>1.1730760218706586E-2</v>
      </c>
      <c r="DK97" s="33">
        <f t="shared" ca="1" si="104"/>
        <v>9.3615037162741634E-3</v>
      </c>
      <c r="DL97" s="33">
        <f t="shared" ca="1" si="104"/>
        <v>1.0516693591902156E-2</v>
      </c>
      <c r="DM97" s="33">
        <f t="shared" ca="1" si="104"/>
        <v>1.0303721237826649E-2</v>
      </c>
      <c r="DN97" s="33">
        <f t="shared" ca="1" si="104"/>
        <v>1.0094853851291432E-2</v>
      </c>
      <c r="DO97" s="12"/>
      <c r="DP97" s="12"/>
      <c r="DQ97" s="12"/>
    </row>
    <row r="98" spans="9:121" x14ac:dyDescent="0.2">
      <c r="I98" s="32">
        <v>47392</v>
      </c>
      <c r="J98" s="33">
        <f t="shared" ca="1" si="73"/>
        <v>9.3268467383917329E-3</v>
      </c>
      <c r="K98" s="9">
        <v>3696.3706520831997</v>
      </c>
      <c r="L98" s="9">
        <f t="shared" ca="1" si="74"/>
        <v>411036.61342781346</v>
      </c>
      <c r="N98" s="6">
        <v>94</v>
      </c>
      <c r="O98" s="5">
        <v>4.0051807219096967</v>
      </c>
      <c r="P98" s="9">
        <v>689532.1379369616</v>
      </c>
      <c r="R98" s="32">
        <v>47392</v>
      </c>
      <c r="S98" s="33">
        <f t="shared" ca="1" si="95"/>
        <v>1.2816647653848349E-2</v>
      </c>
      <c r="T98" s="33">
        <f t="shared" ca="1" si="95"/>
        <v>1.1672519691333056E-2</v>
      </c>
      <c r="U98" s="33">
        <f t="shared" ca="1" si="95"/>
        <v>1.1529517440660983E-2</v>
      </c>
      <c r="V98" s="33">
        <f t="shared" ca="1" si="95"/>
        <v>1.0820302986245593E-2</v>
      </c>
      <c r="W98" s="33">
        <f t="shared" ca="1" si="95"/>
        <v>1.3700448478885447E-2</v>
      </c>
      <c r="X98" s="33">
        <f t="shared" ca="1" si="95"/>
        <v>1.1987087236662544E-2</v>
      </c>
      <c r="Y98" s="33">
        <f t="shared" ca="1" si="95"/>
        <v>1.3232007407384189E-2</v>
      </c>
      <c r="Z98" s="33">
        <f t="shared" ca="1" si="95"/>
        <v>1.0829487843704681E-2</v>
      </c>
      <c r="AA98" s="33">
        <f t="shared" ca="1" si="95"/>
        <v>1.008214900355189E-2</v>
      </c>
      <c r="AB98" s="33">
        <f t="shared" ca="1" si="95"/>
        <v>1.0632030894854259E-2</v>
      </c>
      <c r="AC98" s="33">
        <f t="shared" ca="1" si="96"/>
        <v>1.0905510915571903E-2</v>
      </c>
      <c r="AD98" s="33">
        <f t="shared" ca="1" si="96"/>
        <v>1.1117967702299022E-2</v>
      </c>
      <c r="AE98" s="33">
        <f t="shared" ca="1" si="96"/>
        <v>1.2523017493383255E-2</v>
      </c>
      <c r="AF98" s="33">
        <f t="shared" ca="1" si="96"/>
        <v>1.2863145056724463E-2</v>
      </c>
      <c r="AG98" s="33">
        <f t="shared" ca="1" si="96"/>
        <v>1.1870767927022068E-2</v>
      </c>
      <c r="AH98" s="33">
        <f t="shared" ca="1" si="96"/>
        <v>1.0892727308707337E-2</v>
      </c>
      <c r="AI98" s="33">
        <f t="shared" ca="1" si="96"/>
        <v>1.2099026404025746E-2</v>
      </c>
      <c r="AJ98" s="33">
        <f t="shared" ca="1" si="96"/>
        <v>1.1768758934414826E-2</v>
      </c>
      <c r="AK98" s="33">
        <f t="shared" ca="1" si="96"/>
        <v>9.7544569742977205E-3</v>
      </c>
      <c r="AL98" s="33">
        <f t="shared" ca="1" si="96"/>
        <v>1.0411909393120374E-2</v>
      </c>
      <c r="AM98" s="33">
        <f t="shared" ca="1" si="97"/>
        <v>8.070401123426392E-3</v>
      </c>
      <c r="AN98" s="33">
        <f t="shared" ca="1" si="97"/>
        <v>1.1127009908900372E-2</v>
      </c>
      <c r="AO98" s="33">
        <f t="shared" ca="1" si="97"/>
        <v>1.078887688430407E-2</v>
      </c>
      <c r="AP98" s="33">
        <f t="shared" ca="1" si="97"/>
        <v>1.1350293022262956E-2</v>
      </c>
      <c r="AQ98" s="33">
        <f t="shared" ca="1" si="97"/>
        <v>1.2816697615109434E-2</v>
      </c>
      <c r="AR98" s="33">
        <f t="shared" ca="1" si="97"/>
        <v>1.2852578622814496E-2</v>
      </c>
      <c r="AS98" s="33">
        <f t="shared" ca="1" si="97"/>
        <v>1.0582259702547498E-2</v>
      </c>
      <c r="AT98" s="33">
        <f t="shared" ca="1" si="97"/>
        <v>1.1411639641094637E-2</v>
      </c>
      <c r="AU98" s="33">
        <f t="shared" ca="1" si="97"/>
        <v>9.0388035780279239E-3</v>
      </c>
      <c r="AV98" s="33">
        <f t="shared" ca="1" si="97"/>
        <v>9.7554937848766954E-3</v>
      </c>
      <c r="AW98" s="33">
        <f t="shared" ca="1" si="98"/>
        <v>1.1045068468035974E-2</v>
      </c>
      <c r="AX98" s="33">
        <f t="shared" ca="1" si="98"/>
        <v>9.4121426860484247E-3</v>
      </c>
      <c r="AY98" s="33">
        <f t="shared" ca="1" si="98"/>
        <v>1.1872145584941979E-2</v>
      </c>
      <c r="AZ98" s="33">
        <f t="shared" ca="1" si="98"/>
        <v>1.0823281152482152E-2</v>
      </c>
      <c r="BA98" s="33">
        <f t="shared" ca="1" si="98"/>
        <v>1.1480638067451863E-2</v>
      </c>
      <c r="BB98" s="33">
        <f t="shared" ca="1" si="98"/>
        <v>1.2981330552837449E-2</v>
      </c>
      <c r="BC98" s="33">
        <f t="shared" ca="1" si="98"/>
        <v>1.0942575229070167E-2</v>
      </c>
      <c r="BD98" s="33">
        <f t="shared" ca="1" si="98"/>
        <v>9.9545483090157684E-3</v>
      </c>
      <c r="BE98" s="33">
        <f t="shared" ca="1" si="98"/>
        <v>1.1129048266663158E-2</v>
      </c>
      <c r="BF98" s="33">
        <f t="shared" ca="1" si="98"/>
        <v>1.0368004260998619E-2</v>
      </c>
      <c r="BG98" s="33">
        <f t="shared" ca="1" si="99"/>
        <v>1.1277868258368282E-2</v>
      </c>
      <c r="BH98" s="33">
        <f t="shared" ca="1" si="99"/>
        <v>9.8953261772470151E-3</v>
      </c>
      <c r="BI98" s="33">
        <f t="shared" ca="1" si="99"/>
        <v>1.1635818901630433E-2</v>
      </c>
      <c r="BJ98" s="33">
        <f t="shared" ca="1" si="99"/>
        <v>1.073330462994616E-2</v>
      </c>
      <c r="BK98" s="33">
        <f t="shared" ca="1" si="99"/>
        <v>1.429301089416863E-2</v>
      </c>
      <c r="BL98" s="33">
        <f t="shared" ca="1" si="99"/>
        <v>1.3986578477998711E-2</v>
      </c>
      <c r="BM98" s="33">
        <f t="shared" ca="1" si="99"/>
        <v>9.8949920577884373E-3</v>
      </c>
      <c r="BN98" s="33">
        <f t="shared" ca="1" si="99"/>
        <v>1.1190243962654296E-2</v>
      </c>
      <c r="BO98" s="33">
        <f t="shared" ca="1" si="99"/>
        <v>9.3801265282365386E-3</v>
      </c>
      <c r="BP98" s="33">
        <f t="shared" ca="1" si="99"/>
        <v>1.0459920289243882E-2</v>
      </c>
      <c r="BQ98" s="33">
        <f t="shared" ca="1" si="100"/>
        <v>1.0902429643203818E-2</v>
      </c>
      <c r="BR98" s="33">
        <f t="shared" ca="1" si="100"/>
        <v>1.0768323639557896E-2</v>
      </c>
      <c r="BS98" s="33">
        <f t="shared" ca="1" si="100"/>
        <v>8.1813388676214155E-3</v>
      </c>
      <c r="BT98" s="33">
        <f t="shared" ca="1" si="100"/>
        <v>1.028837759780081E-2</v>
      </c>
      <c r="BU98" s="33">
        <f t="shared" ca="1" si="100"/>
        <v>1.1332991630169695E-2</v>
      </c>
      <c r="BV98" s="33">
        <f t="shared" ca="1" si="100"/>
        <v>9.7359826674844711E-3</v>
      </c>
      <c r="BW98" s="33">
        <f t="shared" ca="1" si="100"/>
        <v>9.2869808911434579E-3</v>
      </c>
      <c r="BX98" s="33">
        <f t="shared" ca="1" si="100"/>
        <v>1.2063718625400033E-2</v>
      </c>
      <c r="BY98" s="33">
        <f t="shared" ca="1" si="100"/>
        <v>1.240966293534056E-2</v>
      </c>
      <c r="BZ98" s="33">
        <f t="shared" ca="1" si="100"/>
        <v>1.3124359509170196E-2</v>
      </c>
      <c r="CA98" s="33">
        <f t="shared" ca="1" si="101"/>
        <v>1.1253700727403417E-2</v>
      </c>
      <c r="CB98" s="33">
        <f t="shared" ca="1" si="101"/>
        <v>1.1418152034870174E-2</v>
      </c>
      <c r="CC98" s="33">
        <f t="shared" ca="1" si="101"/>
        <v>1.0583574675984437E-2</v>
      </c>
      <c r="CD98" s="33">
        <f t="shared" ca="1" si="101"/>
        <v>9.4480307964175045E-3</v>
      </c>
      <c r="CE98" s="33">
        <f t="shared" ca="1" si="101"/>
        <v>1.1483924611355584E-2</v>
      </c>
      <c r="CF98" s="33">
        <f t="shared" ca="1" si="101"/>
        <v>8.5065085319857917E-3</v>
      </c>
      <c r="CG98" s="33">
        <f t="shared" ca="1" si="101"/>
        <v>1.2614086916645822E-2</v>
      </c>
      <c r="CH98" s="33">
        <f t="shared" ca="1" si="101"/>
        <v>8.6181812305251779E-3</v>
      </c>
      <c r="CI98" s="33">
        <f t="shared" ca="1" si="101"/>
        <v>1.2591344827651747E-2</v>
      </c>
      <c r="CJ98" s="33">
        <f t="shared" ca="1" si="101"/>
        <v>1.1852152101581779E-2</v>
      </c>
      <c r="CK98" s="33">
        <f t="shared" ca="1" si="102"/>
        <v>1.2161455220578953E-2</v>
      </c>
      <c r="CL98" s="33">
        <f t="shared" ca="1" si="102"/>
        <v>1.324129324659206E-2</v>
      </c>
      <c r="CM98" s="33">
        <f t="shared" ca="1" si="102"/>
        <v>1.1556549017152157E-2</v>
      </c>
      <c r="CN98" s="33">
        <f t="shared" ca="1" si="102"/>
        <v>1.4660374253019118E-2</v>
      </c>
      <c r="CO98" s="33">
        <f t="shared" ca="1" si="102"/>
        <v>1.3192054447697459E-2</v>
      </c>
      <c r="CP98" s="33">
        <f t="shared" ca="1" si="102"/>
        <v>1.1520933046281167E-2</v>
      </c>
      <c r="CQ98" s="33">
        <f t="shared" ca="1" si="102"/>
        <v>1.2548417995937661E-2</v>
      </c>
      <c r="CR98" s="33">
        <f t="shared" ca="1" si="102"/>
        <v>1.0023159834431672E-2</v>
      </c>
      <c r="CS98" s="33">
        <f t="shared" ca="1" si="102"/>
        <v>1.1960389521864779E-2</v>
      </c>
      <c r="CT98" s="33">
        <f t="shared" ca="1" si="102"/>
        <v>1.0566840218908854E-2</v>
      </c>
      <c r="CU98" s="33">
        <f t="shared" ca="1" si="103"/>
        <v>1.3276039799701531E-2</v>
      </c>
      <c r="CV98" s="33">
        <f t="shared" ca="1" si="103"/>
        <v>1.0400419273042069E-2</v>
      </c>
      <c r="CW98" s="33">
        <f t="shared" ca="1" si="103"/>
        <v>1.1572638068379149E-2</v>
      </c>
      <c r="CX98" s="33">
        <f t="shared" ca="1" si="103"/>
        <v>1.1479086458329244E-2</v>
      </c>
      <c r="CY98" s="33">
        <f t="shared" ca="1" si="103"/>
        <v>1.2118524212368595E-2</v>
      </c>
      <c r="CZ98" s="33">
        <f t="shared" ca="1" si="103"/>
        <v>1.314364325183421E-2</v>
      </c>
      <c r="DA98" s="33">
        <f t="shared" ca="1" si="103"/>
        <v>1.0804023912027559E-2</v>
      </c>
      <c r="DB98" s="33">
        <f t="shared" ca="1" si="103"/>
        <v>8.4807333827165363E-3</v>
      </c>
      <c r="DC98" s="33">
        <f t="shared" ca="1" si="103"/>
        <v>1.2532853842441983E-2</v>
      </c>
      <c r="DD98" s="33">
        <f t="shared" ca="1" si="103"/>
        <v>1.350934499630395E-2</v>
      </c>
      <c r="DE98" s="33">
        <f t="shared" ca="1" si="104"/>
        <v>1.1447491247078542E-2</v>
      </c>
      <c r="DF98" s="33">
        <f t="shared" ca="1" si="104"/>
        <v>9.1713906979303938E-3</v>
      </c>
      <c r="DG98" s="33">
        <f t="shared" ca="1" si="104"/>
        <v>1.0592390827166311E-2</v>
      </c>
      <c r="DH98" s="33">
        <f t="shared" ca="1" si="104"/>
        <v>1.012965856349746E-2</v>
      </c>
      <c r="DI98" s="33">
        <f t="shared" ca="1" si="104"/>
        <v>1.1776430466092086E-2</v>
      </c>
      <c r="DJ98" s="33">
        <f t="shared" ca="1" si="104"/>
        <v>1.3351281501384087E-2</v>
      </c>
      <c r="DK98" s="33">
        <f t="shared" ca="1" si="104"/>
        <v>1.5290537588870137E-2</v>
      </c>
      <c r="DL98" s="33">
        <f t="shared" ca="1" si="104"/>
        <v>8.8744376248654031E-3</v>
      </c>
      <c r="DM98" s="33">
        <f t="shared" ca="1" si="104"/>
        <v>1.0688656171546214E-2</v>
      </c>
      <c r="DN98" s="33">
        <f t="shared" ca="1" si="104"/>
        <v>1.166421473192121E-2</v>
      </c>
      <c r="DO98" s="12"/>
      <c r="DP98" s="12"/>
      <c r="DQ98" s="12"/>
    </row>
    <row r="99" spans="9:121" x14ac:dyDescent="0.2">
      <c r="I99" s="32">
        <v>47423</v>
      </c>
      <c r="J99" s="33">
        <f t="shared" ca="1" si="73"/>
        <v>1.2260515826553891E-2</v>
      </c>
      <c r="K99" s="9">
        <v>3696.3706520831997</v>
      </c>
      <c r="L99" s="9">
        <f t="shared" ca="1" si="74"/>
        <v>419803.52519197419</v>
      </c>
      <c r="N99" s="6">
        <v>95</v>
      </c>
      <c r="O99" s="5">
        <v>3.8237056547803521</v>
      </c>
      <c r="P99" s="9">
        <v>672974.43026004045</v>
      </c>
      <c r="R99" s="32">
        <v>47423</v>
      </c>
      <c r="S99" s="33">
        <f t="shared" ca="1" si="95"/>
        <v>1.1032970498502067E-2</v>
      </c>
      <c r="T99" s="33">
        <f t="shared" ca="1" si="95"/>
        <v>1.2171991455655985E-2</v>
      </c>
      <c r="U99" s="33">
        <f t="shared" ca="1" si="95"/>
        <v>9.9058629676401066E-3</v>
      </c>
      <c r="V99" s="33">
        <f t="shared" ca="1" si="95"/>
        <v>9.5386642964330696E-3</v>
      </c>
      <c r="W99" s="33">
        <f t="shared" ca="1" si="95"/>
        <v>1.2199760497526356E-2</v>
      </c>
      <c r="X99" s="33">
        <f t="shared" ca="1" si="95"/>
        <v>1.0162565699490067E-2</v>
      </c>
      <c r="Y99" s="33">
        <f t="shared" ca="1" si="95"/>
        <v>1.0573835227639628E-2</v>
      </c>
      <c r="Z99" s="33">
        <f t="shared" ca="1" si="95"/>
        <v>1.3653343870417204E-2</v>
      </c>
      <c r="AA99" s="33">
        <f t="shared" ca="1" si="95"/>
        <v>1.0614914240463302E-2</v>
      </c>
      <c r="AB99" s="33">
        <f t="shared" ca="1" si="95"/>
        <v>1.2274017606187623E-2</v>
      </c>
      <c r="AC99" s="33">
        <f t="shared" ca="1" si="96"/>
        <v>1.2026301969299793E-2</v>
      </c>
      <c r="AD99" s="33">
        <f t="shared" ca="1" si="96"/>
        <v>1.1122894416692961E-2</v>
      </c>
      <c r="AE99" s="33">
        <f t="shared" ca="1" si="96"/>
        <v>1.0580699226154169E-2</v>
      </c>
      <c r="AF99" s="33">
        <f t="shared" ca="1" si="96"/>
        <v>1.2408101807221931E-2</v>
      </c>
      <c r="AG99" s="33">
        <f t="shared" ca="1" si="96"/>
        <v>1.20672603562252E-2</v>
      </c>
      <c r="AH99" s="33">
        <f t="shared" ca="1" si="96"/>
        <v>1.3208517361249578E-2</v>
      </c>
      <c r="AI99" s="33">
        <f t="shared" ca="1" si="96"/>
        <v>1.0293752555103692E-2</v>
      </c>
      <c r="AJ99" s="33">
        <f t="shared" ca="1" si="96"/>
        <v>1.0606396486893876E-2</v>
      </c>
      <c r="AK99" s="33">
        <f t="shared" ca="1" si="96"/>
        <v>1.1683794311176353E-2</v>
      </c>
      <c r="AL99" s="33">
        <f t="shared" ca="1" si="96"/>
        <v>1.2751922562784446E-2</v>
      </c>
      <c r="AM99" s="33">
        <f t="shared" ca="1" si="97"/>
        <v>8.8117217275243964E-3</v>
      </c>
      <c r="AN99" s="33">
        <f t="shared" ca="1" si="97"/>
        <v>1.0587947362091862E-2</v>
      </c>
      <c r="AO99" s="33">
        <f t="shared" ca="1" si="97"/>
        <v>1.2305206457432858E-2</v>
      </c>
      <c r="AP99" s="33">
        <f t="shared" ca="1" si="97"/>
        <v>1.1697786296491233E-2</v>
      </c>
      <c r="AQ99" s="33">
        <f t="shared" ca="1" si="97"/>
        <v>1.2102428321966979E-2</v>
      </c>
      <c r="AR99" s="33">
        <f t="shared" ca="1" si="97"/>
        <v>7.6209546053139267E-3</v>
      </c>
      <c r="AS99" s="33">
        <f t="shared" ca="1" si="97"/>
        <v>1.0709886005011774E-2</v>
      </c>
      <c r="AT99" s="33">
        <f t="shared" ca="1" si="97"/>
        <v>1.0786606058253219E-2</v>
      </c>
      <c r="AU99" s="33">
        <f t="shared" ca="1" si="97"/>
        <v>1.0942206801070612E-2</v>
      </c>
      <c r="AV99" s="33">
        <f t="shared" ca="1" si="97"/>
        <v>1.3040898243850348E-2</v>
      </c>
      <c r="AW99" s="33">
        <f t="shared" ca="1" si="98"/>
        <v>9.6663916703503255E-3</v>
      </c>
      <c r="AX99" s="33">
        <f t="shared" ca="1" si="98"/>
        <v>9.3007746657618098E-3</v>
      </c>
      <c r="AY99" s="33">
        <f t="shared" ca="1" si="98"/>
        <v>1.1805896912733458E-2</v>
      </c>
      <c r="AZ99" s="33">
        <f t="shared" ca="1" si="98"/>
        <v>9.5570779947150644E-3</v>
      </c>
      <c r="BA99" s="33">
        <f t="shared" ca="1" si="98"/>
        <v>1.0890772520073784E-2</v>
      </c>
      <c r="BB99" s="33">
        <f t="shared" ca="1" si="98"/>
        <v>1.1827489009104651E-2</v>
      </c>
      <c r="BC99" s="33">
        <f t="shared" ca="1" si="98"/>
        <v>1.3370437349118757E-2</v>
      </c>
      <c r="BD99" s="33">
        <f t="shared" ca="1" si="98"/>
        <v>1.3936369475582818E-2</v>
      </c>
      <c r="BE99" s="33">
        <f t="shared" ca="1" si="98"/>
        <v>1.2384281415440368E-2</v>
      </c>
      <c r="BF99" s="33">
        <f t="shared" ca="1" si="98"/>
        <v>1.0838816299710135E-2</v>
      </c>
      <c r="BG99" s="33">
        <f t="shared" ca="1" si="99"/>
        <v>1.1057831368795885E-2</v>
      </c>
      <c r="BH99" s="33">
        <f t="shared" ca="1" si="99"/>
        <v>1.1339163836501345E-2</v>
      </c>
      <c r="BI99" s="33">
        <f t="shared" ca="1" si="99"/>
        <v>1.086522895585957E-2</v>
      </c>
      <c r="BJ99" s="33">
        <f t="shared" ca="1" si="99"/>
        <v>8.8943844123609041E-3</v>
      </c>
      <c r="BK99" s="33">
        <f t="shared" ca="1" si="99"/>
        <v>1.2170235682269794E-2</v>
      </c>
      <c r="BL99" s="33">
        <f t="shared" ca="1" si="99"/>
        <v>1.1170736250322288E-2</v>
      </c>
      <c r="BM99" s="33">
        <f t="shared" ca="1" si="99"/>
        <v>9.5568911162133251E-3</v>
      </c>
      <c r="BN99" s="33">
        <f t="shared" ca="1" si="99"/>
        <v>1.2982709930592657E-2</v>
      </c>
      <c r="BO99" s="33">
        <f t="shared" ca="1" si="99"/>
        <v>1.2472922100226774E-2</v>
      </c>
      <c r="BP99" s="33">
        <f t="shared" ca="1" si="99"/>
        <v>1.0562831256206148E-2</v>
      </c>
      <c r="BQ99" s="33">
        <f t="shared" ca="1" si="100"/>
        <v>1.1117924857689504E-2</v>
      </c>
      <c r="BR99" s="33">
        <f t="shared" ca="1" si="100"/>
        <v>1.3215782362580251E-2</v>
      </c>
      <c r="BS99" s="33">
        <f t="shared" ca="1" si="100"/>
        <v>1.130684367817199E-2</v>
      </c>
      <c r="BT99" s="33">
        <f t="shared" ca="1" si="100"/>
        <v>1.2834133000735586E-2</v>
      </c>
      <c r="BU99" s="33">
        <f t="shared" ca="1" si="100"/>
        <v>1.1332029322115021E-2</v>
      </c>
      <c r="BV99" s="33">
        <f t="shared" ca="1" si="100"/>
        <v>1.0696643093296061E-2</v>
      </c>
      <c r="BW99" s="33">
        <f t="shared" ca="1" si="100"/>
        <v>1.0648721806007148E-2</v>
      </c>
      <c r="BX99" s="33">
        <f t="shared" ca="1" si="100"/>
        <v>1.0548411368447422E-2</v>
      </c>
      <c r="BY99" s="33">
        <f t="shared" ca="1" si="100"/>
        <v>1.2097231250123965E-2</v>
      </c>
      <c r="BZ99" s="33">
        <f t="shared" ca="1" si="100"/>
        <v>1.2112997317882346E-2</v>
      </c>
      <c r="CA99" s="33">
        <f t="shared" ca="1" si="101"/>
        <v>1.1239737211254089E-2</v>
      </c>
      <c r="CB99" s="33">
        <f t="shared" ca="1" si="101"/>
        <v>1.20466343128494E-2</v>
      </c>
      <c r="CC99" s="33">
        <f t="shared" ca="1" si="101"/>
        <v>1.0891234976352131E-2</v>
      </c>
      <c r="CD99" s="33">
        <f t="shared" ca="1" si="101"/>
        <v>1.1433710248915785E-2</v>
      </c>
      <c r="CE99" s="33">
        <f t="shared" ca="1" si="101"/>
        <v>1.1013657517559139E-2</v>
      </c>
      <c r="CF99" s="33">
        <f t="shared" ca="1" si="101"/>
        <v>1.0924642710849515E-2</v>
      </c>
      <c r="CG99" s="33">
        <f t="shared" ca="1" si="101"/>
        <v>1.0668687922635754E-2</v>
      </c>
      <c r="CH99" s="33">
        <f t="shared" ca="1" si="101"/>
        <v>1.2323539356548676E-2</v>
      </c>
      <c r="CI99" s="33">
        <f t="shared" ca="1" si="101"/>
        <v>1.2063404234675779E-2</v>
      </c>
      <c r="CJ99" s="33">
        <f t="shared" ca="1" si="101"/>
        <v>1.2017340671517303E-2</v>
      </c>
      <c r="CK99" s="33">
        <f t="shared" ca="1" si="102"/>
        <v>1.4002399673965084E-2</v>
      </c>
      <c r="CL99" s="33">
        <f t="shared" ca="1" si="102"/>
        <v>9.2726047136451727E-3</v>
      </c>
      <c r="CM99" s="33">
        <f t="shared" ca="1" si="102"/>
        <v>1.1498227058470097E-2</v>
      </c>
      <c r="CN99" s="33">
        <f t="shared" ca="1" si="102"/>
        <v>1.3987040316816218E-2</v>
      </c>
      <c r="CO99" s="33">
        <f t="shared" ca="1" si="102"/>
        <v>1.1348472283422274E-2</v>
      </c>
      <c r="CP99" s="33">
        <f t="shared" ca="1" si="102"/>
        <v>1.0068218603719988E-2</v>
      </c>
      <c r="CQ99" s="33">
        <f t="shared" ca="1" si="102"/>
        <v>1.1012371669081795E-2</v>
      </c>
      <c r="CR99" s="33">
        <f t="shared" ca="1" si="102"/>
        <v>1.1093805767357068E-2</v>
      </c>
      <c r="CS99" s="33">
        <f t="shared" ca="1" si="102"/>
        <v>9.7714391686659682E-3</v>
      </c>
      <c r="CT99" s="33">
        <f t="shared" ca="1" si="102"/>
        <v>1.154020004828378E-2</v>
      </c>
      <c r="CU99" s="33">
        <f t="shared" ca="1" si="103"/>
        <v>9.0665878023924937E-3</v>
      </c>
      <c r="CV99" s="33">
        <f t="shared" ca="1" si="103"/>
        <v>1.1405430439824662E-2</v>
      </c>
      <c r="CW99" s="33">
        <f t="shared" ca="1" si="103"/>
        <v>1.3488921799973186E-2</v>
      </c>
      <c r="CX99" s="33">
        <f t="shared" ca="1" si="103"/>
        <v>1.3337276597275748E-2</v>
      </c>
      <c r="CY99" s="33">
        <f t="shared" ca="1" si="103"/>
        <v>1.413410372378829E-2</v>
      </c>
      <c r="CZ99" s="33">
        <f t="shared" ca="1" si="103"/>
        <v>1.147404734695869E-2</v>
      </c>
      <c r="DA99" s="33">
        <f t="shared" ca="1" si="103"/>
        <v>9.9033967102895616E-3</v>
      </c>
      <c r="DB99" s="33">
        <f t="shared" ca="1" si="103"/>
        <v>1.0933204839758077E-2</v>
      </c>
      <c r="DC99" s="33">
        <f t="shared" ca="1" si="103"/>
        <v>1.2058262229808355E-2</v>
      </c>
      <c r="DD99" s="33">
        <f t="shared" ca="1" si="103"/>
        <v>1.2223133322155464E-2</v>
      </c>
      <c r="DE99" s="33">
        <f t="shared" ca="1" si="104"/>
        <v>1.1852996744022253E-2</v>
      </c>
      <c r="DF99" s="33">
        <f t="shared" ca="1" si="104"/>
        <v>1.1973883417309112E-2</v>
      </c>
      <c r="DG99" s="33">
        <f t="shared" ca="1" si="104"/>
        <v>1.1517038571421185E-2</v>
      </c>
      <c r="DH99" s="33">
        <f t="shared" ca="1" si="104"/>
        <v>9.0857077395411958E-3</v>
      </c>
      <c r="DI99" s="33">
        <f t="shared" ca="1" si="104"/>
        <v>7.8934782558490058E-3</v>
      </c>
      <c r="DJ99" s="33">
        <f t="shared" ca="1" si="104"/>
        <v>1.1385167873677195E-2</v>
      </c>
      <c r="DK99" s="33">
        <f t="shared" ca="1" si="104"/>
        <v>1.3607328971914155E-2</v>
      </c>
      <c r="DL99" s="33">
        <f t="shared" ca="1" si="104"/>
        <v>1.0907075640074686E-2</v>
      </c>
      <c r="DM99" s="33">
        <f t="shared" ca="1" si="104"/>
        <v>1.1705619382303342E-2</v>
      </c>
      <c r="DN99" s="33">
        <f t="shared" ca="1" si="104"/>
        <v>1.2266352081410713E-2</v>
      </c>
      <c r="DO99" s="12"/>
      <c r="DP99" s="12"/>
      <c r="DQ99" s="12"/>
    </row>
    <row r="100" spans="9:121" x14ac:dyDescent="0.2">
      <c r="I100" s="32">
        <v>47453</v>
      </c>
      <c r="J100" s="33">
        <f t="shared" ca="1" si="73"/>
        <v>1.2442415852309503E-2</v>
      </c>
      <c r="K100" s="9">
        <v>3696.3706520831997</v>
      </c>
      <c r="L100" s="9">
        <f t="shared" ca="1" si="74"/>
        <v>428755.89674699603</v>
      </c>
      <c r="N100" s="6">
        <v>96</v>
      </c>
      <c r="O100" s="5">
        <v>3.9318941218643992</v>
      </c>
      <c r="P100" s="9">
        <v>691882.12308674806</v>
      </c>
      <c r="R100" s="32">
        <v>47453</v>
      </c>
      <c r="S100" s="33">
        <f t="shared" ca="1" si="95"/>
        <v>9.5127199409050164E-3</v>
      </c>
      <c r="T100" s="33">
        <f t="shared" ca="1" si="95"/>
        <v>1.0413461698752577E-2</v>
      </c>
      <c r="U100" s="33">
        <f t="shared" ca="1" si="95"/>
        <v>1.2119818811111488E-2</v>
      </c>
      <c r="V100" s="33">
        <f t="shared" ca="1" si="95"/>
        <v>1.1613723220329939E-2</v>
      </c>
      <c r="W100" s="33">
        <f t="shared" ca="1" si="95"/>
        <v>1.3440478807928969E-2</v>
      </c>
      <c r="X100" s="33">
        <f t="shared" ca="1" si="95"/>
        <v>1.2046171131624721E-2</v>
      </c>
      <c r="Y100" s="33">
        <f t="shared" ca="1" si="95"/>
        <v>1.3919847881368722E-2</v>
      </c>
      <c r="Z100" s="33">
        <f t="shared" ca="1" si="95"/>
        <v>9.1769624706223452E-3</v>
      </c>
      <c r="AA100" s="33">
        <f t="shared" ca="1" si="95"/>
        <v>1.5707321864149575E-2</v>
      </c>
      <c r="AB100" s="33">
        <f t="shared" ca="1" si="95"/>
        <v>1.3550829556195687E-2</v>
      </c>
      <c r="AC100" s="33">
        <f t="shared" ca="1" si="96"/>
        <v>1.2201359356707844E-2</v>
      </c>
      <c r="AD100" s="33">
        <f t="shared" ca="1" si="96"/>
        <v>1.2456304146406749E-2</v>
      </c>
      <c r="AE100" s="33">
        <f t="shared" ca="1" si="96"/>
        <v>9.3053012891841647E-3</v>
      </c>
      <c r="AF100" s="33">
        <f t="shared" ca="1" si="96"/>
        <v>1.2921902015643605E-2</v>
      </c>
      <c r="AG100" s="33">
        <f t="shared" ca="1" si="96"/>
        <v>8.1904036354804831E-3</v>
      </c>
      <c r="AH100" s="33">
        <f t="shared" ca="1" si="96"/>
        <v>1.2006195404413221E-2</v>
      </c>
      <c r="AI100" s="33">
        <f t="shared" ca="1" si="96"/>
        <v>8.0252810674397417E-3</v>
      </c>
      <c r="AJ100" s="33">
        <f t="shared" ca="1" si="96"/>
        <v>8.9976361197105122E-3</v>
      </c>
      <c r="AK100" s="33">
        <f t="shared" ca="1" si="96"/>
        <v>1.2247220766918632E-2</v>
      </c>
      <c r="AL100" s="33">
        <f t="shared" ca="1" si="96"/>
        <v>9.5853465862427434E-3</v>
      </c>
      <c r="AM100" s="33">
        <f t="shared" ca="1" si="97"/>
        <v>1.338628096892963E-2</v>
      </c>
      <c r="AN100" s="33">
        <f t="shared" ca="1" si="97"/>
        <v>1.1195994340487712E-2</v>
      </c>
      <c r="AO100" s="33">
        <f t="shared" ca="1" si="97"/>
        <v>8.3310272674607371E-3</v>
      </c>
      <c r="AP100" s="33">
        <f t="shared" ca="1" si="97"/>
        <v>1.1348275163500206E-2</v>
      </c>
      <c r="AQ100" s="33">
        <f t="shared" ca="1" si="97"/>
        <v>1.0113467810547373E-2</v>
      </c>
      <c r="AR100" s="33">
        <f t="shared" ca="1" si="97"/>
        <v>1.1351278311952168E-2</v>
      </c>
      <c r="AS100" s="33">
        <f t="shared" ca="1" si="97"/>
        <v>1.2501576886826255E-2</v>
      </c>
      <c r="AT100" s="33">
        <f t="shared" ca="1" si="97"/>
        <v>1.1815975923681011E-2</v>
      </c>
      <c r="AU100" s="33">
        <f t="shared" ca="1" si="97"/>
        <v>1.220552488655237E-2</v>
      </c>
      <c r="AV100" s="33">
        <f t="shared" ca="1" si="97"/>
        <v>1.1369165932698185E-2</v>
      </c>
      <c r="AW100" s="33">
        <f t="shared" ca="1" si="98"/>
        <v>1.1076193963002606E-2</v>
      </c>
      <c r="AX100" s="33">
        <f t="shared" ca="1" si="98"/>
        <v>1.2590605469887156E-2</v>
      </c>
      <c r="AY100" s="33">
        <f t="shared" ca="1" si="98"/>
        <v>1.0644830352586072E-2</v>
      </c>
      <c r="AZ100" s="33">
        <f t="shared" ca="1" si="98"/>
        <v>1.4138273402747367E-2</v>
      </c>
      <c r="BA100" s="33">
        <f t="shared" ca="1" si="98"/>
        <v>1.3571768404198945E-2</v>
      </c>
      <c r="BB100" s="33">
        <f t="shared" ca="1" si="98"/>
        <v>1.0810782263764871E-2</v>
      </c>
      <c r="BC100" s="33">
        <f t="shared" ca="1" si="98"/>
        <v>1.3385359246403643E-2</v>
      </c>
      <c r="BD100" s="33">
        <f t="shared" ca="1" si="98"/>
        <v>9.8365705203742691E-3</v>
      </c>
      <c r="BE100" s="33">
        <f t="shared" ca="1" si="98"/>
        <v>8.9670125825678758E-3</v>
      </c>
      <c r="BF100" s="33">
        <f t="shared" ca="1" si="98"/>
        <v>1.2892591234675631E-2</v>
      </c>
      <c r="BG100" s="33">
        <f t="shared" ca="1" si="99"/>
        <v>1.1947391360265134E-2</v>
      </c>
      <c r="BH100" s="33">
        <f t="shared" ca="1" si="99"/>
        <v>1.1741481974524204E-2</v>
      </c>
      <c r="BI100" s="33">
        <f t="shared" ca="1" si="99"/>
        <v>1.2708187755979511E-2</v>
      </c>
      <c r="BJ100" s="33">
        <f t="shared" ca="1" si="99"/>
        <v>8.4422293291675637E-3</v>
      </c>
      <c r="BK100" s="33">
        <f t="shared" ca="1" si="99"/>
        <v>1.1381353031866475E-2</v>
      </c>
      <c r="BL100" s="33">
        <f t="shared" ca="1" si="99"/>
        <v>1.3123875438655751E-2</v>
      </c>
      <c r="BM100" s="33">
        <f t="shared" ca="1" si="99"/>
        <v>8.1582539635319112E-3</v>
      </c>
      <c r="BN100" s="33">
        <f t="shared" ca="1" si="99"/>
        <v>1.0608624848615456E-2</v>
      </c>
      <c r="BO100" s="33">
        <f t="shared" ca="1" si="99"/>
        <v>1.1416667307617819E-2</v>
      </c>
      <c r="BP100" s="33">
        <f t="shared" ca="1" si="99"/>
        <v>1.3034138245800294E-2</v>
      </c>
      <c r="BQ100" s="33">
        <f t="shared" ca="1" si="100"/>
        <v>1.2481553621592173E-2</v>
      </c>
      <c r="BR100" s="33">
        <f t="shared" ca="1" si="100"/>
        <v>1.181156099653307E-2</v>
      </c>
      <c r="BS100" s="33">
        <f t="shared" ca="1" si="100"/>
        <v>1.1763113896032384E-2</v>
      </c>
      <c r="BT100" s="33">
        <f t="shared" ca="1" si="100"/>
        <v>1.3285056461512623E-2</v>
      </c>
      <c r="BU100" s="33">
        <f t="shared" ca="1" si="100"/>
        <v>1.176309941137877E-2</v>
      </c>
      <c r="BV100" s="33">
        <f t="shared" ca="1" si="100"/>
        <v>1.3035796962267253E-2</v>
      </c>
      <c r="BW100" s="33">
        <f t="shared" ca="1" si="100"/>
        <v>1.1395290635121878E-2</v>
      </c>
      <c r="BX100" s="33">
        <f t="shared" ca="1" si="100"/>
        <v>1.0244228530893145E-2</v>
      </c>
      <c r="BY100" s="33">
        <f t="shared" ca="1" si="100"/>
        <v>1.0089224400485907E-2</v>
      </c>
      <c r="BZ100" s="33">
        <f t="shared" ca="1" si="100"/>
        <v>1.15471088798188E-2</v>
      </c>
      <c r="CA100" s="33">
        <f t="shared" ca="1" si="101"/>
        <v>1.1943135744357215E-2</v>
      </c>
      <c r="CB100" s="33">
        <f t="shared" ca="1" si="101"/>
        <v>1.1740613863521727E-2</v>
      </c>
      <c r="CC100" s="33">
        <f t="shared" ca="1" si="101"/>
        <v>9.3586356980555636E-3</v>
      </c>
      <c r="CD100" s="33">
        <f t="shared" ca="1" si="101"/>
        <v>1.1773083795124775E-2</v>
      </c>
      <c r="CE100" s="33">
        <f t="shared" ca="1" si="101"/>
        <v>1.1161664391773268E-2</v>
      </c>
      <c r="CF100" s="33">
        <f t="shared" ca="1" si="101"/>
        <v>1.1449078967120956E-2</v>
      </c>
      <c r="CG100" s="33">
        <f t="shared" ca="1" si="101"/>
        <v>9.8198116414502136E-3</v>
      </c>
      <c r="CH100" s="33">
        <f t="shared" ca="1" si="101"/>
        <v>9.9428234391016473E-3</v>
      </c>
      <c r="CI100" s="33">
        <f t="shared" ca="1" si="101"/>
        <v>1.2011887764248188E-2</v>
      </c>
      <c r="CJ100" s="33">
        <f t="shared" ca="1" si="101"/>
        <v>1.1985075791436877E-2</v>
      </c>
      <c r="CK100" s="33">
        <f t="shared" ca="1" si="102"/>
        <v>1.2962704278458363E-2</v>
      </c>
      <c r="CL100" s="33">
        <f t="shared" ca="1" si="102"/>
        <v>1.0257958372816693E-2</v>
      </c>
      <c r="CM100" s="33">
        <f t="shared" ca="1" si="102"/>
        <v>8.6703365682359174E-3</v>
      </c>
      <c r="CN100" s="33">
        <f t="shared" ca="1" si="102"/>
        <v>9.6169185042811571E-3</v>
      </c>
      <c r="CO100" s="33">
        <f t="shared" ca="1" si="102"/>
        <v>1.1527518967157185E-2</v>
      </c>
      <c r="CP100" s="33">
        <f t="shared" ca="1" si="102"/>
        <v>1.1268899052714165E-2</v>
      </c>
      <c r="CQ100" s="33">
        <f t="shared" ca="1" si="102"/>
        <v>1.1036088859455459E-2</v>
      </c>
      <c r="CR100" s="33">
        <f t="shared" ca="1" si="102"/>
        <v>1.1423281896987122E-2</v>
      </c>
      <c r="CS100" s="33">
        <f t="shared" ca="1" si="102"/>
        <v>1.305618192656738E-2</v>
      </c>
      <c r="CT100" s="33">
        <f t="shared" ca="1" si="102"/>
        <v>1.0265137630671451E-2</v>
      </c>
      <c r="CU100" s="33">
        <f t="shared" ca="1" si="103"/>
        <v>1.2658288317150622E-2</v>
      </c>
      <c r="CV100" s="33">
        <f t="shared" ca="1" si="103"/>
        <v>1.088650841516408E-2</v>
      </c>
      <c r="CW100" s="33">
        <f t="shared" ca="1" si="103"/>
        <v>1.3660266657946871E-2</v>
      </c>
      <c r="CX100" s="33">
        <f t="shared" ca="1" si="103"/>
        <v>1.0055684152675225E-2</v>
      </c>
      <c r="CY100" s="33">
        <f t="shared" ca="1" si="103"/>
        <v>1.2214830342967864E-2</v>
      </c>
      <c r="CZ100" s="33">
        <f t="shared" ca="1" si="103"/>
        <v>8.0792646909064424E-3</v>
      </c>
      <c r="DA100" s="33">
        <f t="shared" ca="1" si="103"/>
        <v>1.0219801967570443E-2</v>
      </c>
      <c r="DB100" s="33">
        <f t="shared" ca="1" si="103"/>
        <v>1.079892764201518E-2</v>
      </c>
      <c r="DC100" s="33">
        <f t="shared" ca="1" si="103"/>
        <v>9.9930059621909911E-3</v>
      </c>
      <c r="DD100" s="33">
        <f t="shared" ca="1" si="103"/>
        <v>1.1218123251431626E-2</v>
      </c>
      <c r="DE100" s="33">
        <f t="shared" ca="1" si="104"/>
        <v>1.1050462095940988E-2</v>
      </c>
      <c r="DF100" s="33">
        <f t="shared" ca="1" si="104"/>
        <v>1.169889792403676E-2</v>
      </c>
      <c r="DG100" s="33">
        <f t="shared" ca="1" si="104"/>
        <v>1.1397760563029821E-2</v>
      </c>
      <c r="DH100" s="33">
        <f t="shared" ca="1" si="104"/>
        <v>1.3079580245881885E-2</v>
      </c>
      <c r="DI100" s="33">
        <f t="shared" ca="1" si="104"/>
        <v>9.1944369729210114E-3</v>
      </c>
      <c r="DJ100" s="33">
        <f t="shared" ca="1" si="104"/>
        <v>9.1657396772765257E-3</v>
      </c>
      <c r="DK100" s="33">
        <f t="shared" ca="1" si="104"/>
        <v>1.1100574337861923E-2</v>
      </c>
      <c r="DL100" s="33">
        <f t="shared" ca="1" si="104"/>
        <v>1.0704436888354337E-2</v>
      </c>
      <c r="DM100" s="33">
        <f t="shared" ca="1" si="104"/>
        <v>1.1355841801271737E-2</v>
      </c>
      <c r="DN100" s="33">
        <f t="shared" ca="1" si="104"/>
        <v>1.0842479584743242E-2</v>
      </c>
      <c r="DO100" s="12"/>
      <c r="DP100" s="12"/>
      <c r="DQ100" s="12"/>
    </row>
    <row r="101" spans="9:121" x14ac:dyDescent="0.2">
      <c r="I101" s="32">
        <v>47484</v>
      </c>
      <c r="J101" s="33">
        <f t="shared" ref="J101:J126" ca="1" si="105">_xlfn.NORM.INV(RAND(),$A$52,$B$45)</f>
        <v>1.1375048546006124E-2</v>
      </c>
      <c r="K101" s="9">
        <v>3696.3706520831997</v>
      </c>
      <c r="L101" s="9">
        <f t="shared" ca="1" si="74"/>
        <v>437357.23074871179</v>
      </c>
      <c r="N101" s="6">
        <v>97</v>
      </c>
      <c r="O101" s="5">
        <v>3.8862821090403448</v>
      </c>
      <c r="P101" s="9">
        <v>682902.55088068696</v>
      </c>
      <c r="R101" s="32">
        <v>47484</v>
      </c>
      <c r="S101" s="33">
        <f t="shared" ca="1" si="95"/>
        <v>1.1173280293370938E-2</v>
      </c>
      <c r="T101" s="33">
        <f t="shared" ca="1" si="95"/>
        <v>1.080633908385545E-2</v>
      </c>
      <c r="U101" s="33">
        <f t="shared" ca="1" si="95"/>
        <v>1.3010612222639821E-2</v>
      </c>
      <c r="V101" s="33">
        <f t="shared" ca="1" si="95"/>
        <v>1.1675982873747602E-2</v>
      </c>
      <c r="W101" s="33">
        <f t="shared" ca="1" si="95"/>
        <v>1.0433619344030091E-2</v>
      </c>
      <c r="X101" s="33">
        <f t="shared" ca="1" si="95"/>
        <v>1.3706396529758504E-2</v>
      </c>
      <c r="Y101" s="33">
        <f t="shared" ca="1" si="95"/>
        <v>7.8045819942816341E-3</v>
      </c>
      <c r="Z101" s="33">
        <f t="shared" ca="1" si="95"/>
        <v>1.0711023509365421E-2</v>
      </c>
      <c r="AA101" s="33">
        <f t="shared" ca="1" si="95"/>
        <v>9.8192480375895366E-3</v>
      </c>
      <c r="AB101" s="33">
        <f t="shared" ca="1" si="95"/>
        <v>1.2969218967705436E-2</v>
      </c>
      <c r="AC101" s="33">
        <f t="shared" ca="1" si="96"/>
        <v>1.2391561572649302E-2</v>
      </c>
      <c r="AD101" s="33">
        <f t="shared" ca="1" si="96"/>
        <v>1.0232764608076124E-2</v>
      </c>
      <c r="AE101" s="33">
        <f t="shared" ca="1" si="96"/>
        <v>8.8654073119165434E-3</v>
      </c>
      <c r="AF101" s="33">
        <f t="shared" ca="1" si="96"/>
        <v>9.7723573234176995E-3</v>
      </c>
      <c r="AG101" s="33">
        <f t="shared" ca="1" si="96"/>
        <v>1.0931054766973975E-2</v>
      </c>
      <c r="AH101" s="33">
        <f t="shared" ca="1" si="96"/>
        <v>1.0184439898935589E-2</v>
      </c>
      <c r="AI101" s="33">
        <f t="shared" ca="1" si="96"/>
        <v>1.0262707670813748E-2</v>
      </c>
      <c r="AJ101" s="33">
        <f t="shared" ca="1" si="96"/>
        <v>8.2320138054508604E-3</v>
      </c>
      <c r="AK101" s="33">
        <f t="shared" ca="1" si="96"/>
        <v>1.0274071543875073E-2</v>
      </c>
      <c r="AL101" s="33">
        <f t="shared" ca="1" si="96"/>
        <v>1.3483688167098074E-2</v>
      </c>
      <c r="AM101" s="33">
        <f t="shared" ca="1" si="97"/>
        <v>9.3039848034513414E-3</v>
      </c>
      <c r="AN101" s="33">
        <f t="shared" ca="1" si="97"/>
        <v>9.1209901247154314E-3</v>
      </c>
      <c r="AO101" s="33">
        <f t="shared" ca="1" si="97"/>
        <v>9.7018471577378987E-3</v>
      </c>
      <c r="AP101" s="33">
        <f t="shared" ca="1" si="97"/>
        <v>1.17223562688242E-2</v>
      </c>
      <c r="AQ101" s="33">
        <f t="shared" ca="1" si="97"/>
        <v>1.3704376586421258E-2</v>
      </c>
      <c r="AR101" s="33">
        <f t="shared" ca="1" si="97"/>
        <v>9.5219123169210541E-3</v>
      </c>
      <c r="AS101" s="33">
        <f t="shared" ca="1" si="97"/>
        <v>1.0585859619095962E-2</v>
      </c>
      <c r="AT101" s="33">
        <f t="shared" ca="1" si="97"/>
        <v>1.2839938659599917E-2</v>
      </c>
      <c r="AU101" s="33">
        <f t="shared" ca="1" si="97"/>
        <v>1.0565499730256032E-2</v>
      </c>
      <c r="AV101" s="33">
        <f t="shared" ca="1" si="97"/>
        <v>1.132788488826768E-2</v>
      </c>
      <c r="AW101" s="33">
        <f t="shared" ca="1" si="98"/>
        <v>1.246126115796212E-2</v>
      </c>
      <c r="AX101" s="33">
        <f t="shared" ca="1" si="98"/>
        <v>1.0872767879998258E-2</v>
      </c>
      <c r="AY101" s="33">
        <f t="shared" ca="1" si="98"/>
        <v>1.144772797361333E-2</v>
      </c>
      <c r="AZ101" s="33">
        <f t="shared" ca="1" si="98"/>
        <v>8.5515200885517041E-3</v>
      </c>
      <c r="BA101" s="33">
        <f t="shared" ca="1" si="98"/>
        <v>1.0213355314013208E-2</v>
      </c>
      <c r="BB101" s="33">
        <f t="shared" ca="1" si="98"/>
        <v>1.2225534843086508E-2</v>
      </c>
      <c r="BC101" s="33">
        <f t="shared" ca="1" si="98"/>
        <v>1.1775676143600743E-2</v>
      </c>
      <c r="BD101" s="33">
        <f t="shared" ca="1" si="98"/>
        <v>1.21730158369664E-2</v>
      </c>
      <c r="BE101" s="33">
        <f t="shared" ca="1" si="98"/>
        <v>1.109698579660238E-2</v>
      </c>
      <c r="BF101" s="33">
        <f t="shared" ca="1" si="98"/>
        <v>9.1394602527448722E-3</v>
      </c>
      <c r="BG101" s="33">
        <f t="shared" ca="1" si="99"/>
        <v>9.7745314127337234E-3</v>
      </c>
      <c r="BH101" s="33">
        <f t="shared" ca="1" si="99"/>
        <v>9.0030001884056788E-3</v>
      </c>
      <c r="BI101" s="33">
        <f t="shared" ca="1" si="99"/>
        <v>1.3609852055249881E-2</v>
      </c>
      <c r="BJ101" s="33">
        <f t="shared" ca="1" si="99"/>
        <v>1.1325419387092245E-2</v>
      </c>
      <c r="BK101" s="33">
        <f t="shared" ca="1" si="99"/>
        <v>1.4398097797243613E-2</v>
      </c>
      <c r="BL101" s="33">
        <f t="shared" ca="1" si="99"/>
        <v>1.1827363818634308E-2</v>
      </c>
      <c r="BM101" s="33">
        <f t="shared" ca="1" si="99"/>
        <v>1.52825398763058E-2</v>
      </c>
      <c r="BN101" s="33">
        <f t="shared" ca="1" si="99"/>
        <v>1.3574656074354388E-2</v>
      </c>
      <c r="BO101" s="33">
        <f t="shared" ca="1" si="99"/>
        <v>1.2621475300123005E-2</v>
      </c>
      <c r="BP101" s="33">
        <f t="shared" ca="1" si="99"/>
        <v>1.1983114574430197E-2</v>
      </c>
      <c r="BQ101" s="33">
        <f t="shared" ca="1" si="100"/>
        <v>1.3624702356192495E-2</v>
      </c>
      <c r="BR101" s="33">
        <f t="shared" ca="1" si="100"/>
        <v>9.5343646300131962E-3</v>
      </c>
      <c r="BS101" s="33">
        <f t="shared" ca="1" si="100"/>
        <v>8.7964983307590588E-3</v>
      </c>
      <c r="BT101" s="33">
        <f t="shared" ca="1" si="100"/>
        <v>1.512214930188643E-2</v>
      </c>
      <c r="BU101" s="33">
        <f t="shared" ca="1" si="100"/>
        <v>1.153886170904265E-2</v>
      </c>
      <c r="BV101" s="33">
        <f t="shared" ca="1" si="100"/>
        <v>1.2490554165564303E-2</v>
      </c>
      <c r="BW101" s="33">
        <f t="shared" ca="1" si="100"/>
        <v>1.1360012323402582E-2</v>
      </c>
      <c r="BX101" s="33">
        <f t="shared" ca="1" si="100"/>
        <v>1.1606088223250502E-2</v>
      </c>
      <c r="BY101" s="33">
        <f t="shared" ca="1" si="100"/>
        <v>1.0191446400808586E-2</v>
      </c>
      <c r="BZ101" s="33">
        <f t="shared" ca="1" si="100"/>
        <v>1.3832159554760425E-2</v>
      </c>
      <c r="CA101" s="33">
        <f t="shared" ca="1" si="101"/>
        <v>1.0850376032406411E-2</v>
      </c>
      <c r="CB101" s="33">
        <f t="shared" ca="1" si="101"/>
        <v>1.0324694441649481E-2</v>
      </c>
      <c r="CC101" s="33">
        <f t="shared" ca="1" si="101"/>
        <v>9.8661708330701169E-3</v>
      </c>
      <c r="CD101" s="33">
        <f t="shared" ca="1" si="101"/>
        <v>1.1501925391673202E-2</v>
      </c>
      <c r="CE101" s="33">
        <f t="shared" ca="1" si="101"/>
        <v>8.9903725664154787E-3</v>
      </c>
      <c r="CF101" s="33">
        <f t="shared" ca="1" si="101"/>
        <v>9.7639636198670228E-3</v>
      </c>
      <c r="CG101" s="33">
        <f t="shared" ca="1" si="101"/>
        <v>1.1425990159996157E-2</v>
      </c>
      <c r="CH101" s="33">
        <f t="shared" ca="1" si="101"/>
        <v>1.2903668536815929E-2</v>
      </c>
      <c r="CI101" s="33">
        <f t="shared" ca="1" si="101"/>
        <v>1.2121842809582825E-2</v>
      </c>
      <c r="CJ101" s="33">
        <f t="shared" ca="1" si="101"/>
        <v>9.656550184460393E-3</v>
      </c>
      <c r="CK101" s="33">
        <f t="shared" ca="1" si="102"/>
        <v>1.0510222615195413E-2</v>
      </c>
      <c r="CL101" s="33">
        <f t="shared" ca="1" si="102"/>
        <v>1.262341939074337E-2</v>
      </c>
      <c r="CM101" s="33">
        <f t="shared" ca="1" si="102"/>
        <v>1.0093308777805728E-2</v>
      </c>
      <c r="CN101" s="33">
        <f t="shared" ca="1" si="102"/>
        <v>1.4512871754562012E-2</v>
      </c>
      <c r="CO101" s="33">
        <f t="shared" ca="1" si="102"/>
        <v>1.1841440126504465E-2</v>
      </c>
      <c r="CP101" s="33">
        <f t="shared" ca="1" si="102"/>
        <v>9.0704547543148471E-3</v>
      </c>
      <c r="CQ101" s="33">
        <f t="shared" ca="1" si="102"/>
        <v>1.0349835681343856E-2</v>
      </c>
      <c r="CR101" s="33">
        <f t="shared" ca="1" si="102"/>
        <v>1.1481025228614878E-2</v>
      </c>
      <c r="CS101" s="33">
        <f t="shared" ca="1" si="102"/>
        <v>1.1281635123382617E-2</v>
      </c>
      <c r="CT101" s="33">
        <f t="shared" ca="1" si="102"/>
        <v>9.5507497626131886E-3</v>
      </c>
      <c r="CU101" s="33">
        <f t="shared" ca="1" si="103"/>
        <v>9.0209647604352333E-3</v>
      </c>
      <c r="CV101" s="33">
        <f t="shared" ca="1" si="103"/>
        <v>1.0891080031837665E-2</v>
      </c>
      <c r="CW101" s="33">
        <f t="shared" ca="1" si="103"/>
        <v>1.1954828464507844E-2</v>
      </c>
      <c r="CX101" s="33">
        <f t="shared" ca="1" si="103"/>
        <v>1.1861650862547153E-2</v>
      </c>
      <c r="CY101" s="33">
        <f t="shared" ca="1" si="103"/>
        <v>1.1884878710451871E-2</v>
      </c>
      <c r="CZ101" s="33">
        <f t="shared" ca="1" si="103"/>
        <v>1.1085040550395288E-2</v>
      </c>
      <c r="DA101" s="33">
        <f t="shared" ca="1" si="103"/>
        <v>1.0196926967091706E-2</v>
      </c>
      <c r="DB101" s="33">
        <f t="shared" ca="1" si="103"/>
        <v>1.0379116211089777E-2</v>
      </c>
      <c r="DC101" s="33">
        <f t="shared" ca="1" si="103"/>
        <v>9.7188999471843601E-3</v>
      </c>
      <c r="DD101" s="33">
        <f t="shared" ca="1" si="103"/>
        <v>1.1690277541868294E-2</v>
      </c>
      <c r="DE101" s="33">
        <f t="shared" ca="1" si="104"/>
        <v>9.1627399346842463E-3</v>
      </c>
      <c r="DF101" s="33">
        <f t="shared" ca="1" si="104"/>
        <v>1.171719228143869E-2</v>
      </c>
      <c r="DG101" s="33">
        <f t="shared" ca="1" si="104"/>
        <v>9.5394781745574732E-3</v>
      </c>
      <c r="DH101" s="33">
        <f t="shared" ca="1" si="104"/>
        <v>1.1737380563626333E-2</v>
      </c>
      <c r="DI101" s="33">
        <f t="shared" ca="1" si="104"/>
        <v>1.0103027999606448E-2</v>
      </c>
      <c r="DJ101" s="33">
        <f t="shared" ca="1" si="104"/>
        <v>1.1338158734615349E-2</v>
      </c>
      <c r="DK101" s="33">
        <f t="shared" ca="1" si="104"/>
        <v>1.014441382072547E-2</v>
      </c>
      <c r="DL101" s="33">
        <f t="shared" ca="1" si="104"/>
        <v>9.2466513565216454E-3</v>
      </c>
      <c r="DM101" s="33">
        <f t="shared" ca="1" si="104"/>
        <v>9.1868103228199827E-3</v>
      </c>
      <c r="DN101" s="33">
        <f t="shared" ca="1" si="104"/>
        <v>1.1707844822563465E-2</v>
      </c>
      <c r="DO101" s="12"/>
      <c r="DP101" s="12"/>
      <c r="DQ101" s="12"/>
    </row>
    <row r="102" spans="9:121" x14ac:dyDescent="0.2">
      <c r="I102" s="32">
        <v>47515</v>
      </c>
      <c r="J102" s="33">
        <f t="shared" ca="1" si="105"/>
        <v>1.1884679577275044E-2</v>
      </c>
      <c r="K102" s="9">
        <v>3844.2254781665279</v>
      </c>
      <c r="L102" s="9">
        <f t="shared" ca="1" si="74"/>
        <v>446430.31689594506</v>
      </c>
      <c r="N102" s="6">
        <v>98</v>
      </c>
      <c r="O102" s="5">
        <v>3.8983029004467</v>
      </c>
      <c r="P102" s="9">
        <v>681096.14932133968</v>
      </c>
      <c r="R102" s="32">
        <v>47515</v>
      </c>
      <c r="S102" s="33">
        <f t="shared" ca="1" si="95"/>
        <v>1.1151382063588365E-2</v>
      </c>
      <c r="T102" s="33">
        <f t="shared" ca="1" si="95"/>
        <v>9.7458070372156615E-3</v>
      </c>
      <c r="U102" s="33">
        <f t="shared" ca="1" si="95"/>
        <v>1.1169450192401545E-2</v>
      </c>
      <c r="V102" s="33">
        <f t="shared" ca="1" si="95"/>
        <v>8.9913068354280541E-3</v>
      </c>
      <c r="W102" s="33">
        <f t="shared" ca="1" si="95"/>
        <v>9.7617747304597699E-3</v>
      </c>
      <c r="X102" s="33">
        <f t="shared" ca="1" si="95"/>
        <v>1.1248380523271012E-2</v>
      </c>
      <c r="Y102" s="33">
        <f t="shared" ca="1" si="95"/>
        <v>8.4947777927311535E-3</v>
      </c>
      <c r="Z102" s="33">
        <f t="shared" ca="1" si="95"/>
        <v>9.3563064003600992E-3</v>
      </c>
      <c r="AA102" s="33">
        <f t="shared" ca="1" si="95"/>
        <v>1.0682626568082719E-2</v>
      </c>
      <c r="AB102" s="33">
        <f t="shared" ca="1" si="95"/>
        <v>1.0291680230845503E-2</v>
      </c>
      <c r="AC102" s="33">
        <f t="shared" ca="1" si="96"/>
        <v>1.2500372746119121E-2</v>
      </c>
      <c r="AD102" s="33">
        <f t="shared" ca="1" si="96"/>
        <v>1.1672120726385436E-2</v>
      </c>
      <c r="AE102" s="33">
        <f t="shared" ca="1" si="96"/>
        <v>8.4446227107220218E-3</v>
      </c>
      <c r="AF102" s="33">
        <f t="shared" ca="1" si="96"/>
        <v>1.1055530309981411E-2</v>
      </c>
      <c r="AG102" s="33">
        <f t="shared" ca="1" si="96"/>
        <v>1.0316388781981468E-2</v>
      </c>
      <c r="AH102" s="33">
        <f t="shared" ca="1" si="96"/>
        <v>1.0125379017186525E-2</v>
      </c>
      <c r="AI102" s="33">
        <f t="shared" ca="1" si="96"/>
        <v>1.1250445865317375E-2</v>
      </c>
      <c r="AJ102" s="33">
        <f t="shared" ca="1" si="96"/>
        <v>1.0076927583863618E-2</v>
      </c>
      <c r="AK102" s="33">
        <f t="shared" ca="1" si="96"/>
        <v>1.1244933465925665E-2</v>
      </c>
      <c r="AL102" s="33">
        <f t="shared" ca="1" si="96"/>
        <v>1.2884565981485841E-2</v>
      </c>
      <c r="AM102" s="33">
        <f t="shared" ca="1" si="97"/>
        <v>1.0534802073883407E-2</v>
      </c>
      <c r="AN102" s="33">
        <f t="shared" ca="1" si="97"/>
        <v>1.2366041429867372E-2</v>
      </c>
      <c r="AO102" s="33">
        <f t="shared" ca="1" si="97"/>
        <v>1.2149337399042823E-2</v>
      </c>
      <c r="AP102" s="33">
        <f t="shared" ca="1" si="97"/>
        <v>1.0790480257617613E-2</v>
      </c>
      <c r="AQ102" s="33">
        <f t="shared" ca="1" si="97"/>
        <v>9.5535680912215461E-3</v>
      </c>
      <c r="AR102" s="33">
        <f t="shared" ca="1" si="97"/>
        <v>1.0469929095001709E-2</v>
      </c>
      <c r="AS102" s="33">
        <f t="shared" ca="1" si="97"/>
        <v>1.3323293155603787E-2</v>
      </c>
      <c r="AT102" s="33">
        <f t="shared" ca="1" si="97"/>
        <v>1.1463059428412544E-2</v>
      </c>
      <c r="AU102" s="33">
        <f t="shared" ca="1" si="97"/>
        <v>1.2039243567474531E-2</v>
      </c>
      <c r="AV102" s="33">
        <f t="shared" ca="1" si="97"/>
        <v>1.1623812625081503E-2</v>
      </c>
      <c r="AW102" s="33">
        <f t="shared" ca="1" si="98"/>
        <v>9.3321711391059527E-3</v>
      </c>
      <c r="AX102" s="33">
        <f t="shared" ca="1" si="98"/>
        <v>1.0088008906242197E-2</v>
      </c>
      <c r="AY102" s="33">
        <f t="shared" ca="1" si="98"/>
        <v>1.0051691669416331E-2</v>
      </c>
      <c r="AZ102" s="33">
        <f t="shared" ca="1" si="98"/>
        <v>1.1810803089097661E-2</v>
      </c>
      <c r="BA102" s="33">
        <f t="shared" ca="1" si="98"/>
        <v>1.1005186982792608E-2</v>
      </c>
      <c r="BB102" s="33">
        <f t="shared" ca="1" si="98"/>
        <v>1.2929168197030532E-2</v>
      </c>
      <c r="BC102" s="33">
        <f t="shared" ca="1" si="98"/>
        <v>1.2406743577652139E-2</v>
      </c>
      <c r="BD102" s="33">
        <f t="shared" ca="1" si="98"/>
        <v>1.1554930473159183E-2</v>
      </c>
      <c r="BE102" s="33">
        <f t="shared" ca="1" si="98"/>
        <v>9.2072575414646769E-3</v>
      </c>
      <c r="BF102" s="33">
        <f t="shared" ca="1" si="98"/>
        <v>1.1565904489827077E-2</v>
      </c>
      <c r="BG102" s="33">
        <f t="shared" ca="1" si="99"/>
        <v>1.0612618646538421E-2</v>
      </c>
      <c r="BH102" s="33">
        <f t="shared" ca="1" si="99"/>
        <v>1.2138491348407512E-2</v>
      </c>
      <c r="BI102" s="33">
        <f t="shared" ca="1" si="99"/>
        <v>1.110468829066808E-2</v>
      </c>
      <c r="BJ102" s="33">
        <f t="shared" ca="1" si="99"/>
        <v>1.3231415349471009E-2</v>
      </c>
      <c r="BK102" s="33">
        <f t="shared" ca="1" si="99"/>
        <v>1.1318980924451152E-2</v>
      </c>
      <c r="BL102" s="33">
        <f t="shared" ca="1" si="99"/>
        <v>1.2498842822086298E-2</v>
      </c>
      <c r="BM102" s="33">
        <f t="shared" ca="1" si="99"/>
        <v>9.1330737857327291E-3</v>
      </c>
      <c r="BN102" s="33">
        <f t="shared" ca="1" si="99"/>
        <v>1.0801204482577303E-2</v>
      </c>
      <c r="BO102" s="33">
        <f t="shared" ca="1" si="99"/>
        <v>1.1397526561425743E-2</v>
      </c>
      <c r="BP102" s="33">
        <f t="shared" ca="1" si="99"/>
        <v>1.0513522753541116E-2</v>
      </c>
      <c r="BQ102" s="33">
        <f t="shared" ca="1" si="100"/>
        <v>1.2716324432985456E-2</v>
      </c>
      <c r="BR102" s="33">
        <f t="shared" ca="1" si="100"/>
        <v>8.1154575057639632E-3</v>
      </c>
      <c r="BS102" s="33">
        <f t="shared" ca="1" si="100"/>
        <v>1.188377827440887E-2</v>
      </c>
      <c r="BT102" s="33">
        <f t="shared" ca="1" si="100"/>
        <v>1.2174715455005052E-2</v>
      </c>
      <c r="BU102" s="33">
        <f t="shared" ca="1" si="100"/>
        <v>1.4052910472985604E-2</v>
      </c>
      <c r="BV102" s="33">
        <f t="shared" ca="1" si="100"/>
        <v>1.1694740525873095E-2</v>
      </c>
      <c r="BW102" s="33">
        <f t="shared" ca="1" si="100"/>
        <v>1.03439410479709E-2</v>
      </c>
      <c r="BX102" s="33">
        <f t="shared" ca="1" si="100"/>
        <v>1.0150220315148466E-2</v>
      </c>
      <c r="BY102" s="33">
        <f t="shared" ca="1" si="100"/>
        <v>1.0288063259512311E-2</v>
      </c>
      <c r="BZ102" s="33">
        <f t="shared" ca="1" si="100"/>
        <v>1.0086564543499564E-2</v>
      </c>
      <c r="CA102" s="33">
        <f t="shared" ca="1" si="101"/>
        <v>1.3125848156165501E-2</v>
      </c>
      <c r="CB102" s="33">
        <f t="shared" ca="1" si="101"/>
        <v>1.0467440611839313E-2</v>
      </c>
      <c r="CC102" s="33">
        <f t="shared" ca="1" si="101"/>
        <v>1.2323038287262359E-2</v>
      </c>
      <c r="CD102" s="33">
        <f t="shared" ca="1" si="101"/>
        <v>1.3146328181076979E-2</v>
      </c>
      <c r="CE102" s="33">
        <f t="shared" ca="1" si="101"/>
        <v>1.1445907131763378E-2</v>
      </c>
      <c r="CF102" s="33">
        <f t="shared" ca="1" si="101"/>
        <v>1.0247447948658556E-2</v>
      </c>
      <c r="CG102" s="33">
        <f t="shared" ca="1" si="101"/>
        <v>8.9540547822270049E-3</v>
      </c>
      <c r="CH102" s="33">
        <f t="shared" ca="1" si="101"/>
        <v>1.1184007914169713E-2</v>
      </c>
      <c r="CI102" s="33">
        <f t="shared" ca="1" si="101"/>
        <v>1.0726267674425806E-2</v>
      </c>
      <c r="CJ102" s="33">
        <f t="shared" ca="1" si="101"/>
        <v>1.1461483893290042E-2</v>
      </c>
      <c r="CK102" s="33">
        <f t="shared" ca="1" si="102"/>
        <v>9.6377115131436684E-3</v>
      </c>
      <c r="CL102" s="33">
        <f t="shared" ca="1" si="102"/>
        <v>1.1952415206991121E-2</v>
      </c>
      <c r="CM102" s="33">
        <f t="shared" ca="1" si="102"/>
        <v>1.3443967878507015E-2</v>
      </c>
      <c r="CN102" s="33">
        <f t="shared" ca="1" si="102"/>
        <v>1.2958035374784497E-2</v>
      </c>
      <c r="CO102" s="33">
        <f t="shared" ca="1" si="102"/>
        <v>1.161267822292354E-2</v>
      </c>
      <c r="CP102" s="33">
        <f t="shared" ca="1" si="102"/>
        <v>1.127204515673251E-2</v>
      </c>
      <c r="CQ102" s="33">
        <f t="shared" ca="1" si="102"/>
        <v>1.1073930240901095E-2</v>
      </c>
      <c r="CR102" s="33">
        <f t="shared" ca="1" si="102"/>
        <v>1.120882608032361E-2</v>
      </c>
      <c r="CS102" s="33">
        <f t="shared" ca="1" si="102"/>
        <v>1.3554208095966042E-2</v>
      </c>
      <c r="CT102" s="33">
        <f t="shared" ca="1" si="102"/>
        <v>1.2734014388216626E-2</v>
      </c>
      <c r="CU102" s="33">
        <f t="shared" ca="1" si="103"/>
        <v>1.2086592310234305E-2</v>
      </c>
      <c r="CV102" s="33">
        <f t="shared" ca="1" si="103"/>
        <v>1.2792910582584206E-2</v>
      </c>
      <c r="CW102" s="33">
        <f t="shared" ca="1" si="103"/>
        <v>9.1894886276403555E-3</v>
      </c>
      <c r="CX102" s="33">
        <f t="shared" ca="1" si="103"/>
        <v>1.1733054297644771E-2</v>
      </c>
      <c r="CY102" s="33">
        <f t="shared" ca="1" si="103"/>
        <v>1.0016695332475406E-2</v>
      </c>
      <c r="CZ102" s="33">
        <f t="shared" ca="1" si="103"/>
        <v>1.1500742169033589E-2</v>
      </c>
      <c r="DA102" s="33">
        <f t="shared" ca="1" si="103"/>
        <v>9.6662788033409202E-3</v>
      </c>
      <c r="DB102" s="33">
        <f t="shared" ca="1" si="103"/>
        <v>1.3346730247476218E-2</v>
      </c>
      <c r="DC102" s="33">
        <f t="shared" ca="1" si="103"/>
        <v>9.5215151723178765E-3</v>
      </c>
      <c r="DD102" s="33">
        <f t="shared" ca="1" si="103"/>
        <v>1.1654388425109187E-2</v>
      </c>
      <c r="DE102" s="33">
        <f t="shared" ca="1" si="104"/>
        <v>1.4207158302265432E-2</v>
      </c>
      <c r="DF102" s="33">
        <f t="shared" ca="1" si="104"/>
        <v>1.0629628927915254E-2</v>
      </c>
      <c r="DG102" s="33">
        <f t="shared" ca="1" si="104"/>
        <v>8.4346992721778258E-3</v>
      </c>
      <c r="DH102" s="33">
        <f t="shared" ca="1" si="104"/>
        <v>9.975800715217864E-3</v>
      </c>
      <c r="DI102" s="33">
        <f t="shared" ca="1" si="104"/>
        <v>1.3029467103877423E-2</v>
      </c>
      <c r="DJ102" s="33">
        <f t="shared" ca="1" si="104"/>
        <v>9.6919985201916539E-3</v>
      </c>
      <c r="DK102" s="33">
        <f t="shared" ca="1" si="104"/>
        <v>1.4754530304663021E-2</v>
      </c>
      <c r="DL102" s="33">
        <f t="shared" ca="1" si="104"/>
        <v>1.1908684550640869E-2</v>
      </c>
      <c r="DM102" s="33">
        <f t="shared" ca="1" si="104"/>
        <v>9.5656338936708808E-3</v>
      </c>
      <c r="DN102" s="33">
        <f t="shared" ca="1" si="104"/>
        <v>9.9493068969997746E-3</v>
      </c>
      <c r="DO102" s="12"/>
      <c r="DP102" s="12"/>
      <c r="DQ102" s="12"/>
    </row>
    <row r="103" spans="9:121" x14ac:dyDescent="0.2">
      <c r="I103" s="32">
        <v>47543</v>
      </c>
      <c r="J103" s="33">
        <f t="shared" ca="1" si="105"/>
        <v>9.5341273193385381E-3</v>
      </c>
      <c r="K103" s="9">
        <v>3844.2254781665279</v>
      </c>
      <c r="L103" s="9">
        <f t="shared" ca="1" si="74"/>
        <v>454551.2206565942</v>
      </c>
      <c r="N103" s="6">
        <v>99</v>
      </c>
      <c r="O103" s="5">
        <v>3.960825497191852</v>
      </c>
      <c r="P103" s="9">
        <v>686605.44278826402</v>
      </c>
      <c r="R103" s="32">
        <v>47543</v>
      </c>
      <c r="S103" s="33">
        <f t="shared" ca="1" si="95"/>
        <v>8.6141042527434538E-3</v>
      </c>
      <c r="T103" s="33">
        <f t="shared" ca="1" si="95"/>
        <v>1.2154911449798651E-2</v>
      </c>
      <c r="U103" s="33">
        <f t="shared" ca="1" si="95"/>
        <v>1.0930591665300325E-2</v>
      </c>
      <c r="V103" s="33">
        <f t="shared" ca="1" si="95"/>
        <v>1.0560496117835036E-2</v>
      </c>
      <c r="W103" s="33">
        <f t="shared" ca="1" si="95"/>
        <v>9.8670199747148499E-3</v>
      </c>
      <c r="X103" s="33">
        <f t="shared" ca="1" si="95"/>
        <v>1.2070701483219436E-2</v>
      </c>
      <c r="Y103" s="33">
        <f t="shared" ca="1" si="95"/>
        <v>1.316419606218883E-2</v>
      </c>
      <c r="Z103" s="33">
        <f t="shared" ca="1" si="95"/>
        <v>1.3192062776945157E-2</v>
      </c>
      <c r="AA103" s="33">
        <f t="shared" ca="1" si="95"/>
        <v>1.3705426627836815E-2</v>
      </c>
      <c r="AB103" s="33">
        <f t="shared" ca="1" si="95"/>
        <v>1.1007783124627859E-2</v>
      </c>
      <c r="AC103" s="33">
        <f t="shared" ca="1" si="96"/>
        <v>1.103360871132943E-2</v>
      </c>
      <c r="AD103" s="33">
        <f t="shared" ca="1" si="96"/>
        <v>7.097278937830501E-3</v>
      </c>
      <c r="AE103" s="33">
        <f t="shared" ca="1" si="96"/>
        <v>1.2142897793856054E-2</v>
      </c>
      <c r="AF103" s="33">
        <f t="shared" ca="1" si="96"/>
        <v>1.0013554139981664E-2</v>
      </c>
      <c r="AG103" s="33">
        <f t="shared" ca="1" si="96"/>
        <v>9.6702283758077542E-3</v>
      </c>
      <c r="AH103" s="33">
        <f t="shared" ca="1" si="96"/>
        <v>1.2742753574101564E-2</v>
      </c>
      <c r="AI103" s="33">
        <f t="shared" ca="1" si="96"/>
        <v>1.1567405667806939E-2</v>
      </c>
      <c r="AJ103" s="33">
        <f t="shared" ca="1" si="96"/>
        <v>8.8034036234664673E-3</v>
      </c>
      <c r="AK103" s="33">
        <f t="shared" ca="1" si="96"/>
        <v>1.0721984778234819E-2</v>
      </c>
      <c r="AL103" s="33">
        <f t="shared" ca="1" si="96"/>
        <v>1.3269807188069372E-2</v>
      </c>
      <c r="AM103" s="33">
        <f t="shared" ca="1" si="97"/>
        <v>1.0405208645965875E-2</v>
      </c>
      <c r="AN103" s="33">
        <f t="shared" ca="1" si="97"/>
        <v>1.2854492268059566E-2</v>
      </c>
      <c r="AO103" s="33">
        <f t="shared" ca="1" si="97"/>
        <v>1.1416742819831642E-2</v>
      </c>
      <c r="AP103" s="33">
        <f t="shared" ca="1" si="97"/>
        <v>1.1860597606705811E-2</v>
      </c>
      <c r="AQ103" s="33">
        <f t="shared" ca="1" si="97"/>
        <v>1.364625099680232E-2</v>
      </c>
      <c r="AR103" s="33">
        <f t="shared" ca="1" si="97"/>
        <v>1.4379372742767351E-2</v>
      </c>
      <c r="AS103" s="33">
        <f t="shared" ca="1" si="97"/>
        <v>1.1928028702488601E-2</v>
      </c>
      <c r="AT103" s="33">
        <f t="shared" ca="1" si="97"/>
        <v>9.3666315196759258E-3</v>
      </c>
      <c r="AU103" s="33">
        <f t="shared" ca="1" si="97"/>
        <v>9.5516830739178424E-3</v>
      </c>
      <c r="AV103" s="33">
        <f t="shared" ca="1" si="97"/>
        <v>1.0132920220414232E-2</v>
      </c>
      <c r="AW103" s="33">
        <f t="shared" ca="1" si="98"/>
        <v>1.2403762708211176E-2</v>
      </c>
      <c r="AX103" s="33">
        <f t="shared" ca="1" si="98"/>
        <v>9.9593751847598267E-3</v>
      </c>
      <c r="AY103" s="33">
        <f t="shared" ca="1" si="98"/>
        <v>1.1395371279354832E-2</v>
      </c>
      <c r="AZ103" s="33">
        <f t="shared" ca="1" si="98"/>
        <v>1.2192581686036479E-2</v>
      </c>
      <c r="BA103" s="33">
        <f t="shared" ca="1" si="98"/>
        <v>1.0398984299836954E-2</v>
      </c>
      <c r="BB103" s="33">
        <f t="shared" ca="1" si="98"/>
        <v>9.0451289069556733E-3</v>
      </c>
      <c r="BC103" s="33">
        <f t="shared" ca="1" si="98"/>
        <v>1.3347243411672673E-2</v>
      </c>
      <c r="BD103" s="33">
        <f t="shared" ca="1" si="98"/>
        <v>1.203982945405597E-2</v>
      </c>
      <c r="BE103" s="33">
        <f t="shared" ca="1" si="98"/>
        <v>1.2847246832168919E-2</v>
      </c>
      <c r="BF103" s="33">
        <f t="shared" ca="1" si="98"/>
        <v>1.0855001859264076E-2</v>
      </c>
      <c r="BG103" s="33">
        <f t="shared" ca="1" si="99"/>
        <v>1.2184218075802349E-2</v>
      </c>
      <c r="BH103" s="33">
        <f t="shared" ca="1" si="99"/>
        <v>1.1524939884239619E-2</v>
      </c>
      <c r="BI103" s="33">
        <f t="shared" ca="1" si="99"/>
        <v>1.2513414291107756E-2</v>
      </c>
      <c r="BJ103" s="33">
        <f t="shared" ca="1" si="99"/>
        <v>9.4312981513340905E-3</v>
      </c>
      <c r="BK103" s="33">
        <f t="shared" ca="1" si="99"/>
        <v>1.1367783124761902E-2</v>
      </c>
      <c r="BL103" s="33">
        <f t="shared" ca="1" si="99"/>
        <v>1.337813249756487E-2</v>
      </c>
      <c r="BM103" s="33">
        <f t="shared" ca="1" si="99"/>
        <v>1.2323506130824101E-2</v>
      </c>
      <c r="BN103" s="33">
        <f t="shared" ca="1" si="99"/>
        <v>1.0414044837963697E-2</v>
      </c>
      <c r="BO103" s="33">
        <f t="shared" ca="1" si="99"/>
        <v>1.0670900422195692E-2</v>
      </c>
      <c r="BP103" s="33">
        <f t="shared" ca="1" si="99"/>
        <v>1.2910820405905002E-2</v>
      </c>
      <c r="BQ103" s="33">
        <f t="shared" ca="1" si="100"/>
        <v>1.2886626951881665E-2</v>
      </c>
      <c r="BR103" s="33">
        <f t="shared" ca="1" si="100"/>
        <v>1.15539706318605E-2</v>
      </c>
      <c r="BS103" s="33">
        <f t="shared" ca="1" si="100"/>
        <v>1.327417707595909E-2</v>
      </c>
      <c r="BT103" s="33">
        <f t="shared" ca="1" si="100"/>
        <v>1.2539572069934545E-2</v>
      </c>
      <c r="BU103" s="33">
        <f t="shared" ca="1" si="100"/>
        <v>1.1262303424557508E-2</v>
      </c>
      <c r="BV103" s="33">
        <f t="shared" ca="1" si="100"/>
        <v>9.5418781596781042E-3</v>
      </c>
      <c r="BW103" s="33">
        <f t="shared" ca="1" si="100"/>
        <v>1.1060921711676403E-2</v>
      </c>
      <c r="BX103" s="33">
        <f t="shared" ca="1" si="100"/>
        <v>1.300734742865575E-2</v>
      </c>
      <c r="BY103" s="33">
        <f t="shared" ca="1" si="100"/>
        <v>9.5367893289448214E-3</v>
      </c>
      <c r="BZ103" s="33">
        <f t="shared" ca="1" si="100"/>
        <v>1.1325751539247459E-2</v>
      </c>
      <c r="CA103" s="33">
        <f t="shared" ca="1" si="101"/>
        <v>9.6862899370528475E-3</v>
      </c>
      <c r="CB103" s="33">
        <f t="shared" ca="1" si="101"/>
        <v>1.3211467963560446E-2</v>
      </c>
      <c r="CC103" s="33">
        <f t="shared" ca="1" si="101"/>
        <v>1.1396500002887772E-2</v>
      </c>
      <c r="CD103" s="33">
        <f t="shared" ca="1" si="101"/>
        <v>1.3103100724214462E-2</v>
      </c>
      <c r="CE103" s="33">
        <f t="shared" ca="1" si="101"/>
        <v>1.0845241264102782E-2</v>
      </c>
      <c r="CF103" s="33">
        <f t="shared" ca="1" si="101"/>
        <v>1.1866033012300901E-2</v>
      </c>
      <c r="CG103" s="33">
        <f t="shared" ca="1" si="101"/>
        <v>1.3865029551387464E-2</v>
      </c>
      <c r="CH103" s="33">
        <f t="shared" ca="1" si="101"/>
        <v>1.1884408560125886E-2</v>
      </c>
      <c r="CI103" s="33">
        <f t="shared" ca="1" si="101"/>
        <v>1.1529612588085016E-2</v>
      </c>
      <c r="CJ103" s="33">
        <f t="shared" ca="1" si="101"/>
        <v>1.0149152952462886E-2</v>
      </c>
      <c r="CK103" s="33">
        <f t="shared" ca="1" si="102"/>
        <v>1.1313972762017807E-2</v>
      </c>
      <c r="CL103" s="33">
        <f t="shared" ca="1" si="102"/>
        <v>1.0409382079616822E-2</v>
      </c>
      <c r="CM103" s="33">
        <f t="shared" ca="1" si="102"/>
        <v>9.3061579190206085E-3</v>
      </c>
      <c r="CN103" s="33">
        <f t="shared" ca="1" si="102"/>
        <v>1.1305166865822726E-2</v>
      </c>
      <c r="CO103" s="33">
        <f t="shared" ca="1" si="102"/>
        <v>1.0071776814901283E-2</v>
      </c>
      <c r="CP103" s="33">
        <f t="shared" ca="1" si="102"/>
        <v>1.0639377649750833E-2</v>
      </c>
      <c r="CQ103" s="33">
        <f t="shared" ca="1" si="102"/>
        <v>1.1256489356719954E-2</v>
      </c>
      <c r="CR103" s="33">
        <f t="shared" ca="1" si="102"/>
        <v>1.3295649842762878E-2</v>
      </c>
      <c r="CS103" s="33">
        <f t="shared" ca="1" si="102"/>
        <v>1.4041450516762789E-2</v>
      </c>
      <c r="CT103" s="33">
        <f t="shared" ca="1" si="102"/>
        <v>1.2102273771970266E-2</v>
      </c>
      <c r="CU103" s="33">
        <f t="shared" ca="1" si="103"/>
        <v>1.2388701927807453E-2</v>
      </c>
      <c r="CV103" s="33">
        <f t="shared" ca="1" si="103"/>
        <v>1.3585875870977406E-2</v>
      </c>
      <c r="CW103" s="33">
        <f t="shared" ca="1" si="103"/>
        <v>9.240271793347677E-3</v>
      </c>
      <c r="CX103" s="33">
        <f t="shared" ca="1" si="103"/>
        <v>9.4322026944854906E-3</v>
      </c>
      <c r="CY103" s="33">
        <f t="shared" ca="1" si="103"/>
        <v>1.106989255271945E-2</v>
      </c>
      <c r="CZ103" s="33">
        <f t="shared" ca="1" si="103"/>
        <v>1.3958209468018812E-2</v>
      </c>
      <c r="DA103" s="33">
        <f t="shared" ca="1" si="103"/>
        <v>1.207506988184716E-2</v>
      </c>
      <c r="DB103" s="33">
        <f t="shared" ca="1" si="103"/>
        <v>1.258155188463979E-2</v>
      </c>
      <c r="DC103" s="33">
        <f t="shared" ca="1" si="103"/>
        <v>1.1859223878989552E-2</v>
      </c>
      <c r="DD103" s="33">
        <f t="shared" ca="1" si="103"/>
        <v>1.0627029692394555E-2</v>
      </c>
      <c r="DE103" s="33">
        <f t="shared" ca="1" si="104"/>
        <v>1.1777866480048917E-2</v>
      </c>
      <c r="DF103" s="33">
        <f t="shared" ca="1" si="104"/>
        <v>1.3940171328934726E-2</v>
      </c>
      <c r="DG103" s="33">
        <f t="shared" ca="1" si="104"/>
        <v>1.2512263604662434E-2</v>
      </c>
      <c r="DH103" s="33">
        <f t="shared" ca="1" si="104"/>
        <v>1.0211752055112235E-2</v>
      </c>
      <c r="DI103" s="33">
        <f t="shared" ca="1" si="104"/>
        <v>1.2566678522215229E-2</v>
      </c>
      <c r="DJ103" s="33">
        <f t="shared" ca="1" si="104"/>
        <v>1.0928224386589682E-2</v>
      </c>
      <c r="DK103" s="33">
        <f t="shared" ca="1" si="104"/>
        <v>1.1373907067455216E-2</v>
      </c>
      <c r="DL103" s="33">
        <f t="shared" ca="1" si="104"/>
        <v>1.0572832799030903E-2</v>
      </c>
      <c r="DM103" s="33">
        <f t="shared" ca="1" si="104"/>
        <v>1.1537652277049367E-2</v>
      </c>
      <c r="DN103" s="33">
        <f t="shared" ca="1" si="104"/>
        <v>1.0600625771578625E-2</v>
      </c>
      <c r="DO103" s="12"/>
      <c r="DP103" s="12"/>
      <c r="DQ103" s="12"/>
    </row>
    <row r="104" spans="9:121" x14ac:dyDescent="0.2">
      <c r="I104" s="32">
        <v>47574</v>
      </c>
      <c r="J104" s="33">
        <f t="shared" ca="1" si="105"/>
        <v>1.2643145255441626E-2</v>
      </c>
      <c r="K104" s="9">
        <v>3844.2254781665279</v>
      </c>
      <c r="L104" s="9">
        <f t="shared" ca="1" si="74"/>
        <v>464178.88664315362</v>
      </c>
      <c r="N104" s="6">
        <v>100</v>
      </c>
      <c r="O104" s="5">
        <v>4.0315560931562873</v>
      </c>
      <c r="P104" s="9">
        <v>701180.76383113139</v>
      </c>
      <c r="R104" s="32">
        <v>47574</v>
      </c>
      <c r="S104" s="33">
        <f t="shared" ca="1" si="95"/>
        <v>1.4190272070289944E-2</v>
      </c>
      <c r="T104" s="33">
        <f t="shared" ca="1" si="95"/>
        <v>1.0468560323393796E-2</v>
      </c>
      <c r="U104" s="33">
        <f t="shared" ca="1" si="95"/>
        <v>1.1815476011732665E-2</v>
      </c>
      <c r="V104" s="33">
        <f t="shared" ca="1" si="95"/>
        <v>8.9465216986846004E-3</v>
      </c>
      <c r="W104" s="33">
        <f t="shared" ca="1" si="95"/>
        <v>1.2391362637095305E-2</v>
      </c>
      <c r="X104" s="33">
        <f t="shared" ca="1" si="95"/>
        <v>1.1797379430924331E-2</v>
      </c>
      <c r="Y104" s="33">
        <f t="shared" ca="1" si="95"/>
        <v>1.1752120810019577E-2</v>
      </c>
      <c r="Z104" s="33">
        <f t="shared" ca="1" si="95"/>
        <v>1.3006496898104033E-2</v>
      </c>
      <c r="AA104" s="33">
        <f t="shared" ca="1" si="95"/>
        <v>1.1712188804245299E-2</v>
      </c>
      <c r="AB104" s="33">
        <f t="shared" ca="1" si="95"/>
        <v>1.0190897037109892E-2</v>
      </c>
      <c r="AC104" s="33">
        <f t="shared" ca="1" si="96"/>
        <v>1.2075478682984109E-2</v>
      </c>
      <c r="AD104" s="33">
        <f t="shared" ca="1" si="96"/>
        <v>1.3551458305085062E-2</v>
      </c>
      <c r="AE104" s="33">
        <f t="shared" ca="1" si="96"/>
        <v>1.0096183596100185E-2</v>
      </c>
      <c r="AF104" s="33">
        <f t="shared" ca="1" si="96"/>
        <v>1.2182504009332282E-2</v>
      </c>
      <c r="AG104" s="33">
        <f t="shared" ca="1" si="96"/>
        <v>1.0005803483027735E-2</v>
      </c>
      <c r="AH104" s="33">
        <f t="shared" ca="1" si="96"/>
        <v>9.6239659358759756E-3</v>
      </c>
      <c r="AI104" s="33">
        <f t="shared" ca="1" si="96"/>
        <v>1.323008730128023E-2</v>
      </c>
      <c r="AJ104" s="33">
        <f t="shared" ca="1" si="96"/>
        <v>1.2756829853263232E-2</v>
      </c>
      <c r="AK104" s="33">
        <f t="shared" ca="1" si="96"/>
        <v>7.401390254927657E-3</v>
      </c>
      <c r="AL104" s="33">
        <f t="shared" ca="1" si="96"/>
        <v>1.2371803908855474E-2</v>
      </c>
      <c r="AM104" s="33">
        <f t="shared" ca="1" si="97"/>
        <v>1.3328732567741218E-2</v>
      </c>
      <c r="AN104" s="33">
        <f t="shared" ca="1" si="97"/>
        <v>1.1382741918473578E-2</v>
      </c>
      <c r="AO104" s="33">
        <f t="shared" ca="1" si="97"/>
        <v>1.04949069800806E-2</v>
      </c>
      <c r="AP104" s="33">
        <f t="shared" ca="1" si="97"/>
        <v>1.246683441968119E-2</v>
      </c>
      <c r="AQ104" s="33">
        <f t="shared" ca="1" si="97"/>
        <v>1.1665323054298786E-2</v>
      </c>
      <c r="AR104" s="33">
        <f t="shared" ca="1" si="97"/>
        <v>1.0766285655739396E-2</v>
      </c>
      <c r="AS104" s="33">
        <f t="shared" ca="1" si="97"/>
        <v>9.426574525508425E-3</v>
      </c>
      <c r="AT104" s="33">
        <f t="shared" ca="1" si="97"/>
        <v>1.0443234001817481E-2</v>
      </c>
      <c r="AU104" s="33">
        <f t="shared" ca="1" si="97"/>
        <v>1.0945780441895665E-2</v>
      </c>
      <c r="AV104" s="33">
        <f t="shared" ca="1" si="97"/>
        <v>1.1415884668406762E-2</v>
      </c>
      <c r="AW104" s="33">
        <f t="shared" ca="1" si="98"/>
        <v>1.219492088100073E-2</v>
      </c>
      <c r="AX104" s="33">
        <f t="shared" ca="1" si="98"/>
        <v>7.8143292984862167E-3</v>
      </c>
      <c r="AY104" s="33">
        <f t="shared" ca="1" si="98"/>
        <v>1.1249486891208957E-2</v>
      </c>
      <c r="AZ104" s="33">
        <f t="shared" ca="1" si="98"/>
        <v>1.1323571372157558E-2</v>
      </c>
      <c r="BA104" s="33">
        <f t="shared" ca="1" si="98"/>
        <v>1.2291135509675793E-2</v>
      </c>
      <c r="BB104" s="33">
        <f t="shared" ca="1" si="98"/>
        <v>7.4619645115043568E-3</v>
      </c>
      <c r="BC104" s="33">
        <f t="shared" ca="1" si="98"/>
        <v>1.174234786635061E-2</v>
      </c>
      <c r="BD104" s="33">
        <f t="shared" ca="1" si="98"/>
        <v>9.2973697328625638E-3</v>
      </c>
      <c r="BE104" s="33">
        <f t="shared" ca="1" si="98"/>
        <v>1.2154020068410503E-2</v>
      </c>
      <c r="BF104" s="33">
        <f t="shared" ca="1" si="98"/>
        <v>1.3345174674342859E-2</v>
      </c>
      <c r="BG104" s="33">
        <f t="shared" ca="1" si="99"/>
        <v>1.1305981644327241E-2</v>
      </c>
      <c r="BH104" s="33">
        <f t="shared" ca="1" si="99"/>
        <v>9.1785942479328669E-3</v>
      </c>
      <c r="BI104" s="33">
        <f t="shared" ca="1" si="99"/>
        <v>1.3267565843061886E-2</v>
      </c>
      <c r="BJ104" s="33">
        <f t="shared" ca="1" si="99"/>
        <v>1.0812575882500626E-2</v>
      </c>
      <c r="BK104" s="33">
        <f t="shared" ca="1" si="99"/>
        <v>1.2181856831216606E-2</v>
      </c>
      <c r="BL104" s="33">
        <f t="shared" ca="1" si="99"/>
        <v>1.1576628998193268E-2</v>
      </c>
      <c r="BM104" s="33">
        <f t="shared" ca="1" si="99"/>
        <v>8.5369924492323078E-3</v>
      </c>
      <c r="BN104" s="33">
        <f t="shared" ca="1" si="99"/>
        <v>1.0736267275693653E-2</v>
      </c>
      <c r="BO104" s="33">
        <f t="shared" ca="1" si="99"/>
        <v>1.1868557362792586E-2</v>
      </c>
      <c r="BP104" s="33">
        <f t="shared" ca="1" si="99"/>
        <v>1.0040803162694642E-2</v>
      </c>
      <c r="BQ104" s="33">
        <f t="shared" ca="1" si="100"/>
        <v>1.1316610837317279E-2</v>
      </c>
      <c r="BR104" s="33">
        <f t="shared" ca="1" si="100"/>
        <v>1.1441352323842156E-2</v>
      </c>
      <c r="BS104" s="33">
        <f t="shared" ca="1" si="100"/>
        <v>1.1444073506734712E-2</v>
      </c>
      <c r="BT104" s="33">
        <f t="shared" ca="1" si="100"/>
        <v>1.1235195012723345E-2</v>
      </c>
      <c r="BU104" s="33">
        <f t="shared" ca="1" si="100"/>
        <v>1.0309120624741378E-2</v>
      </c>
      <c r="BV104" s="33">
        <f t="shared" ca="1" si="100"/>
        <v>1.4127678679243205E-2</v>
      </c>
      <c r="BW104" s="33">
        <f t="shared" ca="1" si="100"/>
        <v>7.7353470174148058E-3</v>
      </c>
      <c r="BX104" s="33">
        <f t="shared" ca="1" si="100"/>
        <v>1.1564802341150517E-2</v>
      </c>
      <c r="BY104" s="33">
        <f t="shared" ca="1" si="100"/>
        <v>1.3042704079037527E-2</v>
      </c>
      <c r="BZ104" s="33">
        <f t="shared" ca="1" si="100"/>
        <v>9.8376875884511154E-3</v>
      </c>
      <c r="CA104" s="33">
        <f t="shared" ca="1" si="101"/>
        <v>1.3230786560777278E-2</v>
      </c>
      <c r="CB104" s="33">
        <f t="shared" ca="1" si="101"/>
        <v>1.4161300097492835E-2</v>
      </c>
      <c r="CC104" s="33">
        <f t="shared" ca="1" si="101"/>
        <v>9.779203920799704E-3</v>
      </c>
      <c r="CD104" s="33">
        <f t="shared" ca="1" si="101"/>
        <v>1.2229101472302864E-2</v>
      </c>
      <c r="CE104" s="33">
        <f t="shared" ca="1" si="101"/>
        <v>1.2461389175427762E-2</v>
      </c>
      <c r="CF104" s="33">
        <f t="shared" ca="1" si="101"/>
        <v>1.1585518437193588E-2</v>
      </c>
      <c r="CG104" s="33">
        <f t="shared" ca="1" si="101"/>
        <v>1.1898941710646718E-2</v>
      </c>
      <c r="CH104" s="33">
        <f t="shared" ca="1" si="101"/>
        <v>1.276104714856687E-2</v>
      </c>
      <c r="CI104" s="33">
        <f t="shared" ca="1" si="101"/>
        <v>1.3832216178597048E-2</v>
      </c>
      <c r="CJ104" s="33">
        <f t="shared" ca="1" si="101"/>
        <v>1.2155534627553401E-2</v>
      </c>
      <c r="CK104" s="33">
        <f t="shared" ca="1" si="102"/>
        <v>1.2051051716467793E-2</v>
      </c>
      <c r="CL104" s="33">
        <f t="shared" ca="1" si="102"/>
        <v>1.0135027841767924E-2</v>
      </c>
      <c r="CM104" s="33">
        <f t="shared" ca="1" si="102"/>
        <v>1.0102721590294145E-2</v>
      </c>
      <c r="CN104" s="33">
        <f t="shared" ca="1" si="102"/>
        <v>1.3900389785637332E-2</v>
      </c>
      <c r="CO104" s="33">
        <f t="shared" ca="1" si="102"/>
        <v>1.157335219437689E-2</v>
      </c>
      <c r="CP104" s="33">
        <f t="shared" ca="1" si="102"/>
        <v>1.1448786702056372E-2</v>
      </c>
      <c r="CQ104" s="33">
        <f t="shared" ca="1" si="102"/>
        <v>1.2912063946827297E-2</v>
      </c>
      <c r="CR104" s="33">
        <f t="shared" ca="1" si="102"/>
        <v>9.7061578316762157E-3</v>
      </c>
      <c r="CS104" s="33">
        <f t="shared" ca="1" si="102"/>
        <v>1.100574462786048E-2</v>
      </c>
      <c r="CT104" s="33">
        <f t="shared" ca="1" si="102"/>
        <v>1.1805488480306619E-2</v>
      </c>
      <c r="CU104" s="33">
        <f t="shared" ca="1" si="103"/>
        <v>9.2269542608475058E-3</v>
      </c>
      <c r="CV104" s="33">
        <f t="shared" ca="1" si="103"/>
        <v>1.2898167706210701E-2</v>
      </c>
      <c r="CW104" s="33">
        <f t="shared" ca="1" si="103"/>
        <v>1.146951405047128E-2</v>
      </c>
      <c r="CX104" s="33">
        <f t="shared" ca="1" si="103"/>
        <v>1.049319222576239E-2</v>
      </c>
      <c r="CY104" s="33">
        <f t="shared" ca="1" si="103"/>
        <v>1.2844638062344515E-2</v>
      </c>
      <c r="CZ104" s="33">
        <f t="shared" ca="1" si="103"/>
        <v>1.2857431406632524E-2</v>
      </c>
      <c r="DA104" s="33">
        <f t="shared" ca="1" si="103"/>
        <v>1.0482093975999394E-2</v>
      </c>
      <c r="DB104" s="33">
        <f t="shared" ca="1" si="103"/>
        <v>1.4035153142043958E-2</v>
      </c>
      <c r="DC104" s="33">
        <f t="shared" ca="1" si="103"/>
        <v>1.2715973178039696E-2</v>
      </c>
      <c r="DD104" s="33">
        <f t="shared" ca="1" si="103"/>
        <v>1.1554653645734573E-2</v>
      </c>
      <c r="DE104" s="33">
        <f t="shared" ca="1" si="104"/>
        <v>1.2562136714263612E-2</v>
      </c>
      <c r="DF104" s="33">
        <f t="shared" ca="1" si="104"/>
        <v>9.7996067908871672E-3</v>
      </c>
      <c r="DG104" s="33">
        <f t="shared" ca="1" si="104"/>
        <v>9.0516539457286948E-3</v>
      </c>
      <c r="DH104" s="33">
        <f t="shared" ca="1" si="104"/>
        <v>1.0429715764188413E-2</v>
      </c>
      <c r="DI104" s="33">
        <f t="shared" ca="1" si="104"/>
        <v>9.8436190053335319E-3</v>
      </c>
      <c r="DJ104" s="33">
        <f t="shared" ca="1" si="104"/>
        <v>1.0907552455612098E-2</v>
      </c>
      <c r="DK104" s="33">
        <f t="shared" ca="1" si="104"/>
        <v>1.1326591563213662E-2</v>
      </c>
      <c r="DL104" s="33">
        <f t="shared" ca="1" si="104"/>
        <v>1.3887102377572741E-2</v>
      </c>
      <c r="DM104" s="33">
        <f t="shared" ca="1" si="104"/>
        <v>1.218080806275333E-2</v>
      </c>
      <c r="DN104" s="33">
        <f t="shared" ca="1" si="104"/>
        <v>1.0848174812945614E-2</v>
      </c>
      <c r="DO104" s="12"/>
      <c r="DP104" s="12"/>
      <c r="DQ104" s="12"/>
    </row>
    <row r="105" spans="9:121" x14ac:dyDescent="0.2">
      <c r="I105" s="32">
        <v>47604</v>
      </c>
      <c r="J105" s="33">
        <f t="shared" ca="1" si="105"/>
        <v>1.0708098570849364E-2</v>
      </c>
      <c r="K105" s="9">
        <v>3844.2254781665279</v>
      </c>
      <c r="L105" s="9">
        <f t="shared" ca="1" si="74"/>
        <v>473020.29279624834</v>
      </c>
      <c r="R105" s="32">
        <v>47604</v>
      </c>
      <c r="S105" s="33">
        <f t="shared" ref="S105:AB114" ca="1" si="106">_xlfn.NORM.INV(RAND(),$A$52,$B$45)</f>
        <v>1.443513346885042E-2</v>
      </c>
      <c r="T105" s="33">
        <f t="shared" ca="1" si="106"/>
        <v>1.1494463631147036E-2</v>
      </c>
      <c r="U105" s="33">
        <f t="shared" ca="1" si="106"/>
        <v>1.3000294313438007E-2</v>
      </c>
      <c r="V105" s="33">
        <f t="shared" ca="1" si="106"/>
        <v>1.388325271061332E-2</v>
      </c>
      <c r="W105" s="33">
        <f t="shared" ca="1" si="106"/>
        <v>1.0359721563198077E-2</v>
      </c>
      <c r="X105" s="33">
        <f t="shared" ca="1" si="106"/>
        <v>1.0825134305556032E-2</v>
      </c>
      <c r="Y105" s="33">
        <f t="shared" ca="1" si="106"/>
        <v>1.1936158257507906E-2</v>
      </c>
      <c r="Z105" s="33">
        <f t="shared" ca="1" si="106"/>
        <v>1.2699859215142323E-2</v>
      </c>
      <c r="AA105" s="33">
        <f t="shared" ca="1" si="106"/>
        <v>1.1425138318520723E-2</v>
      </c>
      <c r="AB105" s="33">
        <f t="shared" ca="1" si="106"/>
        <v>1.0190540144808349E-2</v>
      </c>
      <c r="AC105" s="33">
        <f t="shared" ref="AC105:AL114" ca="1" si="107">_xlfn.NORM.INV(RAND(),$A$52,$B$45)</f>
        <v>1.1923671070290071E-2</v>
      </c>
      <c r="AD105" s="33">
        <f t="shared" ca="1" si="107"/>
        <v>1.3132947162258622E-2</v>
      </c>
      <c r="AE105" s="33">
        <f t="shared" ca="1" si="107"/>
        <v>1.2100491427451274E-2</v>
      </c>
      <c r="AF105" s="33">
        <f t="shared" ca="1" si="107"/>
        <v>9.065300784248196E-3</v>
      </c>
      <c r="AG105" s="33">
        <f t="shared" ca="1" si="107"/>
        <v>9.8415331437583849E-3</v>
      </c>
      <c r="AH105" s="33">
        <f t="shared" ca="1" si="107"/>
        <v>1.3909168889320193E-2</v>
      </c>
      <c r="AI105" s="33">
        <f t="shared" ca="1" si="107"/>
        <v>1.1362357560739226E-2</v>
      </c>
      <c r="AJ105" s="33">
        <f t="shared" ca="1" si="107"/>
        <v>9.719595980745576E-3</v>
      </c>
      <c r="AK105" s="33">
        <f t="shared" ca="1" si="107"/>
        <v>8.786191140799926E-3</v>
      </c>
      <c r="AL105" s="33">
        <f t="shared" ca="1" si="107"/>
        <v>9.0760859061850743E-3</v>
      </c>
      <c r="AM105" s="33">
        <f t="shared" ref="AM105:AV114" ca="1" si="108">_xlfn.NORM.INV(RAND(),$A$52,$B$45)</f>
        <v>1.0443345719324133E-2</v>
      </c>
      <c r="AN105" s="33">
        <f t="shared" ca="1" si="108"/>
        <v>1.1557176675124412E-2</v>
      </c>
      <c r="AO105" s="33">
        <f t="shared" ca="1" si="108"/>
        <v>8.1403942888522828E-3</v>
      </c>
      <c r="AP105" s="33">
        <f t="shared" ca="1" si="108"/>
        <v>1.1811476512847505E-2</v>
      </c>
      <c r="AQ105" s="33">
        <f t="shared" ca="1" si="108"/>
        <v>1.0984251831475122E-2</v>
      </c>
      <c r="AR105" s="33">
        <f t="shared" ca="1" si="108"/>
        <v>1.2791183318830772E-2</v>
      </c>
      <c r="AS105" s="33">
        <f t="shared" ca="1" si="108"/>
        <v>1.361207651140537E-2</v>
      </c>
      <c r="AT105" s="33">
        <f t="shared" ca="1" si="108"/>
        <v>9.8750052943895987E-3</v>
      </c>
      <c r="AU105" s="33">
        <f t="shared" ca="1" si="108"/>
        <v>9.7357727295540458E-3</v>
      </c>
      <c r="AV105" s="33">
        <f t="shared" ca="1" si="108"/>
        <v>9.6925025563887914E-3</v>
      </c>
      <c r="AW105" s="33">
        <f t="shared" ref="AW105:BF114" ca="1" si="109">_xlfn.NORM.INV(RAND(),$A$52,$B$45)</f>
        <v>1.2416627738468321E-2</v>
      </c>
      <c r="AX105" s="33">
        <f t="shared" ca="1" si="109"/>
        <v>1.3652315878931806E-2</v>
      </c>
      <c r="AY105" s="33">
        <f t="shared" ca="1" si="109"/>
        <v>1.2528001725977643E-2</v>
      </c>
      <c r="AZ105" s="33">
        <f t="shared" ca="1" si="109"/>
        <v>1.2643778216600047E-2</v>
      </c>
      <c r="BA105" s="33">
        <f t="shared" ca="1" si="109"/>
        <v>9.9081102817166963E-3</v>
      </c>
      <c r="BB105" s="33">
        <f t="shared" ca="1" si="109"/>
        <v>1.3382480214857238E-2</v>
      </c>
      <c r="BC105" s="33">
        <f t="shared" ca="1" si="109"/>
        <v>1.0937762087163707E-2</v>
      </c>
      <c r="BD105" s="33">
        <f t="shared" ca="1" si="109"/>
        <v>1.1159964065914837E-2</v>
      </c>
      <c r="BE105" s="33">
        <f t="shared" ca="1" si="109"/>
        <v>1.0190740166289815E-2</v>
      </c>
      <c r="BF105" s="33">
        <f t="shared" ca="1" si="109"/>
        <v>1.3254770046071292E-2</v>
      </c>
      <c r="BG105" s="33">
        <f t="shared" ref="BG105:BP114" ca="1" si="110">_xlfn.NORM.INV(RAND(),$A$52,$B$45)</f>
        <v>1.0726806926557109E-2</v>
      </c>
      <c r="BH105" s="33">
        <f t="shared" ca="1" si="110"/>
        <v>1.0826383903684227E-2</v>
      </c>
      <c r="BI105" s="33">
        <f t="shared" ca="1" si="110"/>
        <v>1.188480225228054E-2</v>
      </c>
      <c r="BJ105" s="33">
        <f t="shared" ca="1" si="110"/>
        <v>1.2561598636811932E-2</v>
      </c>
      <c r="BK105" s="33">
        <f t="shared" ca="1" si="110"/>
        <v>1.271965787493016E-2</v>
      </c>
      <c r="BL105" s="33">
        <f t="shared" ca="1" si="110"/>
        <v>1.0890890215448907E-2</v>
      </c>
      <c r="BM105" s="33">
        <f t="shared" ca="1" si="110"/>
        <v>1.1481169660753994E-2</v>
      </c>
      <c r="BN105" s="33">
        <f t="shared" ca="1" si="110"/>
        <v>1.2255092271577407E-2</v>
      </c>
      <c r="BO105" s="33">
        <f t="shared" ca="1" si="110"/>
        <v>1.0006453024615159E-2</v>
      </c>
      <c r="BP105" s="33">
        <f t="shared" ca="1" si="110"/>
        <v>1.1468275460383009E-2</v>
      </c>
      <c r="BQ105" s="33">
        <f t="shared" ref="BQ105:BZ114" ca="1" si="111">_xlfn.NORM.INV(RAND(),$A$52,$B$45)</f>
        <v>1.056199486246886E-2</v>
      </c>
      <c r="BR105" s="33">
        <f t="shared" ca="1" si="111"/>
        <v>1.3012250130831231E-2</v>
      </c>
      <c r="BS105" s="33">
        <f t="shared" ca="1" si="111"/>
        <v>1.4195514905609139E-2</v>
      </c>
      <c r="BT105" s="33">
        <f t="shared" ca="1" si="111"/>
        <v>1.333545396585022E-2</v>
      </c>
      <c r="BU105" s="33">
        <f t="shared" ca="1" si="111"/>
        <v>1.1729553566003682E-2</v>
      </c>
      <c r="BV105" s="33">
        <f t="shared" ca="1" si="111"/>
        <v>9.8290890836783031E-3</v>
      </c>
      <c r="BW105" s="33">
        <f t="shared" ca="1" si="111"/>
        <v>1.4732475872368889E-2</v>
      </c>
      <c r="BX105" s="33">
        <f t="shared" ca="1" si="111"/>
        <v>1.3093970238965857E-2</v>
      </c>
      <c r="BY105" s="33">
        <f t="shared" ca="1" si="111"/>
        <v>1.3223193868658563E-2</v>
      </c>
      <c r="BZ105" s="33">
        <f t="shared" ca="1" si="111"/>
        <v>1.0598915620410375E-2</v>
      </c>
      <c r="CA105" s="33">
        <f t="shared" ref="CA105:CJ114" ca="1" si="112">_xlfn.NORM.INV(RAND(),$A$52,$B$45)</f>
        <v>1.254003662252233E-2</v>
      </c>
      <c r="CB105" s="33">
        <f t="shared" ca="1" si="112"/>
        <v>1.1481174516428239E-2</v>
      </c>
      <c r="CC105" s="33">
        <f t="shared" ca="1" si="112"/>
        <v>1.0598599623518555E-2</v>
      </c>
      <c r="CD105" s="33">
        <f t="shared" ca="1" si="112"/>
        <v>1.1574524421530683E-2</v>
      </c>
      <c r="CE105" s="33">
        <f t="shared" ca="1" si="112"/>
        <v>1.0773496744912512E-2</v>
      </c>
      <c r="CF105" s="33">
        <f t="shared" ca="1" si="112"/>
        <v>1.2572169099701573E-2</v>
      </c>
      <c r="CG105" s="33">
        <f t="shared" ca="1" si="112"/>
        <v>1.1632290827589707E-2</v>
      </c>
      <c r="CH105" s="33">
        <f t="shared" ca="1" si="112"/>
        <v>1.2599588115771332E-2</v>
      </c>
      <c r="CI105" s="33">
        <f t="shared" ca="1" si="112"/>
        <v>1.1302832976956379E-2</v>
      </c>
      <c r="CJ105" s="33">
        <f t="shared" ca="1" si="112"/>
        <v>1.0326706666725265E-2</v>
      </c>
      <c r="CK105" s="33">
        <f t="shared" ref="CK105:CT114" ca="1" si="113">_xlfn.NORM.INV(RAND(),$A$52,$B$45)</f>
        <v>1.2558286785939839E-2</v>
      </c>
      <c r="CL105" s="33">
        <f t="shared" ca="1" si="113"/>
        <v>9.0368229699118348E-3</v>
      </c>
      <c r="CM105" s="33">
        <f t="shared" ca="1" si="113"/>
        <v>1.1631191559940692E-2</v>
      </c>
      <c r="CN105" s="33">
        <f t="shared" ca="1" si="113"/>
        <v>1.1234400176624859E-2</v>
      </c>
      <c r="CO105" s="33">
        <f t="shared" ca="1" si="113"/>
        <v>9.9047193429371277E-3</v>
      </c>
      <c r="CP105" s="33">
        <f t="shared" ca="1" si="113"/>
        <v>1.2717154678038144E-2</v>
      </c>
      <c r="CQ105" s="33">
        <f t="shared" ca="1" si="113"/>
        <v>1.0979360240476181E-2</v>
      </c>
      <c r="CR105" s="33">
        <f t="shared" ca="1" si="113"/>
        <v>9.0562678087521241E-3</v>
      </c>
      <c r="CS105" s="33">
        <f t="shared" ca="1" si="113"/>
        <v>1.3346776723218594E-2</v>
      </c>
      <c r="CT105" s="33">
        <f t="shared" ca="1" si="113"/>
        <v>1.0269639262696605E-2</v>
      </c>
      <c r="CU105" s="33">
        <f t="shared" ref="CU105:DD114" ca="1" si="114">_xlfn.NORM.INV(RAND(),$A$52,$B$45)</f>
        <v>1.1778308477327908E-2</v>
      </c>
      <c r="CV105" s="33">
        <f t="shared" ca="1" si="114"/>
        <v>1.2122680931081313E-2</v>
      </c>
      <c r="CW105" s="33">
        <f t="shared" ca="1" si="114"/>
        <v>1.2554974889336242E-2</v>
      </c>
      <c r="CX105" s="33">
        <f t="shared" ca="1" si="114"/>
        <v>1.2738374273630641E-2</v>
      </c>
      <c r="CY105" s="33">
        <f t="shared" ca="1" si="114"/>
        <v>1.0932159425517373E-2</v>
      </c>
      <c r="CZ105" s="33">
        <f t="shared" ca="1" si="114"/>
        <v>9.2697322420963926E-3</v>
      </c>
      <c r="DA105" s="33">
        <f t="shared" ca="1" si="114"/>
        <v>1.1826868887390716E-2</v>
      </c>
      <c r="DB105" s="33">
        <f t="shared" ca="1" si="114"/>
        <v>1.1259825846339252E-2</v>
      </c>
      <c r="DC105" s="33">
        <f t="shared" ca="1" si="114"/>
        <v>1.2186846389879803E-2</v>
      </c>
      <c r="DD105" s="33">
        <f t="shared" ca="1" si="114"/>
        <v>1.0925886589652481E-2</v>
      </c>
      <c r="DE105" s="33">
        <f t="shared" ref="DE105:DN114" ca="1" si="115">_xlfn.NORM.INV(RAND(),$A$52,$B$45)</f>
        <v>1.0548458712057267E-2</v>
      </c>
      <c r="DF105" s="33">
        <f t="shared" ca="1" si="115"/>
        <v>1.1112751094439091E-2</v>
      </c>
      <c r="DG105" s="33">
        <f t="shared" ca="1" si="115"/>
        <v>1.0755411247580346E-2</v>
      </c>
      <c r="DH105" s="33">
        <f t="shared" ca="1" si="115"/>
        <v>1.185197291378696E-2</v>
      </c>
      <c r="DI105" s="33">
        <f t="shared" ca="1" si="115"/>
        <v>1.0761004849162668E-2</v>
      </c>
      <c r="DJ105" s="33">
        <f t="shared" ca="1" si="115"/>
        <v>9.5300803964890428E-3</v>
      </c>
      <c r="DK105" s="33">
        <f t="shared" ca="1" si="115"/>
        <v>1.0684197727896061E-2</v>
      </c>
      <c r="DL105" s="33">
        <f t="shared" ca="1" si="115"/>
        <v>1.1631668005669442E-2</v>
      </c>
      <c r="DM105" s="33">
        <f t="shared" ca="1" si="115"/>
        <v>1.0086584576261819E-2</v>
      </c>
      <c r="DN105" s="33">
        <f t="shared" ca="1" si="115"/>
        <v>1.0367038355433124E-2</v>
      </c>
      <c r="DO105" s="12"/>
      <c r="DP105" s="12"/>
      <c r="DQ105" s="12"/>
    </row>
    <row r="106" spans="9:121" x14ac:dyDescent="0.2">
      <c r="I106" s="32">
        <v>47635</v>
      </c>
      <c r="J106" s="33">
        <f t="shared" ca="1" si="105"/>
        <v>1.4321851397616214E-2</v>
      </c>
      <c r="K106" s="9">
        <v>3844.2254781665279</v>
      </c>
      <c r="L106" s="9">
        <f t="shared" ca="1" si="74"/>
        <v>483687.78892057878</v>
      </c>
      <c r="R106" s="32">
        <v>47635</v>
      </c>
      <c r="S106" s="33">
        <f t="shared" ca="1" si="106"/>
        <v>1.012223028471511E-2</v>
      </c>
      <c r="T106" s="33">
        <f t="shared" ca="1" si="106"/>
        <v>1.143648759155769E-2</v>
      </c>
      <c r="U106" s="33">
        <f t="shared" ca="1" si="106"/>
        <v>1.0221286137682351E-2</v>
      </c>
      <c r="V106" s="33">
        <f t="shared" ca="1" si="106"/>
        <v>9.0406604663665485E-3</v>
      </c>
      <c r="W106" s="33">
        <f t="shared" ca="1" si="106"/>
        <v>1.0880846806709237E-2</v>
      </c>
      <c r="X106" s="33">
        <f t="shared" ca="1" si="106"/>
        <v>1.0122851603353942E-2</v>
      </c>
      <c r="Y106" s="33">
        <f t="shared" ca="1" si="106"/>
        <v>1.0815277872498591E-2</v>
      </c>
      <c r="Z106" s="33">
        <f t="shared" ca="1" si="106"/>
        <v>9.7458708201668028E-3</v>
      </c>
      <c r="AA106" s="33">
        <f t="shared" ca="1" si="106"/>
        <v>1.0029188080013615E-2</v>
      </c>
      <c r="AB106" s="33">
        <f t="shared" ca="1" si="106"/>
        <v>1.0095737293300299E-2</v>
      </c>
      <c r="AC106" s="33">
        <f t="shared" ca="1" si="107"/>
        <v>1.0543533285970966E-2</v>
      </c>
      <c r="AD106" s="33">
        <f t="shared" ca="1" si="107"/>
        <v>1.0863216191289396E-2</v>
      </c>
      <c r="AE106" s="33">
        <f t="shared" ca="1" si="107"/>
        <v>9.7116811981285238E-3</v>
      </c>
      <c r="AF106" s="33">
        <f t="shared" ca="1" si="107"/>
        <v>1.2618885193181106E-2</v>
      </c>
      <c r="AG106" s="33">
        <f t="shared" ca="1" si="107"/>
        <v>1.1937837239954235E-2</v>
      </c>
      <c r="AH106" s="33">
        <f t="shared" ca="1" si="107"/>
        <v>9.3606220268029026E-3</v>
      </c>
      <c r="AI106" s="33">
        <f t="shared" ca="1" si="107"/>
        <v>9.6129867166492144E-3</v>
      </c>
      <c r="AJ106" s="33">
        <f t="shared" ca="1" si="107"/>
        <v>1.2092977262799917E-2</v>
      </c>
      <c r="AK106" s="33">
        <f t="shared" ca="1" si="107"/>
        <v>1.2058834303435019E-2</v>
      </c>
      <c r="AL106" s="33">
        <f t="shared" ca="1" si="107"/>
        <v>1.126158326850959E-2</v>
      </c>
      <c r="AM106" s="33">
        <f t="shared" ca="1" si="108"/>
        <v>1.0818480961680416E-2</v>
      </c>
      <c r="AN106" s="33">
        <f t="shared" ca="1" si="108"/>
        <v>1.0348433145420294E-2</v>
      </c>
      <c r="AO106" s="33">
        <f t="shared" ca="1" si="108"/>
        <v>1.1502064865149451E-2</v>
      </c>
      <c r="AP106" s="33">
        <f t="shared" ca="1" si="108"/>
        <v>1.2655031721233882E-2</v>
      </c>
      <c r="AQ106" s="33">
        <f t="shared" ca="1" si="108"/>
        <v>1.1265175838892942E-2</v>
      </c>
      <c r="AR106" s="33">
        <f t="shared" ca="1" si="108"/>
        <v>1.2084684213405189E-2</v>
      </c>
      <c r="AS106" s="33">
        <f t="shared" ca="1" si="108"/>
        <v>1.3560167561879603E-2</v>
      </c>
      <c r="AT106" s="33">
        <f t="shared" ca="1" si="108"/>
        <v>1.2607206839148248E-2</v>
      </c>
      <c r="AU106" s="33">
        <f t="shared" ca="1" si="108"/>
        <v>1.1540127451112627E-2</v>
      </c>
      <c r="AV106" s="33">
        <f t="shared" ca="1" si="108"/>
        <v>9.1063902922962556E-3</v>
      </c>
      <c r="AW106" s="33">
        <f t="shared" ca="1" si="109"/>
        <v>1.0591771566046862E-2</v>
      </c>
      <c r="AX106" s="33">
        <f t="shared" ca="1" si="109"/>
        <v>1.3037211078032346E-2</v>
      </c>
      <c r="AY106" s="33">
        <f t="shared" ca="1" si="109"/>
        <v>1.0213535236981848E-2</v>
      </c>
      <c r="AZ106" s="33">
        <f t="shared" ca="1" si="109"/>
        <v>1.1526844178531424E-2</v>
      </c>
      <c r="BA106" s="33">
        <f t="shared" ca="1" si="109"/>
        <v>1.3468811934777803E-2</v>
      </c>
      <c r="BB106" s="33">
        <f t="shared" ca="1" si="109"/>
        <v>9.0425848028342255E-3</v>
      </c>
      <c r="BC106" s="33">
        <f t="shared" ca="1" si="109"/>
        <v>1.367988451003644E-2</v>
      </c>
      <c r="BD106" s="33">
        <f t="shared" ca="1" si="109"/>
        <v>9.5905695712800634E-3</v>
      </c>
      <c r="BE106" s="33">
        <f t="shared" ca="1" si="109"/>
        <v>1.4281307938137797E-2</v>
      </c>
      <c r="BF106" s="33">
        <f t="shared" ca="1" si="109"/>
        <v>1.0424645389655728E-2</v>
      </c>
      <c r="BG106" s="33">
        <f t="shared" ca="1" si="110"/>
        <v>1.1415666597406228E-2</v>
      </c>
      <c r="BH106" s="33">
        <f t="shared" ca="1" si="110"/>
        <v>1.090258378296984E-2</v>
      </c>
      <c r="BI106" s="33">
        <f t="shared" ca="1" si="110"/>
        <v>1.2081049513138931E-2</v>
      </c>
      <c r="BJ106" s="33">
        <f t="shared" ca="1" si="110"/>
        <v>1.3451531254900074E-2</v>
      </c>
      <c r="BK106" s="33">
        <f t="shared" ca="1" si="110"/>
        <v>1.0889922376889438E-2</v>
      </c>
      <c r="BL106" s="33">
        <f t="shared" ca="1" si="110"/>
        <v>9.0584319854905924E-3</v>
      </c>
      <c r="BM106" s="33">
        <f t="shared" ca="1" si="110"/>
        <v>1.1443674455465918E-2</v>
      </c>
      <c r="BN106" s="33">
        <f t="shared" ca="1" si="110"/>
        <v>1.0753671041014328E-2</v>
      </c>
      <c r="BO106" s="33">
        <f t="shared" ca="1" si="110"/>
        <v>1.2566268423070841E-2</v>
      </c>
      <c r="BP106" s="33">
        <f t="shared" ca="1" si="110"/>
        <v>1.5154507897333625E-2</v>
      </c>
      <c r="BQ106" s="33">
        <f t="shared" ca="1" si="111"/>
        <v>9.4821043942832431E-3</v>
      </c>
      <c r="BR106" s="33">
        <f t="shared" ca="1" si="111"/>
        <v>1.3488968305267366E-2</v>
      </c>
      <c r="BS106" s="33">
        <f t="shared" ca="1" si="111"/>
        <v>7.5540734547637559E-3</v>
      </c>
      <c r="BT106" s="33">
        <f t="shared" ca="1" si="111"/>
        <v>9.1681092331410419E-3</v>
      </c>
      <c r="BU106" s="33">
        <f t="shared" ca="1" si="111"/>
        <v>6.751829697353785E-3</v>
      </c>
      <c r="BV106" s="33">
        <f t="shared" ca="1" si="111"/>
        <v>9.2875676393047342E-3</v>
      </c>
      <c r="BW106" s="33">
        <f t="shared" ca="1" si="111"/>
        <v>1.0569945996053294E-2</v>
      </c>
      <c r="BX106" s="33">
        <f t="shared" ca="1" si="111"/>
        <v>1.1563038951584469E-2</v>
      </c>
      <c r="BY106" s="33">
        <f t="shared" ca="1" si="111"/>
        <v>1.2419404837361784E-2</v>
      </c>
      <c r="BZ106" s="33">
        <f t="shared" ca="1" si="111"/>
        <v>1.2176222218965931E-2</v>
      </c>
      <c r="CA106" s="33">
        <f t="shared" ca="1" si="112"/>
        <v>1.2205302482358972E-2</v>
      </c>
      <c r="CB106" s="33">
        <f t="shared" ca="1" si="112"/>
        <v>1.0941588914981143E-2</v>
      </c>
      <c r="CC106" s="33">
        <f t="shared" ca="1" si="112"/>
        <v>1.1034011807321154E-2</v>
      </c>
      <c r="CD106" s="33">
        <f t="shared" ca="1" si="112"/>
        <v>1.2465093809980952E-2</v>
      </c>
      <c r="CE106" s="33">
        <f t="shared" ca="1" si="112"/>
        <v>1.0588125182455506E-2</v>
      </c>
      <c r="CF106" s="33">
        <f t="shared" ca="1" si="112"/>
        <v>1.4185573494188199E-2</v>
      </c>
      <c r="CG106" s="33">
        <f t="shared" ca="1" si="112"/>
        <v>1.1186541454074394E-2</v>
      </c>
      <c r="CH106" s="33">
        <f t="shared" ca="1" si="112"/>
        <v>9.6805577496775971E-3</v>
      </c>
      <c r="CI106" s="33">
        <f t="shared" ca="1" si="112"/>
        <v>1.3576998409233111E-2</v>
      </c>
      <c r="CJ106" s="33">
        <f t="shared" ca="1" si="112"/>
        <v>1.0269157739393301E-2</v>
      </c>
      <c r="CK106" s="33">
        <f t="shared" ca="1" si="113"/>
        <v>1.2516046755097552E-2</v>
      </c>
      <c r="CL106" s="33">
        <f t="shared" ca="1" si="113"/>
        <v>1.0979538111233844E-2</v>
      </c>
      <c r="CM106" s="33">
        <f t="shared" ca="1" si="113"/>
        <v>9.7445980016571919E-3</v>
      </c>
      <c r="CN106" s="33">
        <f t="shared" ca="1" si="113"/>
        <v>1.1455184602846065E-2</v>
      </c>
      <c r="CO106" s="33">
        <f t="shared" ca="1" si="113"/>
        <v>1.078385221624896E-2</v>
      </c>
      <c r="CP106" s="33">
        <f t="shared" ca="1" si="113"/>
        <v>9.6389224200849975E-3</v>
      </c>
      <c r="CQ106" s="33">
        <f t="shared" ca="1" si="113"/>
        <v>1.2459451306737207E-2</v>
      </c>
      <c r="CR106" s="33">
        <f t="shared" ca="1" si="113"/>
        <v>1.1539681317016577E-2</v>
      </c>
      <c r="CS106" s="33">
        <f t="shared" ca="1" si="113"/>
        <v>1.2262319785815094E-2</v>
      </c>
      <c r="CT106" s="33">
        <f t="shared" ca="1" si="113"/>
        <v>1.134179982344575E-2</v>
      </c>
      <c r="CU106" s="33">
        <f t="shared" ca="1" si="114"/>
        <v>9.8191051591459133E-3</v>
      </c>
      <c r="CV106" s="33">
        <f t="shared" ca="1" si="114"/>
        <v>1.0153775587568506E-2</v>
      </c>
      <c r="CW106" s="33">
        <f t="shared" ca="1" si="114"/>
        <v>1.2280062976635185E-2</v>
      </c>
      <c r="CX106" s="33">
        <f t="shared" ca="1" si="114"/>
        <v>1.0503408515481618E-2</v>
      </c>
      <c r="CY106" s="33">
        <f t="shared" ca="1" si="114"/>
        <v>9.5618882354439241E-3</v>
      </c>
      <c r="CZ106" s="33">
        <f t="shared" ca="1" si="114"/>
        <v>1.1737208615865391E-2</v>
      </c>
      <c r="DA106" s="33">
        <f t="shared" ca="1" si="114"/>
        <v>1.4696456677882186E-2</v>
      </c>
      <c r="DB106" s="33">
        <f t="shared" ca="1" si="114"/>
        <v>1.0604899670150453E-2</v>
      </c>
      <c r="DC106" s="33">
        <f t="shared" ca="1" si="114"/>
        <v>1.0392194669304869E-2</v>
      </c>
      <c r="DD106" s="33">
        <f t="shared" ca="1" si="114"/>
        <v>1.0221585313976026E-2</v>
      </c>
      <c r="DE106" s="33">
        <f t="shared" ca="1" si="115"/>
        <v>1.1870981250857298E-2</v>
      </c>
      <c r="DF106" s="33">
        <f t="shared" ca="1" si="115"/>
        <v>1.4432734303886238E-2</v>
      </c>
      <c r="DG106" s="33">
        <f t="shared" ca="1" si="115"/>
        <v>1.2244344732351689E-2</v>
      </c>
      <c r="DH106" s="33">
        <f t="shared" ca="1" si="115"/>
        <v>1.1581167663127653E-2</v>
      </c>
      <c r="DI106" s="33">
        <f t="shared" ca="1" si="115"/>
        <v>1.0469974663703438E-2</v>
      </c>
      <c r="DJ106" s="33">
        <f t="shared" ca="1" si="115"/>
        <v>9.8296355534926976E-3</v>
      </c>
      <c r="DK106" s="33">
        <f t="shared" ca="1" si="115"/>
        <v>1.012523992406541E-2</v>
      </c>
      <c r="DL106" s="33">
        <f t="shared" ca="1" si="115"/>
        <v>1.2693364357341802E-2</v>
      </c>
      <c r="DM106" s="33">
        <f t="shared" ca="1" si="115"/>
        <v>1.4282000867515486E-2</v>
      </c>
      <c r="DN106" s="33">
        <f t="shared" ca="1" si="115"/>
        <v>1.1884406697820822E-2</v>
      </c>
      <c r="DO106" s="12"/>
      <c r="DP106" s="12"/>
      <c r="DQ106" s="12"/>
    </row>
    <row r="107" spans="9:121" x14ac:dyDescent="0.2">
      <c r="I107" s="32">
        <v>47665</v>
      </c>
      <c r="J107" s="33">
        <f t="shared" ca="1" si="105"/>
        <v>9.7222924210031755E-3</v>
      </c>
      <c r="K107" s="9">
        <v>3844.2254781665279</v>
      </c>
      <c r="L107" s="9">
        <f t="shared" ca="1" si="74"/>
        <v>492257.50258990662</v>
      </c>
      <c r="R107" s="32">
        <v>47665</v>
      </c>
      <c r="S107" s="33">
        <f t="shared" ca="1" si="106"/>
        <v>1.0558483872051671E-2</v>
      </c>
      <c r="T107" s="33">
        <f t="shared" ca="1" si="106"/>
        <v>1.1559494953510895E-2</v>
      </c>
      <c r="U107" s="33">
        <f t="shared" ca="1" si="106"/>
        <v>8.8216521463278259E-3</v>
      </c>
      <c r="V107" s="33">
        <f t="shared" ca="1" si="106"/>
        <v>1.5106899098883672E-2</v>
      </c>
      <c r="W107" s="33">
        <f t="shared" ca="1" si="106"/>
        <v>9.2760188599614324E-3</v>
      </c>
      <c r="X107" s="33">
        <f t="shared" ca="1" si="106"/>
        <v>1.3335653863344047E-2</v>
      </c>
      <c r="Y107" s="33">
        <f t="shared" ca="1" si="106"/>
        <v>1.2347597870147674E-2</v>
      </c>
      <c r="Z107" s="33">
        <f t="shared" ca="1" si="106"/>
        <v>1.2009467326349688E-2</v>
      </c>
      <c r="AA107" s="33">
        <f t="shared" ca="1" si="106"/>
        <v>1.0161628583539663E-2</v>
      </c>
      <c r="AB107" s="33">
        <f t="shared" ca="1" si="106"/>
        <v>1.0376583952271945E-2</v>
      </c>
      <c r="AC107" s="33">
        <f t="shared" ca="1" si="107"/>
        <v>1.3410345723864325E-2</v>
      </c>
      <c r="AD107" s="33">
        <f t="shared" ca="1" si="107"/>
        <v>1.1940391855227023E-2</v>
      </c>
      <c r="AE107" s="33">
        <f t="shared" ca="1" si="107"/>
        <v>1.2366455776658894E-2</v>
      </c>
      <c r="AF107" s="33">
        <f t="shared" ca="1" si="107"/>
        <v>9.2941137583303288E-3</v>
      </c>
      <c r="AG107" s="33">
        <f t="shared" ca="1" si="107"/>
        <v>1.3025105377229356E-2</v>
      </c>
      <c r="AH107" s="33">
        <f t="shared" ca="1" si="107"/>
        <v>1.1463530922902599E-2</v>
      </c>
      <c r="AI107" s="33">
        <f t="shared" ca="1" si="107"/>
        <v>1.0834544837959564E-2</v>
      </c>
      <c r="AJ107" s="33">
        <f t="shared" ca="1" si="107"/>
        <v>1.3186036839051387E-2</v>
      </c>
      <c r="AK107" s="33">
        <f t="shared" ca="1" si="107"/>
        <v>1.1430033578517497E-2</v>
      </c>
      <c r="AL107" s="33">
        <f t="shared" ca="1" si="107"/>
        <v>1.0246103378584698E-2</v>
      </c>
      <c r="AM107" s="33">
        <f t="shared" ca="1" si="108"/>
        <v>1.1881536394856966E-2</v>
      </c>
      <c r="AN107" s="33">
        <f t="shared" ca="1" si="108"/>
        <v>1.0393661533907521E-2</v>
      </c>
      <c r="AO107" s="33">
        <f t="shared" ca="1" si="108"/>
        <v>1.0783246146917591E-2</v>
      </c>
      <c r="AP107" s="33">
        <f t="shared" ca="1" si="108"/>
        <v>9.4474582861454985E-3</v>
      </c>
      <c r="AQ107" s="33">
        <f t="shared" ca="1" si="108"/>
        <v>1.023808129076118E-2</v>
      </c>
      <c r="AR107" s="33">
        <f t="shared" ca="1" si="108"/>
        <v>1.0605611970646613E-2</v>
      </c>
      <c r="AS107" s="33">
        <f t="shared" ca="1" si="108"/>
        <v>1.3845960180018871E-2</v>
      </c>
      <c r="AT107" s="33">
        <f t="shared" ca="1" si="108"/>
        <v>8.0157020323646643E-3</v>
      </c>
      <c r="AU107" s="33">
        <f t="shared" ca="1" si="108"/>
        <v>1.137488560223998E-2</v>
      </c>
      <c r="AV107" s="33">
        <f t="shared" ca="1" si="108"/>
        <v>1.1727081110012097E-2</v>
      </c>
      <c r="AW107" s="33">
        <f t="shared" ca="1" si="109"/>
        <v>1.4136238992607733E-2</v>
      </c>
      <c r="AX107" s="33">
        <f t="shared" ca="1" si="109"/>
        <v>1.0558913416937887E-2</v>
      </c>
      <c r="AY107" s="33">
        <f t="shared" ca="1" si="109"/>
        <v>1.2604674216708085E-2</v>
      </c>
      <c r="AZ107" s="33">
        <f t="shared" ca="1" si="109"/>
        <v>9.8967232280284083E-3</v>
      </c>
      <c r="BA107" s="33">
        <f t="shared" ca="1" si="109"/>
        <v>9.5459767627291865E-3</v>
      </c>
      <c r="BB107" s="33">
        <f t="shared" ca="1" si="109"/>
        <v>1.2436752598351284E-2</v>
      </c>
      <c r="BC107" s="33">
        <f t="shared" ca="1" si="109"/>
        <v>1.2928188482803577E-2</v>
      </c>
      <c r="BD107" s="33">
        <f t="shared" ca="1" si="109"/>
        <v>9.1332803798684532E-3</v>
      </c>
      <c r="BE107" s="33">
        <f t="shared" ca="1" si="109"/>
        <v>9.9590100444168946E-3</v>
      </c>
      <c r="BF107" s="33">
        <f t="shared" ca="1" si="109"/>
        <v>1.0221429488626367E-2</v>
      </c>
      <c r="BG107" s="33">
        <f t="shared" ca="1" si="110"/>
        <v>1.1555711391434095E-2</v>
      </c>
      <c r="BH107" s="33">
        <f t="shared" ca="1" si="110"/>
        <v>1.3162783334780208E-2</v>
      </c>
      <c r="BI107" s="33">
        <f t="shared" ca="1" si="110"/>
        <v>1.1269760225899017E-2</v>
      </c>
      <c r="BJ107" s="33">
        <f t="shared" ca="1" si="110"/>
        <v>1.216739340579215E-2</v>
      </c>
      <c r="BK107" s="33">
        <f t="shared" ca="1" si="110"/>
        <v>1.2172116183853077E-2</v>
      </c>
      <c r="BL107" s="33">
        <f t="shared" ca="1" si="110"/>
        <v>1.1218917624245893E-2</v>
      </c>
      <c r="BM107" s="33">
        <f t="shared" ca="1" si="110"/>
        <v>1.2906472826611661E-2</v>
      </c>
      <c r="BN107" s="33">
        <f t="shared" ca="1" si="110"/>
        <v>1.492421364001667E-2</v>
      </c>
      <c r="BO107" s="33">
        <f t="shared" ca="1" si="110"/>
        <v>1.1349178970477165E-2</v>
      </c>
      <c r="BP107" s="33">
        <f t="shared" ca="1" si="110"/>
        <v>1.4045198540786556E-2</v>
      </c>
      <c r="BQ107" s="33">
        <f t="shared" ca="1" si="111"/>
        <v>1.0993361135982493E-2</v>
      </c>
      <c r="BR107" s="33">
        <f t="shared" ca="1" si="111"/>
        <v>1.213192862130032E-2</v>
      </c>
      <c r="BS107" s="33">
        <f t="shared" ca="1" si="111"/>
        <v>1.1785721854647919E-2</v>
      </c>
      <c r="BT107" s="33">
        <f t="shared" ca="1" si="111"/>
        <v>1.0034030479907065E-2</v>
      </c>
      <c r="BU107" s="33">
        <f t="shared" ca="1" si="111"/>
        <v>9.7836952021685148E-3</v>
      </c>
      <c r="BV107" s="33">
        <f t="shared" ca="1" si="111"/>
        <v>1.2193771282592174E-2</v>
      </c>
      <c r="BW107" s="33">
        <f t="shared" ca="1" si="111"/>
        <v>1.0569051737321365E-2</v>
      </c>
      <c r="BX107" s="33">
        <f t="shared" ca="1" si="111"/>
        <v>1.3826424694831684E-2</v>
      </c>
      <c r="BY107" s="33">
        <f t="shared" ca="1" si="111"/>
        <v>1.2847844355598026E-2</v>
      </c>
      <c r="BZ107" s="33">
        <f t="shared" ca="1" si="111"/>
        <v>1.2785679651625857E-2</v>
      </c>
      <c r="CA107" s="33">
        <f t="shared" ca="1" si="112"/>
        <v>1.160398544408024E-2</v>
      </c>
      <c r="CB107" s="33">
        <f t="shared" ca="1" si="112"/>
        <v>1.1781189060414548E-2</v>
      </c>
      <c r="CC107" s="33">
        <f t="shared" ca="1" si="112"/>
        <v>9.4157833544235257E-3</v>
      </c>
      <c r="CD107" s="33">
        <f t="shared" ca="1" si="112"/>
        <v>1.1368174236302807E-2</v>
      </c>
      <c r="CE107" s="33">
        <f t="shared" ca="1" si="112"/>
        <v>1.1144410523925041E-2</v>
      </c>
      <c r="CF107" s="33">
        <f t="shared" ca="1" si="112"/>
        <v>1.028308201249367E-2</v>
      </c>
      <c r="CG107" s="33">
        <f t="shared" ca="1" si="112"/>
        <v>1.3382004218371459E-2</v>
      </c>
      <c r="CH107" s="33">
        <f t="shared" ca="1" si="112"/>
        <v>9.5254577488926503E-3</v>
      </c>
      <c r="CI107" s="33">
        <f t="shared" ca="1" si="112"/>
        <v>1.3051229319147052E-2</v>
      </c>
      <c r="CJ107" s="33">
        <f t="shared" ca="1" si="112"/>
        <v>1.1750317737294321E-2</v>
      </c>
      <c r="CK107" s="33">
        <f t="shared" ca="1" si="113"/>
        <v>1.0790616148352307E-2</v>
      </c>
      <c r="CL107" s="33">
        <f t="shared" ca="1" si="113"/>
        <v>1.1489890644286032E-2</v>
      </c>
      <c r="CM107" s="33">
        <f t="shared" ca="1" si="113"/>
        <v>9.6611823385232415E-3</v>
      </c>
      <c r="CN107" s="33">
        <f t="shared" ca="1" si="113"/>
        <v>1.1112833609464887E-2</v>
      </c>
      <c r="CO107" s="33">
        <f t="shared" ca="1" si="113"/>
        <v>1.0542975558737752E-2</v>
      </c>
      <c r="CP107" s="33">
        <f t="shared" ca="1" si="113"/>
        <v>1.2453630401325898E-2</v>
      </c>
      <c r="CQ107" s="33">
        <f t="shared" ca="1" si="113"/>
        <v>1.0430632623862564E-2</v>
      </c>
      <c r="CR107" s="33">
        <f t="shared" ca="1" si="113"/>
        <v>1.1093792949383251E-2</v>
      </c>
      <c r="CS107" s="33">
        <f t="shared" ca="1" si="113"/>
        <v>1.3285917724728187E-2</v>
      </c>
      <c r="CT107" s="33">
        <f t="shared" ca="1" si="113"/>
        <v>1.141513809455761E-2</v>
      </c>
      <c r="CU107" s="33">
        <f t="shared" ca="1" si="114"/>
        <v>1.3321607523884518E-2</v>
      </c>
      <c r="CV107" s="33">
        <f t="shared" ca="1" si="114"/>
        <v>1.1631909724591511E-2</v>
      </c>
      <c r="CW107" s="33">
        <f t="shared" ca="1" si="114"/>
        <v>1.3727152019153047E-2</v>
      </c>
      <c r="CX107" s="33">
        <f t="shared" ca="1" si="114"/>
        <v>1.1786331031522681E-2</v>
      </c>
      <c r="CY107" s="33">
        <f t="shared" ca="1" si="114"/>
        <v>1.158711673636567E-2</v>
      </c>
      <c r="CZ107" s="33">
        <f t="shared" ca="1" si="114"/>
        <v>1.171229036842477E-2</v>
      </c>
      <c r="DA107" s="33">
        <f t="shared" ca="1" si="114"/>
        <v>1.2636241742537968E-2</v>
      </c>
      <c r="DB107" s="33">
        <f t="shared" ca="1" si="114"/>
        <v>1.1736629126429627E-2</v>
      </c>
      <c r="DC107" s="33">
        <f t="shared" ca="1" si="114"/>
        <v>1.1549333332094753E-2</v>
      </c>
      <c r="DD107" s="33">
        <f t="shared" ca="1" si="114"/>
        <v>1.1908312594817991E-2</v>
      </c>
      <c r="DE107" s="33">
        <f t="shared" ca="1" si="115"/>
        <v>1.0792897088564037E-2</v>
      </c>
      <c r="DF107" s="33">
        <f t="shared" ca="1" si="115"/>
        <v>1.342552757163451E-2</v>
      </c>
      <c r="DG107" s="33">
        <f t="shared" ca="1" si="115"/>
        <v>9.5510795591946009E-3</v>
      </c>
      <c r="DH107" s="33">
        <f t="shared" ca="1" si="115"/>
        <v>1.1468124635898873E-2</v>
      </c>
      <c r="DI107" s="33">
        <f t="shared" ca="1" si="115"/>
        <v>1.3487378795129991E-2</v>
      </c>
      <c r="DJ107" s="33">
        <f t="shared" ca="1" si="115"/>
        <v>1.3044948106250115E-2</v>
      </c>
      <c r="DK107" s="33">
        <f t="shared" ca="1" si="115"/>
        <v>1.2518380696852651E-2</v>
      </c>
      <c r="DL107" s="33">
        <f t="shared" ca="1" si="115"/>
        <v>1.175503492091564E-2</v>
      </c>
      <c r="DM107" s="33">
        <f t="shared" ca="1" si="115"/>
        <v>1.4204351689050558E-2</v>
      </c>
      <c r="DN107" s="33">
        <f t="shared" ca="1" si="115"/>
        <v>1.3505733034982145E-2</v>
      </c>
      <c r="DO107" s="12"/>
      <c r="DP107" s="12"/>
      <c r="DQ107" s="12"/>
    </row>
    <row r="108" spans="9:121" x14ac:dyDescent="0.2">
      <c r="I108" s="32">
        <v>47696</v>
      </c>
      <c r="J108" s="33">
        <f t="shared" ca="1" si="105"/>
        <v>1.1083344829781289E-2</v>
      </c>
      <c r="K108" s="9">
        <v>3844.2254781665279</v>
      </c>
      <c r="L108" s="9">
        <f t="shared" ca="1" si="74"/>
        <v>501587.93431153276</v>
      </c>
      <c r="R108" s="32">
        <v>47696</v>
      </c>
      <c r="S108" s="33">
        <f t="shared" ca="1" si="106"/>
        <v>9.4739133762564032E-3</v>
      </c>
      <c r="T108" s="33">
        <f t="shared" ca="1" si="106"/>
        <v>1.0991328934140203E-2</v>
      </c>
      <c r="U108" s="33">
        <f t="shared" ca="1" si="106"/>
        <v>1.010741783267746E-2</v>
      </c>
      <c r="V108" s="33">
        <f t="shared" ca="1" si="106"/>
        <v>7.8985254074720439E-3</v>
      </c>
      <c r="W108" s="33">
        <f t="shared" ca="1" si="106"/>
        <v>1.4163891483876723E-2</v>
      </c>
      <c r="X108" s="33">
        <f t="shared" ca="1" si="106"/>
        <v>1.2871308642744824E-2</v>
      </c>
      <c r="Y108" s="33">
        <f t="shared" ca="1" si="106"/>
        <v>1.199743555518641E-2</v>
      </c>
      <c r="Z108" s="33">
        <f t="shared" ca="1" si="106"/>
        <v>9.8401776481999957E-3</v>
      </c>
      <c r="AA108" s="33">
        <f t="shared" ca="1" si="106"/>
        <v>1.0989529937842503E-2</v>
      </c>
      <c r="AB108" s="33">
        <f t="shared" ca="1" si="106"/>
        <v>9.7720189965972357E-3</v>
      </c>
      <c r="AC108" s="33">
        <f t="shared" ca="1" si="107"/>
        <v>9.1158777858988977E-3</v>
      </c>
      <c r="AD108" s="33">
        <f t="shared" ca="1" si="107"/>
        <v>1.2375700077368993E-2</v>
      </c>
      <c r="AE108" s="33">
        <f t="shared" ca="1" si="107"/>
        <v>1.0914424555897797E-2</v>
      </c>
      <c r="AF108" s="33">
        <f t="shared" ca="1" si="107"/>
        <v>1.2415315410588075E-2</v>
      </c>
      <c r="AG108" s="33">
        <f t="shared" ca="1" si="107"/>
        <v>1.0298162371711366E-2</v>
      </c>
      <c r="AH108" s="33">
        <f t="shared" ca="1" si="107"/>
        <v>1.1813248068649994E-2</v>
      </c>
      <c r="AI108" s="33">
        <f t="shared" ca="1" si="107"/>
        <v>1.1561936180857787E-2</v>
      </c>
      <c r="AJ108" s="33">
        <f t="shared" ca="1" si="107"/>
        <v>1.1124900486265511E-2</v>
      </c>
      <c r="AK108" s="33">
        <f t="shared" ca="1" si="107"/>
        <v>1.1185026038362376E-2</v>
      </c>
      <c r="AL108" s="33">
        <f t="shared" ca="1" si="107"/>
        <v>1.0444187816397714E-2</v>
      </c>
      <c r="AM108" s="33">
        <f t="shared" ca="1" si="108"/>
        <v>8.8763162684723021E-3</v>
      </c>
      <c r="AN108" s="33">
        <f t="shared" ca="1" si="108"/>
        <v>1.270978356348031E-2</v>
      </c>
      <c r="AO108" s="33">
        <f t="shared" ca="1" si="108"/>
        <v>1.2247176329923629E-2</v>
      </c>
      <c r="AP108" s="33">
        <f t="shared" ca="1" si="108"/>
        <v>1.1359274450687025E-2</v>
      </c>
      <c r="AQ108" s="33">
        <f t="shared" ca="1" si="108"/>
        <v>7.8437471883247845E-3</v>
      </c>
      <c r="AR108" s="33">
        <f t="shared" ca="1" si="108"/>
        <v>1.1767082661391388E-2</v>
      </c>
      <c r="AS108" s="33">
        <f t="shared" ca="1" si="108"/>
        <v>1.027534737660203E-2</v>
      </c>
      <c r="AT108" s="33">
        <f t="shared" ca="1" si="108"/>
        <v>8.4562020271697555E-3</v>
      </c>
      <c r="AU108" s="33">
        <f t="shared" ca="1" si="108"/>
        <v>1.006924188562072E-2</v>
      </c>
      <c r="AV108" s="33">
        <f t="shared" ca="1" si="108"/>
        <v>1.2320704909338211E-2</v>
      </c>
      <c r="AW108" s="33">
        <f t="shared" ca="1" si="109"/>
        <v>1.1902938472883567E-2</v>
      </c>
      <c r="AX108" s="33">
        <f t="shared" ca="1" si="109"/>
        <v>1.3063390907426283E-2</v>
      </c>
      <c r="AY108" s="33">
        <f t="shared" ca="1" si="109"/>
        <v>1.2299756492161499E-2</v>
      </c>
      <c r="AZ108" s="33">
        <f t="shared" ca="1" si="109"/>
        <v>1.1747162216311346E-2</v>
      </c>
      <c r="BA108" s="33">
        <f t="shared" ca="1" si="109"/>
        <v>1.1170599229232542E-2</v>
      </c>
      <c r="BB108" s="33">
        <f t="shared" ca="1" si="109"/>
        <v>1.1944471907573735E-2</v>
      </c>
      <c r="BC108" s="33">
        <f t="shared" ca="1" si="109"/>
        <v>1.015561581426427E-2</v>
      </c>
      <c r="BD108" s="33">
        <f t="shared" ca="1" si="109"/>
        <v>1.0573588457801628E-2</v>
      </c>
      <c r="BE108" s="33">
        <f t="shared" ca="1" si="109"/>
        <v>1.0360469015000628E-2</v>
      </c>
      <c r="BF108" s="33">
        <f t="shared" ca="1" si="109"/>
        <v>1.1154879107675011E-2</v>
      </c>
      <c r="BG108" s="33">
        <f t="shared" ca="1" si="110"/>
        <v>1.0149241951664776E-2</v>
      </c>
      <c r="BH108" s="33">
        <f t="shared" ca="1" si="110"/>
        <v>1.0956131643629049E-2</v>
      </c>
      <c r="BI108" s="33">
        <f t="shared" ca="1" si="110"/>
        <v>1.2535337816896055E-2</v>
      </c>
      <c r="BJ108" s="33">
        <f t="shared" ca="1" si="110"/>
        <v>1.2761252730230923E-2</v>
      </c>
      <c r="BK108" s="33">
        <f t="shared" ca="1" si="110"/>
        <v>9.389651227605952E-3</v>
      </c>
      <c r="BL108" s="33">
        <f t="shared" ca="1" si="110"/>
        <v>1.089147615385026E-2</v>
      </c>
      <c r="BM108" s="33">
        <f t="shared" ca="1" si="110"/>
        <v>1.0014229389845848E-2</v>
      </c>
      <c r="BN108" s="33">
        <f t="shared" ca="1" si="110"/>
        <v>1.0385792926284377E-2</v>
      </c>
      <c r="BO108" s="33">
        <f t="shared" ca="1" si="110"/>
        <v>1.3261580061634136E-2</v>
      </c>
      <c r="BP108" s="33">
        <f t="shared" ca="1" si="110"/>
        <v>1.3993008944409217E-2</v>
      </c>
      <c r="BQ108" s="33">
        <f t="shared" ca="1" si="111"/>
        <v>1.0946255487499329E-2</v>
      </c>
      <c r="BR108" s="33">
        <f t="shared" ca="1" si="111"/>
        <v>9.8871388298927675E-3</v>
      </c>
      <c r="BS108" s="33">
        <f t="shared" ca="1" si="111"/>
        <v>1.0328428698890285E-2</v>
      </c>
      <c r="BT108" s="33">
        <f t="shared" ca="1" si="111"/>
        <v>1.1048950197034366E-2</v>
      </c>
      <c r="BU108" s="33">
        <f t="shared" ca="1" si="111"/>
        <v>1.1212155146597074E-2</v>
      </c>
      <c r="BV108" s="33">
        <f t="shared" ca="1" si="111"/>
        <v>1.2282032422354492E-2</v>
      </c>
      <c r="BW108" s="33">
        <f t="shared" ca="1" si="111"/>
        <v>1.054185280371538E-2</v>
      </c>
      <c r="BX108" s="33">
        <f t="shared" ca="1" si="111"/>
        <v>1.3977238063242619E-2</v>
      </c>
      <c r="BY108" s="33">
        <f t="shared" ca="1" si="111"/>
        <v>1.0822253505170975E-2</v>
      </c>
      <c r="BZ108" s="33">
        <f t="shared" ca="1" si="111"/>
        <v>1.2841530555322875E-2</v>
      </c>
      <c r="CA108" s="33">
        <f t="shared" ca="1" si="112"/>
        <v>9.4854654815609112E-3</v>
      </c>
      <c r="CB108" s="33">
        <f t="shared" ca="1" si="112"/>
        <v>8.72846984041129E-3</v>
      </c>
      <c r="CC108" s="33">
        <f t="shared" ca="1" si="112"/>
        <v>1.0222071474760848E-2</v>
      </c>
      <c r="CD108" s="33">
        <f t="shared" ca="1" si="112"/>
        <v>1.0373408574750788E-2</v>
      </c>
      <c r="CE108" s="33">
        <f t="shared" ca="1" si="112"/>
        <v>1.0899734729676624E-2</v>
      </c>
      <c r="CF108" s="33">
        <f t="shared" ca="1" si="112"/>
        <v>1.1960577461298841E-2</v>
      </c>
      <c r="CG108" s="33">
        <f t="shared" ca="1" si="112"/>
        <v>9.5000659669192255E-3</v>
      </c>
      <c r="CH108" s="33">
        <f t="shared" ca="1" si="112"/>
        <v>1.0316897294740736E-2</v>
      </c>
      <c r="CI108" s="33">
        <f t="shared" ca="1" si="112"/>
        <v>1.0981019010543231E-2</v>
      </c>
      <c r="CJ108" s="33">
        <f t="shared" ca="1" si="112"/>
        <v>1.1363135182443904E-2</v>
      </c>
      <c r="CK108" s="33">
        <f t="shared" ca="1" si="113"/>
        <v>1.0116908127566437E-2</v>
      </c>
      <c r="CL108" s="33">
        <f t="shared" ca="1" si="113"/>
        <v>1.0593713734376117E-2</v>
      </c>
      <c r="CM108" s="33">
        <f t="shared" ca="1" si="113"/>
        <v>9.3286412846189676E-3</v>
      </c>
      <c r="CN108" s="33">
        <f t="shared" ca="1" si="113"/>
        <v>9.6642166050790613E-3</v>
      </c>
      <c r="CO108" s="33">
        <f t="shared" ca="1" si="113"/>
        <v>9.2924727982686053E-3</v>
      </c>
      <c r="CP108" s="33">
        <f t="shared" ca="1" si="113"/>
        <v>1.1140625894818861E-2</v>
      </c>
      <c r="CQ108" s="33">
        <f t="shared" ca="1" si="113"/>
        <v>1.1669615190750536E-2</v>
      </c>
      <c r="CR108" s="33">
        <f t="shared" ca="1" si="113"/>
        <v>1.0929242281345782E-2</v>
      </c>
      <c r="CS108" s="33">
        <f t="shared" ca="1" si="113"/>
        <v>1.0285706853478682E-2</v>
      </c>
      <c r="CT108" s="33">
        <f t="shared" ca="1" si="113"/>
        <v>1.2012340854134551E-2</v>
      </c>
      <c r="CU108" s="33">
        <f t="shared" ca="1" si="114"/>
        <v>1.2277470205150678E-2</v>
      </c>
      <c r="CV108" s="33">
        <f t="shared" ca="1" si="114"/>
        <v>1.1442833196373889E-2</v>
      </c>
      <c r="CW108" s="33">
        <f t="shared" ca="1" si="114"/>
        <v>1.0053890176708628E-2</v>
      </c>
      <c r="CX108" s="33">
        <f t="shared" ca="1" si="114"/>
        <v>9.5618531948581265E-3</v>
      </c>
      <c r="CY108" s="33">
        <f t="shared" ca="1" si="114"/>
        <v>1.3046665163280088E-2</v>
      </c>
      <c r="CZ108" s="33">
        <f t="shared" ca="1" si="114"/>
        <v>1.1828188045576031E-2</v>
      </c>
      <c r="DA108" s="33">
        <f t="shared" ca="1" si="114"/>
        <v>1.2495786731763327E-2</v>
      </c>
      <c r="DB108" s="33">
        <f t="shared" ca="1" si="114"/>
        <v>1.0889177219777748E-2</v>
      </c>
      <c r="DC108" s="33">
        <f t="shared" ca="1" si="114"/>
        <v>9.9034696391308852E-3</v>
      </c>
      <c r="DD108" s="33">
        <f t="shared" ca="1" si="114"/>
        <v>1.0768334443104009E-2</v>
      </c>
      <c r="DE108" s="33">
        <f t="shared" ca="1" si="115"/>
        <v>1.1874584346851689E-2</v>
      </c>
      <c r="DF108" s="33">
        <f t="shared" ca="1" si="115"/>
        <v>1.2250474279080241E-2</v>
      </c>
      <c r="DG108" s="33">
        <f t="shared" ca="1" si="115"/>
        <v>8.9359582215084998E-3</v>
      </c>
      <c r="DH108" s="33">
        <f t="shared" ca="1" si="115"/>
        <v>8.7671920410894826E-3</v>
      </c>
      <c r="DI108" s="33">
        <f t="shared" ca="1" si="115"/>
        <v>1.0388620962752559E-2</v>
      </c>
      <c r="DJ108" s="33">
        <f t="shared" ca="1" si="115"/>
        <v>1.0995765361984827E-2</v>
      </c>
      <c r="DK108" s="33">
        <f t="shared" ca="1" si="115"/>
        <v>1.2812885734388428E-2</v>
      </c>
      <c r="DL108" s="33">
        <f t="shared" ca="1" si="115"/>
        <v>1.1953298681009363E-2</v>
      </c>
      <c r="DM108" s="33">
        <f t="shared" ca="1" si="115"/>
        <v>1.2098860154674061E-2</v>
      </c>
      <c r="DN108" s="33">
        <f t="shared" ca="1" si="115"/>
        <v>1.251828285505135E-2</v>
      </c>
      <c r="DO108" s="12"/>
      <c r="DP108" s="12"/>
      <c r="DQ108" s="12"/>
    </row>
    <row r="109" spans="9:121" x14ac:dyDescent="0.2">
      <c r="I109" s="32">
        <v>47727</v>
      </c>
      <c r="J109" s="33">
        <f t="shared" ca="1" si="105"/>
        <v>9.386511460584791E-3</v>
      </c>
      <c r="K109" s="9">
        <v>3844.2254781665279</v>
      </c>
      <c r="L109" s="9">
        <f t="shared" ca="1" si="74"/>
        <v>510162.48658591585</v>
      </c>
      <c r="R109" s="32">
        <v>47727</v>
      </c>
      <c r="S109" s="33">
        <f t="shared" ca="1" si="106"/>
        <v>1.1439138115318687E-2</v>
      </c>
      <c r="T109" s="33">
        <f t="shared" ca="1" si="106"/>
        <v>1.263082118453515E-2</v>
      </c>
      <c r="U109" s="33">
        <f t="shared" ca="1" si="106"/>
        <v>9.0292101014953045E-3</v>
      </c>
      <c r="V109" s="33">
        <f t="shared" ca="1" si="106"/>
        <v>8.0596982177252932E-3</v>
      </c>
      <c r="W109" s="33">
        <f t="shared" ca="1" si="106"/>
        <v>7.8758222302556559E-3</v>
      </c>
      <c r="X109" s="33">
        <f t="shared" ca="1" si="106"/>
        <v>1.148795439399364E-2</v>
      </c>
      <c r="Y109" s="33">
        <f t="shared" ca="1" si="106"/>
        <v>1.2272584344593338E-2</v>
      </c>
      <c r="Z109" s="33">
        <f t="shared" ca="1" si="106"/>
        <v>1.0809011823260366E-2</v>
      </c>
      <c r="AA109" s="33">
        <f t="shared" ca="1" si="106"/>
        <v>9.8721570128516307E-3</v>
      </c>
      <c r="AB109" s="33">
        <f t="shared" ca="1" si="106"/>
        <v>1.0001225963287497E-2</v>
      </c>
      <c r="AC109" s="33">
        <f t="shared" ca="1" si="107"/>
        <v>1.0163683390991191E-2</v>
      </c>
      <c r="AD109" s="33">
        <f t="shared" ca="1" si="107"/>
        <v>1.2909646036151922E-2</v>
      </c>
      <c r="AE109" s="33">
        <f t="shared" ca="1" si="107"/>
        <v>1.2537183468690989E-2</v>
      </c>
      <c r="AF109" s="33">
        <f t="shared" ca="1" si="107"/>
        <v>1.0524098220768677E-2</v>
      </c>
      <c r="AG109" s="33">
        <f t="shared" ca="1" si="107"/>
        <v>1.2708881171687362E-2</v>
      </c>
      <c r="AH109" s="33">
        <f t="shared" ca="1" si="107"/>
        <v>1.05922381171011E-2</v>
      </c>
      <c r="AI109" s="33">
        <f t="shared" ca="1" si="107"/>
        <v>1.0711531590319024E-2</v>
      </c>
      <c r="AJ109" s="33">
        <f t="shared" ca="1" si="107"/>
        <v>1.0982847641871508E-2</v>
      </c>
      <c r="AK109" s="33">
        <f t="shared" ca="1" si="107"/>
        <v>1.1747298083241072E-2</v>
      </c>
      <c r="AL109" s="33">
        <f t="shared" ca="1" si="107"/>
        <v>1.3894744242916892E-2</v>
      </c>
      <c r="AM109" s="33">
        <f t="shared" ca="1" si="108"/>
        <v>1.2065157561966907E-2</v>
      </c>
      <c r="AN109" s="33">
        <f t="shared" ca="1" si="108"/>
        <v>1.2120400726410636E-2</v>
      </c>
      <c r="AO109" s="33">
        <f t="shared" ca="1" si="108"/>
        <v>1.1436715148258383E-2</v>
      </c>
      <c r="AP109" s="33">
        <f t="shared" ca="1" si="108"/>
        <v>1.1006320537348749E-2</v>
      </c>
      <c r="AQ109" s="33">
        <f t="shared" ca="1" si="108"/>
        <v>1.3361700166508414E-2</v>
      </c>
      <c r="AR109" s="33">
        <f t="shared" ca="1" si="108"/>
        <v>1.0658928936061568E-2</v>
      </c>
      <c r="AS109" s="33">
        <f t="shared" ca="1" si="108"/>
        <v>1.0439842516849828E-2</v>
      </c>
      <c r="AT109" s="33">
        <f t="shared" ca="1" si="108"/>
        <v>1.2573024606263028E-2</v>
      </c>
      <c r="AU109" s="33">
        <f t="shared" ca="1" si="108"/>
        <v>1.293563080261838E-2</v>
      </c>
      <c r="AV109" s="33">
        <f t="shared" ca="1" si="108"/>
        <v>1.0770535423380667E-2</v>
      </c>
      <c r="AW109" s="33">
        <f t="shared" ca="1" si="109"/>
        <v>1.3799836339670413E-2</v>
      </c>
      <c r="AX109" s="33">
        <f t="shared" ca="1" si="109"/>
        <v>1.1111388548445863E-2</v>
      </c>
      <c r="AY109" s="33">
        <f t="shared" ca="1" si="109"/>
        <v>1.0348593861208268E-2</v>
      </c>
      <c r="AZ109" s="33">
        <f t="shared" ca="1" si="109"/>
        <v>1.0727240900525046E-2</v>
      </c>
      <c r="BA109" s="33">
        <f t="shared" ca="1" si="109"/>
        <v>1.2931734313796907E-2</v>
      </c>
      <c r="BB109" s="33">
        <f t="shared" ca="1" si="109"/>
        <v>1.1978111019377055E-2</v>
      </c>
      <c r="BC109" s="33">
        <f t="shared" ca="1" si="109"/>
        <v>1.3248711000801423E-2</v>
      </c>
      <c r="BD109" s="33">
        <f t="shared" ca="1" si="109"/>
        <v>1.1851397632716519E-2</v>
      </c>
      <c r="BE109" s="33">
        <f t="shared" ca="1" si="109"/>
        <v>1.0385377098757443E-2</v>
      </c>
      <c r="BF109" s="33">
        <f t="shared" ca="1" si="109"/>
        <v>1.1939267542344511E-2</v>
      </c>
      <c r="BG109" s="33">
        <f t="shared" ca="1" si="110"/>
        <v>9.5450686099886189E-3</v>
      </c>
      <c r="BH109" s="33">
        <f t="shared" ca="1" si="110"/>
        <v>1.2432604251713265E-2</v>
      </c>
      <c r="BI109" s="33">
        <f t="shared" ca="1" si="110"/>
        <v>1.0630828487035358E-2</v>
      </c>
      <c r="BJ109" s="33">
        <f t="shared" ca="1" si="110"/>
        <v>1.1313365286565477E-2</v>
      </c>
      <c r="BK109" s="33">
        <f t="shared" ca="1" si="110"/>
        <v>1.0472798286978047E-2</v>
      </c>
      <c r="BL109" s="33">
        <f t="shared" ca="1" si="110"/>
        <v>9.827127172728654E-3</v>
      </c>
      <c r="BM109" s="33">
        <f t="shared" ca="1" si="110"/>
        <v>9.5628105185216299E-3</v>
      </c>
      <c r="BN109" s="33">
        <f t="shared" ca="1" si="110"/>
        <v>1.1159487359824055E-2</v>
      </c>
      <c r="BO109" s="33">
        <f t="shared" ca="1" si="110"/>
        <v>1.0320385680976657E-2</v>
      </c>
      <c r="BP109" s="33">
        <f t="shared" ca="1" si="110"/>
        <v>1.0227605127494243E-2</v>
      </c>
      <c r="BQ109" s="33">
        <f t="shared" ca="1" si="111"/>
        <v>1.216913037788999E-2</v>
      </c>
      <c r="BR109" s="33">
        <f t="shared" ca="1" si="111"/>
        <v>1.0580575118842328E-2</v>
      </c>
      <c r="BS109" s="33">
        <f t="shared" ca="1" si="111"/>
        <v>8.5175739663552359E-3</v>
      </c>
      <c r="BT109" s="33">
        <f t="shared" ca="1" si="111"/>
        <v>1.0751341764078277E-2</v>
      </c>
      <c r="BU109" s="33">
        <f t="shared" ca="1" si="111"/>
        <v>9.2831725325911042E-3</v>
      </c>
      <c r="BV109" s="33">
        <f t="shared" ca="1" si="111"/>
        <v>1.016376986979187E-2</v>
      </c>
      <c r="BW109" s="33">
        <f t="shared" ca="1" si="111"/>
        <v>1.0406457721640583E-2</v>
      </c>
      <c r="BX109" s="33">
        <f t="shared" ca="1" si="111"/>
        <v>1.1079537957908451E-2</v>
      </c>
      <c r="BY109" s="33">
        <f t="shared" ca="1" si="111"/>
        <v>1.2170887889369392E-2</v>
      </c>
      <c r="BZ109" s="33">
        <f t="shared" ca="1" si="111"/>
        <v>1.2848829282709261E-2</v>
      </c>
      <c r="CA109" s="33">
        <f t="shared" ca="1" si="112"/>
        <v>1.199439868914093E-2</v>
      </c>
      <c r="CB109" s="33">
        <f t="shared" ca="1" si="112"/>
        <v>1.0433628199821597E-2</v>
      </c>
      <c r="CC109" s="33">
        <f t="shared" ca="1" si="112"/>
        <v>9.0682150810740166E-3</v>
      </c>
      <c r="CD109" s="33">
        <f t="shared" ca="1" si="112"/>
        <v>1.1303085512415831E-2</v>
      </c>
      <c r="CE109" s="33">
        <f t="shared" ca="1" si="112"/>
        <v>9.2135384766501259E-3</v>
      </c>
      <c r="CF109" s="33">
        <f t="shared" ca="1" si="112"/>
        <v>1.1316337419269884E-2</v>
      </c>
      <c r="CG109" s="33">
        <f t="shared" ca="1" si="112"/>
        <v>1.2484356884205204E-2</v>
      </c>
      <c r="CH109" s="33">
        <f t="shared" ca="1" si="112"/>
        <v>1.2738835011379318E-2</v>
      </c>
      <c r="CI109" s="33">
        <f t="shared" ca="1" si="112"/>
        <v>1.0075547622243029E-2</v>
      </c>
      <c r="CJ109" s="33">
        <f t="shared" ca="1" si="112"/>
        <v>9.850639493999112E-3</v>
      </c>
      <c r="CK109" s="33">
        <f t="shared" ca="1" si="113"/>
        <v>1.3051275366859962E-2</v>
      </c>
      <c r="CL109" s="33">
        <f t="shared" ca="1" si="113"/>
        <v>1.0749236943907002E-2</v>
      </c>
      <c r="CM109" s="33">
        <f t="shared" ca="1" si="113"/>
        <v>1.0326779151747454E-2</v>
      </c>
      <c r="CN109" s="33">
        <f t="shared" ca="1" si="113"/>
        <v>1.3541738460421619E-2</v>
      </c>
      <c r="CO109" s="33">
        <f t="shared" ca="1" si="113"/>
        <v>1.3221259707809687E-2</v>
      </c>
      <c r="CP109" s="33">
        <f t="shared" ca="1" si="113"/>
        <v>1.2620962953789817E-2</v>
      </c>
      <c r="CQ109" s="33">
        <f t="shared" ca="1" si="113"/>
        <v>1.0608082760712744E-2</v>
      </c>
      <c r="CR109" s="33">
        <f t="shared" ca="1" si="113"/>
        <v>1.0173971864725864E-2</v>
      </c>
      <c r="CS109" s="33">
        <f t="shared" ca="1" si="113"/>
        <v>9.9227033897645728E-3</v>
      </c>
      <c r="CT109" s="33">
        <f t="shared" ca="1" si="113"/>
        <v>7.9786909801831223E-3</v>
      </c>
      <c r="CU109" s="33">
        <f t="shared" ca="1" si="114"/>
        <v>1.0951083719705162E-2</v>
      </c>
      <c r="CV109" s="33">
        <f t="shared" ca="1" si="114"/>
        <v>1.3444421847509082E-2</v>
      </c>
      <c r="CW109" s="33">
        <f t="shared" ca="1" si="114"/>
        <v>1.2453712612767273E-2</v>
      </c>
      <c r="CX109" s="33">
        <f t="shared" ca="1" si="114"/>
        <v>1.0917995835479683E-2</v>
      </c>
      <c r="CY109" s="33">
        <f t="shared" ca="1" si="114"/>
        <v>9.0673098722475042E-3</v>
      </c>
      <c r="CZ109" s="33">
        <f t="shared" ca="1" si="114"/>
        <v>1.0073565346477371E-2</v>
      </c>
      <c r="DA109" s="33">
        <f t="shared" ca="1" si="114"/>
        <v>1.1554678672745409E-2</v>
      </c>
      <c r="DB109" s="33">
        <f t="shared" ca="1" si="114"/>
        <v>1.2197232396402424E-2</v>
      </c>
      <c r="DC109" s="33">
        <f t="shared" ca="1" si="114"/>
        <v>9.021493440374324E-3</v>
      </c>
      <c r="DD109" s="33">
        <f t="shared" ca="1" si="114"/>
        <v>9.8940928339373568E-3</v>
      </c>
      <c r="DE109" s="33">
        <f t="shared" ca="1" si="115"/>
        <v>1.1395557062367442E-2</v>
      </c>
      <c r="DF109" s="33">
        <f t="shared" ca="1" si="115"/>
        <v>1.0767885233165403E-2</v>
      </c>
      <c r="DG109" s="33">
        <f t="shared" ca="1" si="115"/>
        <v>1.2689974422130183E-2</v>
      </c>
      <c r="DH109" s="33">
        <f t="shared" ca="1" si="115"/>
        <v>9.3303125181487933E-3</v>
      </c>
      <c r="DI109" s="33">
        <f t="shared" ca="1" si="115"/>
        <v>1.1742954929905151E-2</v>
      </c>
      <c r="DJ109" s="33">
        <f t="shared" ca="1" si="115"/>
        <v>1.1116627894752656E-2</v>
      </c>
      <c r="DK109" s="33">
        <f t="shared" ca="1" si="115"/>
        <v>1.0545812045571864E-2</v>
      </c>
      <c r="DL109" s="33">
        <f t="shared" ca="1" si="115"/>
        <v>1.1032159000700629E-2</v>
      </c>
      <c r="DM109" s="33">
        <f t="shared" ca="1" si="115"/>
        <v>8.7056028240686256E-3</v>
      </c>
      <c r="DN109" s="33">
        <f t="shared" ca="1" si="115"/>
        <v>1.1137079475899793E-2</v>
      </c>
      <c r="DO109" s="12"/>
      <c r="DP109" s="12"/>
      <c r="DQ109" s="12"/>
    </row>
    <row r="110" spans="9:121" x14ac:dyDescent="0.2">
      <c r="I110" s="32">
        <v>47757</v>
      </c>
      <c r="J110" s="33">
        <f t="shared" ca="1" si="105"/>
        <v>1.2036091905920003E-2</v>
      </c>
      <c r="K110" s="9">
        <v>3844.2254781665279</v>
      </c>
      <c r="L110" s="9">
        <f t="shared" ca="1" si="74"/>
        <v>520184.17632741813</v>
      </c>
      <c r="R110" s="32">
        <v>47757</v>
      </c>
      <c r="S110" s="33">
        <f t="shared" ca="1" si="106"/>
        <v>1.0425977761128974E-2</v>
      </c>
      <c r="T110" s="33">
        <f t="shared" ca="1" si="106"/>
        <v>9.821224886905143E-3</v>
      </c>
      <c r="U110" s="33">
        <f t="shared" ca="1" si="106"/>
        <v>9.5846239611144992E-3</v>
      </c>
      <c r="V110" s="33">
        <f t="shared" ca="1" si="106"/>
        <v>1.1134942013403079E-2</v>
      </c>
      <c r="W110" s="33">
        <f t="shared" ca="1" si="106"/>
        <v>1.0785312823983845E-2</v>
      </c>
      <c r="X110" s="33">
        <f t="shared" ca="1" si="106"/>
        <v>8.4311855628972296E-3</v>
      </c>
      <c r="Y110" s="33">
        <f t="shared" ca="1" si="106"/>
        <v>1.0228665940905587E-2</v>
      </c>
      <c r="Z110" s="33">
        <f t="shared" ca="1" si="106"/>
        <v>1.1931638397539674E-2</v>
      </c>
      <c r="AA110" s="33">
        <f t="shared" ca="1" si="106"/>
        <v>1.2020725587586562E-2</v>
      </c>
      <c r="AB110" s="33">
        <f t="shared" ca="1" si="106"/>
        <v>1.0157735827649688E-2</v>
      </c>
      <c r="AC110" s="33">
        <f t="shared" ca="1" si="107"/>
        <v>1.3142736053412027E-2</v>
      </c>
      <c r="AD110" s="33">
        <f t="shared" ca="1" si="107"/>
        <v>9.4984087204616589E-3</v>
      </c>
      <c r="AE110" s="33">
        <f t="shared" ca="1" si="107"/>
        <v>1.0000761388129222E-2</v>
      </c>
      <c r="AF110" s="33">
        <f t="shared" ca="1" si="107"/>
        <v>1.2190739886023406E-2</v>
      </c>
      <c r="AG110" s="33">
        <f t="shared" ca="1" si="107"/>
        <v>1.170087637388567E-2</v>
      </c>
      <c r="AH110" s="33">
        <f t="shared" ca="1" si="107"/>
        <v>1.0742995060875324E-2</v>
      </c>
      <c r="AI110" s="33">
        <f t="shared" ca="1" si="107"/>
        <v>1.2753592439591023E-2</v>
      </c>
      <c r="AJ110" s="33">
        <f t="shared" ca="1" si="107"/>
        <v>1.145468311320501E-2</v>
      </c>
      <c r="AK110" s="33">
        <f t="shared" ca="1" si="107"/>
        <v>9.2244646405751727E-3</v>
      </c>
      <c r="AL110" s="33">
        <f t="shared" ca="1" si="107"/>
        <v>1.0099557594522746E-2</v>
      </c>
      <c r="AM110" s="33">
        <f t="shared" ca="1" si="108"/>
        <v>1.1887858644230739E-2</v>
      </c>
      <c r="AN110" s="33">
        <f t="shared" ca="1" si="108"/>
        <v>1.38681153381308E-2</v>
      </c>
      <c r="AO110" s="33">
        <f t="shared" ca="1" si="108"/>
        <v>1.2950844378138973E-2</v>
      </c>
      <c r="AP110" s="33">
        <f t="shared" ca="1" si="108"/>
        <v>1.108052553047195E-2</v>
      </c>
      <c r="AQ110" s="33">
        <f t="shared" ca="1" si="108"/>
        <v>1.2105057248547702E-2</v>
      </c>
      <c r="AR110" s="33">
        <f t="shared" ca="1" si="108"/>
        <v>9.9618368537614643E-3</v>
      </c>
      <c r="AS110" s="33">
        <f t="shared" ca="1" si="108"/>
        <v>1.19903545430366E-2</v>
      </c>
      <c r="AT110" s="33">
        <f t="shared" ca="1" si="108"/>
        <v>1.1599363928706384E-2</v>
      </c>
      <c r="AU110" s="33">
        <f t="shared" ca="1" si="108"/>
        <v>1.0316215231302947E-2</v>
      </c>
      <c r="AV110" s="33">
        <f t="shared" ca="1" si="108"/>
        <v>1.1435623017206239E-2</v>
      </c>
      <c r="AW110" s="33">
        <f t="shared" ca="1" si="109"/>
        <v>1.0891006741653855E-2</v>
      </c>
      <c r="AX110" s="33">
        <f t="shared" ca="1" si="109"/>
        <v>1.0310551703297257E-2</v>
      </c>
      <c r="AY110" s="33">
        <f t="shared" ca="1" si="109"/>
        <v>1.2834141799984794E-2</v>
      </c>
      <c r="AZ110" s="33">
        <f t="shared" ca="1" si="109"/>
        <v>1.3612826622679406E-2</v>
      </c>
      <c r="BA110" s="33">
        <f t="shared" ca="1" si="109"/>
        <v>1.2523623685835324E-2</v>
      </c>
      <c r="BB110" s="33">
        <f t="shared" ca="1" si="109"/>
        <v>1.1040564582061131E-2</v>
      </c>
      <c r="BC110" s="33">
        <f t="shared" ca="1" si="109"/>
        <v>1.0841886129432172E-2</v>
      </c>
      <c r="BD110" s="33">
        <f t="shared" ca="1" si="109"/>
        <v>1.1898457164153499E-2</v>
      </c>
      <c r="BE110" s="33">
        <f t="shared" ca="1" si="109"/>
        <v>1.0143133920208823E-2</v>
      </c>
      <c r="BF110" s="33">
        <f t="shared" ca="1" si="109"/>
        <v>1.3036853913812967E-2</v>
      </c>
      <c r="BG110" s="33">
        <f t="shared" ca="1" si="110"/>
        <v>1.1527982315565241E-2</v>
      </c>
      <c r="BH110" s="33">
        <f t="shared" ca="1" si="110"/>
        <v>1.4167575582232637E-2</v>
      </c>
      <c r="BI110" s="33">
        <f t="shared" ca="1" si="110"/>
        <v>1.149783072294413E-2</v>
      </c>
      <c r="BJ110" s="33">
        <f t="shared" ca="1" si="110"/>
        <v>1.5031426091327798E-2</v>
      </c>
      <c r="BK110" s="33">
        <f t="shared" ca="1" si="110"/>
        <v>1.0044219382851828E-2</v>
      </c>
      <c r="BL110" s="33">
        <f t="shared" ca="1" si="110"/>
        <v>1.0751986806978756E-2</v>
      </c>
      <c r="BM110" s="33">
        <f t="shared" ca="1" si="110"/>
        <v>1.1800239827242169E-2</v>
      </c>
      <c r="BN110" s="33">
        <f t="shared" ca="1" si="110"/>
        <v>1.0043854078648889E-2</v>
      </c>
      <c r="BO110" s="33">
        <f t="shared" ca="1" si="110"/>
        <v>9.6493084346168378E-3</v>
      </c>
      <c r="BP110" s="33">
        <f t="shared" ca="1" si="110"/>
        <v>1.3195452608373336E-2</v>
      </c>
      <c r="BQ110" s="33">
        <f t="shared" ca="1" si="111"/>
        <v>1.2681921526108185E-2</v>
      </c>
      <c r="BR110" s="33">
        <f t="shared" ca="1" si="111"/>
        <v>1.3976921952952762E-2</v>
      </c>
      <c r="BS110" s="33">
        <f t="shared" ca="1" si="111"/>
        <v>1.4566857906387376E-2</v>
      </c>
      <c r="BT110" s="33">
        <f t="shared" ca="1" si="111"/>
        <v>1.0391083048125496E-2</v>
      </c>
      <c r="BU110" s="33">
        <f t="shared" ca="1" si="111"/>
        <v>1.1167958947184897E-2</v>
      </c>
      <c r="BV110" s="33">
        <f t="shared" ca="1" si="111"/>
        <v>1.1662762372834463E-2</v>
      </c>
      <c r="BW110" s="33">
        <f t="shared" ca="1" si="111"/>
        <v>9.2699070197784662E-3</v>
      </c>
      <c r="BX110" s="33">
        <f t="shared" ca="1" si="111"/>
        <v>1.1849715262829357E-2</v>
      </c>
      <c r="BY110" s="33">
        <f t="shared" ca="1" si="111"/>
        <v>1.2414353978670778E-2</v>
      </c>
      <c r="BZ110" s="33">
        <f t="shared" ca="1" si="111"/>
        <v>1.2539569782305519E-2</v>
      </c>
      <c r="CA110" s="33">
        <f t="shared" ca="1" si="112"/>
        <v>1.1739970800573568E-2</v>
      </c>
      <c r="CB110" s="33">
        <f t="shared" ca="1" si="112"/>
        <v>1.1694655162064856E-2</v>
      </c>
      <c r="CC110" s="33">
        <f t="shared" ca="1" si="112"/>
        <v>1.1865747153749174E-2</v>
      </c>
      <c r="CD110" s="33">
        <f t="shared" ca="1" si="112"/>
        <v>1.4574226292298886E-2</v>
      </c>
      <c r="CE110" s="33">
        <f t="shared" ca="1" si="112"/>
        <v>1.1007380267485616E-2</v>
      </c>
      <c r="CF110" s="33">
        <f t="shared" ca="1" si="112"/>
        <v>1.0724510721178623E-2</v>
      </c>
      <c r="CG110" s="33">
        <f t="shared" ca="1" si="112"/>
        <v>1.2037068084249364E-2</v>
      </c>
      <c r="CH110" s="33">
        <f t="shared" ca="1" si="112"/>
        <v>1.0837036977416893E-2</v>
      </c>
      <c r="CI110" s="33">
        <f t="shared" ca="1" si="112"/>
        <v>9.1736619023925874E-3</v>
      </c>
      <c r="CJ110" s="33">
        <f t="shared" ca="1" si="112"/>
        <v>1.1008430927644598E-2</v>
      </c>
      <c r="CK110" s="33">
        <f t="shared" ca="1" si="113"/>
        <v>1.067930995371494E-2</v>
      </c>
      <c r="CL110" s="33">
        <f t="shared" ca="1" si="113"/>
        <v>1.1563640738192334E-2</v>
      </c>
      <c r="CM110" s="33">
        <f t="shared" ca="1" si="113"/>
        <v>1.4910195149364463E-2</v>
      </c>
      <c r="CN110" s="33">
        <f t="shared" ca="1" si="113"/>
        <v>1.3288505183293012E-2</v>
      </c>
      <c r="CO110" s="33">
        <f t="shared" ca="1" si="113"/>
        <v>1.1013639894620886E-2</v>
      </c>
      <c r="CP110" s="33">
        <f t="shared" ca="1" si="113"/>
        <v>9.7944951029336289E-3</v>
      </c>
      <c r="CQ110" s="33">
        <f t="shared" ca="1" si="113"/>
        <v>9.906475112734377E-3</v>
      </c>
      <c r="CR110" s="33">
        <f t="shared" ca="1" si="113"/>
        <v>1.269888329014633E-2</v>
      </c>
      <c r="CS110" s="33">
        <f t="shared" ca="1" si="113"/>
        <v>1.2890724988871833E-2</v>
      </c>
      <c r="CT110" s="33">
        <f t="shared" ca="1" si="113"/>
        <v>1.3294282104029394E-2</v>
      </c>
      <c r="CU110" s="33">
        <f t="shared" ca="1" si="114"/>
        <v>1.0632470173243577E-2</v>
      </c>
      <c r="CV110" s="33">
        <f t="shared" ca="1" si="114"/>
        <v>1.1266587828142266E-2</v>
      </c>
      <c r="CW110" s="33">
        <f t="shared" ca="1" si="114"/>
        <v>1.2568334514707364E-2</v>
      </c>
      <c r="CX110" s="33">
        <f t="shared" ca="1" si="114"/>
        <v>1.2059790589457364E-2</v>
      </c>
      <c r="CY110" s="33">
        <f t="shared" ca="1" si="114"/>
        <v>1.1211944791663939E-2</v>
      </c>
      <c r="CZ110" s="33">
        <f t="shared" ca="1" si="114"/>
        <v>9.2902939812976263E-3</v>
      </c>
      <c r="DA110" s="33">
        <f t="shared" ca="1" si="114"/>
        <v>1.140648002653831E-2</v>
      </c>
      <c r="DB110" s="33">
        <f t="shared" ca="1" si="114"/>
        <v>1.1744726459699442E-2</v>
      </c>
      <c r="DC110" s="33">
        <f t="shared" ca="1" si="114"/>
        <v>1.1359979077969975E-2</v>
      </c>
      <c r="DD110" s="33">
        <f t="shared" ca="1" si="114"/>
        <v>1.3192657297565427E-2</v>
      </c>
      <c r="DE110" s="33">
        <f t="shared" ca="1" si="115"/>
        <v>1.019891112177518E-2</v>
      </c>
      <c r="DF110" s="33">
        <f t="shared" ca="1" si="115"/>
        <v>1.1717527379012552E-2</v>
      </c>
      <c r="DG110" s="33">
        <f t="shared" ca="1" si="115"/>
        <v>1.2610362668839609E-2</v>
      </c>
      <c r="DH110" s="33">
        <f t="shared" ca="1" si="115"/>
        <v>9.8733316750641408E-3</v>
      </c>
      <c r="DI110" s="33">
        <f t="shared" ca="1" si="115"/>
        <v>1.1912288883239084E-2</v>
      </c>
      <c r="DJ110" s="33">
        <f t="shared" ca="1" si="115"/>
        <v>1.1030376176887785E-2</v>
      </c>
      <c r="DK110" s="33">
        <f t="shared" ca="1" si="115"/>
        <v>1.1208516292130152E-2</v>
      </c>
      <c r="DL110" s="33">
        <f t="shared" ca="1" si="115"/>
        <v>9.7434662986939351E-3</v>
      </c>
      <c r="DM110" s="33">
        <f t="shared" ca="1" si="115"/>
        <v>1.1062764216490547E-2</v>
      </c>
      <c r="DN110" s="33">
        <f t="shared" ca="1" si="115"/>
        <v>1.226774796033768E-2</v>
      </c>
      <c r="DO110" s="12"/>
      <c r="DP110" s="12"/>
      <c r="DQ110" s="12"/>
    </row>
    <row r="111" spans="9:121" x14ac:dyDescent="0.2">
      <c r="I111" s="32">
        <v>47788</v>
      </c>
      <c r="J111" s="33">
        <f t="shared" ca="1" si="105"/>
        <v>8.705566728141682E-3</v>
      </c>
      <c r="K111" s="9">
        <v>3844.2254781665279</v>
      </c>
      <c r="L111" s="9">
        <f t="shared" ca="1" si="74"/>
        <v>528576.66875937639</v>
      </c>
      <c r="R111" s="32">
        <v>47788</v>
      </c>
      <c r="S111" s="33">
        <f t="shared" ca="1" si="106"/>
        <v>1.1421150816268521E-2</v>
      </c>
      <c r="T111" s="33">
        <f t="shared" ca="1" si="106"/>
        <v>9.2399201648519572E-3</v>
      </c>
      <c r="U111" s="33">
        <f t="shared" ca="1" si="106"/>
        <v>8.0447535930446169E-3</v>
      </c>
      <c r="V111" s="33">
        <f t="shared" ca="1" si="106"/>
        <v>1.2005881430719463E-2</v>
      </c>
      <c r="W111" s="33">
        <f t="shared" ca="1" si="106"/>
        <v>1.1082468514982334E-2</v>
      </c>
      <c r="X111" s="33">
        <f t="shared" ca="1" si="106"/>
        <v>9.4555115094775346E-3</v>
      </c>
      <c r="Y111" s="33">
        <f t="shared" ca="1" si="106"/>
        <v>1.0643518447160459E-2</v>
      </c>
      <c r="Z111" s="33">
        <f t="shared" ca="1" si="106"/>
        <v>1.0768399839796244E-2</v>
      </c>
      <c r="AA111" s="33">
        <f t="shared" ca="1" si="106"/>
        <v>1.1517943142667676E-2</v>
      </c>
      <c r="AB111" s="33">
        <f t="shared" ca="1" si="106"/>
        <v>1.0841515869257645E-2</v>
      </c>
      <c r="AC111" s="33">
        <f t="shared" ca="1" si="107"/>
        <v>1.151878746322548E-2</v>
      </c>
      <c r="AD111" s="33">
        <f t="shared" ca="1" si="107"/>
        <v>1.1638296203263204E-2</v>
      </c>
      <c r="AE111" s="33">
        <f t="shared" ca="1" si="107"/>
        <v>1.0827865787671765E-2</v>
      </c>
      <c r="AF111" s="33">
        <f t="shared" ca="1" si="107"/>
        <v>1.081576944607846E-2</v>
      </c>
      <c r="AG111" s="33">
        <f t="shared" ca="1" si="107"/>
        <v>1.3108526583507356E-2</v>
      </c>
      <c r="AH111" s="33">
        <f t="shared" ca="1" si="107"/>
        <v>1.0573955364111235E-2</v>
      </c>
      <c r="AI111" s="33">
        <f t="shared" ca="1" si="107"/>
        <v>9.7574077338299977E-3</v>
      </c>
      <c r="AJ111" s="33">
        <f t="shared" ca="1" si="107"/>
        <v>1.3238479505322078E-2</v>
      </c>
      <c r="AK111" s="33">
        <f t="shared" ca="1" si="107"/>
        <v>9.2959789283827213E-3</v>
      </c>
      <c r="AL111" s="33">
        <f t="shared" ca="1" si="107"/>
        <v>1.0691566028526315E-2</v>
      </c>
      <c r="AM111" s="33">
        <f t="shared" ca="1" si="108"/>
        <v>1.0534782265663976E-2</v>
      </c>
      <c r="AN111" s="33">
        <f t="shared" ca="1" si="108"/>
        <v>1.0186229324290471E-2</v>
      </c>
      <c r="AO111" s="33">
        <f t="shared" ca="1" si="108"/>
        <v>1.2854913911441192E-2</v>
      </c>
      <c r="AP111" s="33">
        <f t="shared" ca="1" si="108"/>
        <v>9.2105934659378642E-3</v>
      </c>
      <c r="AQ111" s="33">
        <f t="shared" ca="1" si="108"/>
        <v>1.4761074578263384E-2</v>
      </c>
      <c r="AR111" s="33">
        <f t="shared" ca="1" si="108"/>
        <v>1.3475225366063636E-2</v>
      </c>
      <c r="AS111" s="33">
        <f t="shared" ca="1" si="108"/>
        <v>1.2137677790911088E-2</v>
      </c>
      <c r="AT111" s="33">
        <f t="shared" ca="1" si="108"/>
        <v>1.0029812253189944E-2</v>
      </c>
      <c r="AU111" s="33">
        <f t="shared" ca="1" si="108"/>
        <v>1.1594766232379783E-2</v>
      </c>
      <c r="AV111" s="33">
        <f t="shared" ca="1" si="108"/>
        <v>8.4121382421320327E-3</v>
      </c>
      <c r="AW111" s="33">
        <f t="shared" ca="1" si="109"/>
        <v>1.0537492921774657E-2</v>
      </c>
      <c r="AX111" s="33">
        <f t="shared" ca="1" si="109"/>
        <v>1.1677654181618544E-2</v>
      </c>
      <c r="AY111" s="33">
        <f t="shared" ca="1" si="109"/>
        <v>1.0363721934241727E-2</v>
      </c>
      <c r="AZ111" s="33">
        <f t="shared" ca="1" si="109"/>
        <v>1.4327512124718483E-2</v>
      </c>
      <c r="BA111" s="33">
        <f t="shared" ca="1" si="109"/>
        <v>1.3716846844219047E-2</v>
      </c>
      <c r="BB111" s="33">
        <f t="shared" ca="1" si="109"/>
        <v>1.1820863548001638E-2</v>
      </c>
      <c r="BC111" s="33">
        <f t="shared" ca="1" si="109"/>
        <v>1.0288995092344988E-2</v>
      </c>
      <c r="BD111" s="33">
        <f t="shared" ca="1" si="109"/>
        <v>1.1822598812556982E-2</v>
      </c>
      <c r="BE111" s="33">
        <f t="shared" ca="1" si="109"/>
        <v>9.851138121029503E-3</v>
      </c>
      <c r="BF111" s="33">
        <f t="shared" ca="1" si="109"/>
        <v>1.1441086556065518E-2</v>
      </c>
      <c r="BG111" s="33">
        <f t="shared" ca="1" si="110"/>
        <v>1.1555757912107089E-2</v>
      </c>
      <c r="BH111" s="33">
        <f t="shared" ca="1" si="110"/>
        <v>1.065281864604241E-2</v>
      </c>
      <c r="BI111" s="33">
        <f t="shared" ca="1" si="110"/>
        <v>1.2912850792366934E-2</v>
      </c>
      <c r="BJ111" s="33">
        <f t="shared" ca="1" si="110"/>
        <v>1.2698637670589897E-2</v>
      </c>
      <c r="BK111" s="33">
        <f t="shared" ca="1" si="110"/>
        <v>1.2519840378892713E-2</v>
      </c>
      <c r="BL111" s="33">
        <f t="shared" ca="1" si="110"/>
        <v>1.0318912330412237E-2</v>
      </c>
      <c r="BM111" s="33">
        <f t="shared" ca="1" si="110"/>
        <v>1.2447943741500595E-2</v>
      </c>
      <c r="BN111" s="33">
        <f t="shared" ca="1" si="110"/>
        <v>7.986409905833566E-3</v>
      </c>
      <c r="BO111" s="33">
        <f t="shared" ca="1" si="110"/>
        <v>1.3319014734671395E-2</v>
      </c>
      <c r="BP111" s="33">
        <f t="shared" ca="1" si="110"/>
        <v>9.4809960609636354E-3</v>
      </c>
      <c r="BQ111" s="33">
        <f t="shared" ca="1" si="111"/>
        <v>1.2119656260659948E-2</v>
      </c>
      <c r="BR111" s="33">
        <f t="shared" ca="1" si="111"/>
        <v>1.2850436459899257E-2</v>
      </c>
      <c r="BS111" s="33">
        <f t="shared" ca="1" si="111"/>
        <v>1.0960521850836236E-2</v>
      </c>
      <c r="BT111" s="33">
        <f t="shared" ca="1" si="111"/>
        <v>1.1102435312317171E-2</v>
      </c>
      <c r="BU111" s="33">
        <f t="shared" ca="1" si="111"/>
        <v>1.2411369642318931E-2</v>
      </c>
      <c r="BV111" s="33">
        <f t="shared" ca="1" si="111"/>
        <v>1.2167939246046037E-2</v>
      </c>
      <c r="BW111" s="33">
        <f t="shared" ca="1" si="111"/>
        <v>1.0564799553193402E-2</v>
      </c>
      <c r="BX111" s="33">
        <f t="shared" ca="1" si="111"/>
        <v>1.291748184064174E-2</v>
      </c>
      <c r="BY111" s="33">
        <f t="shared" ca="1" si="111"/>
        <v>1.2275743140062953E-2</v>
      </c>
      <c r="BZ111" s="33">
        <f t="shared" ca="1" si="111"/>
        <v>8.3463661493494157E-3</v>
      </c>
      <c r="CA111" s="33">
        <f t="shared" ca="1" si="112"/>
        <v>9.3033850490278833E-3</v>
      </c>
      <c r="CB111" s="33">
        <f t="shared" ca="1" si="112"/>
        <v>6.6008781232674068E-3</v>
      </c>
      <c r="CC111" s="33">
        <f t="shared" ca="1" si="112"/>
        <v>1.1376702501387661E-2</v>
      </c>
      <c r="CD111" s="33">
        <f t="shared" ca="1" si="112"/>
        <v>1.2192791290329578E-2</v>
      </c>
      <c r="CE111" s="33">
        <f t="shared" ca="1" si="112"/>
        <v>1.2785805314514738E-2</v>
      </c>
      <c r="CF111" s="33">
        <f t="shared" ca="1" si="112"/>
        <v>9.7247538149666975E-3</v>
      </c>
      <c r="CG111" s="33">
        <f t="shared" ca="1" si="112"/>
        <v>1.1145684902717513E-2</v>
      </c>
      <c r="CH111" s="33">
        <f t="shared" ca="1" si="112"/>
        <v>1.2406721930901657E-2</v>
      </c>
      <c r="CI111" s="33">
        <f t="shared" ca="1" si="112"/>
        <v>1.2696569697144717E-2</v>
      </c>
      <c r="CJ111" s="33">
        <f t="shared" ca="1" si="112"/>
        <v>1.0996531964121701E-2</v>
      </c>
      <c r="CK111" s="33">
        <f t="shared" ca="1" si="113"/>
        <v>1.2798211208466626E-2</v>
      </c>
      <c r="CL111" s="33">
        <f t="shared" ca="1" si="113"/>
        <v>1.3511147250833147E-2</v>
      </c>
      <c r="CM111" s="33">
        <f t="shared" ca="1" si="113"/>
        <v>1.1473523590155502E-2</v>
      </c>
      <c r="CN111" s="33">
        <f t="shared" ca="1" si="113"/>
        <v>1.3831294679187082E-2</v>
      </c>
      <c r="CO111" s="33">
        <f t="shared" ca="1" si="113"/>
        <v>9.658542542167893E-3</v>
      </c>
      <c r="CP111" s="33">
        <f t="shared" ca="1" si="113"/>
        <v>1.0301259258271E-2</v>
      </c>
      <c r="CQ111" s="33">
        <f t="shared" ca="1" si="113"/>
        <v>9.4128453075042872E-3</v>
      </c>
      <c r="CR111" s="33">
        <f t="shared" ca="1" si="113"/>
        <v>9.4191204878265756E-3</v>
      </c>
      <c r="CS111" s="33">
        <f t="shared" ca="1" si="113"/>
        <v>1.0896945026445158E-2</v>
      </c>
      <c r="CT111" s="33">
        <f t="shared" ca="1" si="113"/>
        <v>1.1052958515433916E-2</v>
      </c>
      <c r="CU111" s="33">
        <f t="shared" ca="1" si="114"/>
        <v>1.3434233106783346E-2</v>
      </c>
      <c r="CV111" s="33">
        <f t="shared" ca="1" si="114"/>
        <v>1.0801816304379331E-2</v>
      </c>
      <c r="CW111" s="33">
        <f t="shared" ca="1" si="114"/>
        <v>1.2017251948674822E-2</v>
      </c>
      <c r="CX111" s="33">
        <f t="shared" ca="1" si="114"/>
        <v>1.0406142973550138E-2</v>
      </c>
      <c r="CY111" s="33">
        <f t="shared" ca="1" si="114"/>
        <v>1.0516181446674485E-2</v>
      </c>
      <c r="CZ111" s="33">
        <f t="shared" ca="1" si="114"/>
        <v>1.2971284515059096E-2</v>
      </c>
      <c r="DA111" s="33">
        <f t="shared" ca="1" si="114"/>
        <v>1.0673682850325449E-2</v>
      </c>
      <c r="DB111" s="33">
        <f t="shared" ca="1" si="114"/>
        <v>1.1984773672934367E-2</v>
      </c>
      <c r="DC111" s="33">
        <f t="shared" ca="1" si="114"/>
        <v>1.1079496350814996E-2</v>
      </c>
      <c r="DD111" s="33">
        <f t="shared" ca="1" si="114"/>
        <v>1.0780426389165904E-2</v>
      </c>
      <c r="DE111" s="33">
        <f t="shared" ca="1" si="115"/>
        <v>8.6148518135816012E-3</v>
      </c>
      <c r="DF111" s="33">
        <f t="shared" ca="1" si="115"/>
        <v>9.8234511245418633E-3</v>
      </c>
      <c r="DG111" s="33">
        <f t="shared" ca="1" si="115"/>
        <v>1.2560432723602612E-2</v>
      </c>
      <c r="DH111" s="33">
        <f t="shared" ca="1" si="115"/>
        <v>1.1054311798286287E-2</v>
      </c>
      <c r="DI111" s="33">
        <f t="shared" ca="1" si="115"/>
        <v>1.074177285678197E-2</v>
      </c>
      <c r="DJ111" s="33">
        <f t="shared" ca="1" si="115"/>
        <v>1.0455355820875083E-2</v>
      </c>
      <c r="DK111" s="33">
        <f t="shared" ca="1" si="115"/>
        <v>1.2765250237529033E-2</v>
      </c>
      <c r="DL111" s="33">
        <f t="shared" ca="1" si="115"/>
        <v>9.5351067266320963E-3</v>
      </c>
      <c r="DM111" s="33">
        <f t="shared" ca="1" si="115"/>
        <v>1.302116008586038E-2</v>
      </c>
      <c r="DN111" s="33">
        <f t="shared" ca="1" si="115"/>
        <v>1.0840728776269444E-2</v>
      </c>
      <c r="DO111" s="12"/>
      <c r="DP111" s="12"/>
      <c r="DQ111" s="12"/>
    </row>
    <row r="112" spans="9:121" x14ac:dyDescent="0.2">
      <c r="I112" s="32">
        <v>47818</v>
      </c>
      <c r="J112" s="33">
        <f t="shared" ca="1" si="105"/>
        <v>1.043866826052838E-2</v>
      </c>
      <c r="K112" s="9">
        <v>3844.2254781665279</v>
      </c>
      <c r="L112" s="9">
        <f t="shared" ca="1" si="74"/>
        <v>537967.42958911427</v>
      </c>
      <c r="R112" s="32">
        <v>47818</v>
      </c>
      <c r="S112" s="33">
        <f t="shared" ca="1" si="106"/>
        <v>1.1547419248671987E-2</v>
      </c>
      <c r="T112" s="33">
        <f t="shared" ca="1" si="106"/>
        <v>1.1381548494812477E-2</v>
      </c>
      <c r="U112" s="33">
        <f t="shared" ca="1" si="106"/>
        <v>1.2639558244040967E-2</v>
      </c>
      <c r="V112" s="33">
        <f t="shared" ca="1" si="106"/>
        <v>1.3300158988985697E-2</v>
      </c>
      <c r="W112" s="33">
        <f t="shared" ca="1" si="106"/>
        <v>1.300911168159105E-2</v>
      </c>
      <c r="X112" s="33">
        <f t="shared" ca="1" si="106"/>
        <v>1.2669102615570849E-2</v>
      </c>
      <c r="Y112" s="33">
        <f t="shared" ca="1" si="106"/>
        <v>1.0970619062030458E-2</v>
      </c>
      <c r="Z112" s="33">
        <f t="shared" ca="1" si="106"/>
        <v>1.0446220746813844E-2</v>
      </c>
      <c r="AA112" s="33">
        <f t="shared" ca="1" si="106"/>
        <v>1.1796599847907699E-2</v>
      </c>
      <c r="AB112" s="33">
        <f t="shared" ca="1" si="106"/>
        <v>9.7552996750643571E-3</v>
      </c>
      <c r="AC112" s="33">
        <f t="shared" ca="1" si="107"/>
        <v>9.9021222941880725E-3</v>
      </c>
      <c r="AD112" s="33">
        <f t="shared" ca="1" si="107"/>
        <v>1.0805445292240135E-2</v>
      </c>
      <c r="AE112" s="33">
        <f t="shared" ca="1" si="107"/>
        <v>1.3073605445514181E-2</v>
      </c>
      <c r="AF112" s="33">
        <f t="shared" ca="1" si="107"/>
        <v>1.108924884788802E-2</v>
      </c>
      <c r="AG112" s="33">
        <f t="shared" ca="1" si="107"/>
        <v>1.242129238818202E-2</v>
      </c>
      <c r="AH112" s="33">
        <f t="shared" ca="1" si="107"/>
        <v>1.0355830742002461E-2</v>
      </c>
      <c r="AI112" s="33">
        <f t="shared" ca="1" si="107"/>
        <v>1.3295539144282397E-2</v>
      </c>
      <c r="AJ112" s="33">
        <f t="shared" ca="1" si="107"/>
        <v>1.3666182187081266E-2</v>
      </c>
      <c r="AK112" s="33">
        <f t="shared" ca="1" si="107"/>
        <v>1.196732641334863E-2</v>
      </c>
      <c r="AL112" s="33">
        <f t="shared" ca="1" si="107"/>
        <v>1.1758147738975896E-2</v>
      </c>
      <c r="AM112" s="33">
        <f t="shared" ca="1" si="108"/>
        <v>1.1952610069824472E-2</v>
      </c>
      <c r="AN112" s="33">
        <f t="shared" ca="1" si="108"/>
        <v>1.1159881147712429E-2</v>
      </c>
      <c r="AO112" s="33">
        <f t="shared" ca="1" si="108"/>
        <v>1.3207524325756007E-2</v>
      </c>
      <c r="AP112" s="33">
        <f t="shared" ca="1" si="108"/>
        <v>1.4264239282152837E-2</v>
      </c>
      <c r="AQ112" s="33">
        <f t="shared" ca="1" si="108"/>
        <v>1.1299049286112941E-2</v>
      </c>
      <c r="AR112" s="33">
        <f t="shared" ca="1" si="108"/>
        <v>1.1916282149996755E-2</v>
      </c>
      <c r="AS112" s="33">
        <f t="shared" ca="1" si="108"/>
        <v>1.0866341993908056E-2</v>
      </c>
      <c r="AT112" s="33">
        <f t="shared" ca="1" si="108"/>
        <v>1.2989135674599417E-2</v>
      </c>
      <c r="AU112" s="33">
        <f t="shared" ca="1" si="108"/>
        <v>1.2268252953153005E-2</v>
      </c>
      <c r="AV112" s="33">
        <f t="shared" ca="1" si="108"/>
        <v>1.128416812581819E-2</v>
      </c>
      <c r="AW112" s="33">
        <f t="shared" ca="1" si="109"/>
        <v>8.9495348594258676E-3</v>
      </c>
      <c r="AX112" s="33">
        <f t="shared" ca="1" si="109"/>
        <v>1.1988104319504955E-2</v>
      </c>
      <c r="AY112" s="33">
        <f t="shared" ca="1" si="109"/>
        <v>9.8936894968720598E-3</v>
      </c>
      <c r="AZ112" s="33">
        <f t="shared" ca="1" si="109"/>
        <v>1.081952456364556E-2</v>
      </c>
      <c r="BA112" s="33">
        <f t="shared" ca="1" si="109"/>
        <v>1.1342278768939203E-2</v>
      </c>
      <c r="BB112" s="33">
        <f t="shared" ca="1" si="109"/>
        <v>1.2631403874561953E-2</v>
      </c>
      <c r="BC112" s="33">
        <f t="shared" ca="1" si="109"/>
        <v>1.2881216547877519E-2</v>
      </c>
      <c r="BD112" s="33">
        <f t="shared" ca="1" si="109"/>
        <v>1.269042919535821E-2</v>
      </c>
      <c r="BE112" s="33">
        <f t="shared" ca="1" si="109"/>
        <v>1.0921557326295293E-2</v>
      </c>
      <c r="BF112" s="33">
        <f t="shared" ca="1" si="109"/>
        <v>8.5319547005051309E-3</v>
      </c>
      <c r="BG112" s="33">
        <f t="shared" ca="1" si="110"/>
        <v>1.2025678226223925E-2</v>
      </c>
      <c r="BH112" s="33">
        <f t="shared" ca="1" si="110"/>
        <v>1.2020374846901591E-2</v>
      </c>
      <c r="BI112" s="33">
        <f t="shared" ca="1" si="110"/>
        <v>1.05839562179895E-2</v>
      </c>
      <c r="BJ112" s="33">
        <f t="shared" ca="1" si="110"/>
        <v>1.391663045711684E-2</v>
      </c>
      <c r="BK112" s="33">
        <f t="shared" ca="1" si="110"/>
        <v>1.3194327658156512E-2</v>
      </c>
      <c r="BL112" s="33">
        <f t="shared" ca="1" si="110"/>
        <v>1.1898786506297124E-2</v>
      </c>
      <c r="BM112" s="33">
        <f t="shared" ca="1" si="110"/>
        <v>1.1217618419996987E-2</v>
      </c>
      <c r="BN112" s="33">
        <f t="shared" ca="1" si="110"/>
        <v>1.1105359158110508E-2</v>
      </c>
      <c r="BO112" s="33">
        <f t="shared" ca="1" si="110"/>
        <v>1.1375169727904047E-2</v>
      </c>
      <c r="BP112" s="33">
        <f t="shared" ca="1" si="110"/>
        <v>9.9567715317857627E-3</v>
      </c>
      <c r="BQ112" s="33">
        <f t="shared" ca="1" si="111"/>
        <v>1.3091779950182219E-2</v>
      </c>
      <c r="BR112" s="33">
        <f t="shared" ca="1" si="111"/>
        <v>1.3294389212797065E-2</v>
      </c>
      <c r="BS112" s="33">
        <f t="shared" ca="1" si="111"/>
        <v>1.3030261768698306E-2</v>
      </c>
      <c r="BT112" s="33">
        <f t="shared" ca="1" si="111"/>
        <v>1.1887082494204672E-2</v>
      </c>
      <c r="BU112" s="33">
        <f t="shared" ca="1" si="111"/>
        <v>9.4673795111448016E-3</v>
      </c>
      <c r="BV112" s="33">
        <f t="shared" ca="1" si="111"/>
        <v>9.4451281983927403E-3</v>
      </c>
      <c r="BW112" s="33">
        <f t="shared" ca="1" si="111"/>
        <v>9.9263888838826194E-3</v>
      </c>
      <c r="BX112" s="33">
        <f t="shared" ca="1" si="111"/>
        <v>9.3274234847747616E-3</v>
      </c>
      <c r="BY112" s="33">
        <f t="shared" ca="1" si="111"/>
        <v>9.1127860072174067E-3</v>
      </c>
      <c r="BZ112" s="33">
        <f t="shared" ca="1" si="111"/>
        <v>1.0940770877155614E-2</v>
      </c>
      <c r="CA112" s="33">
        <f t="shared" ca="1" si="112"/>
        <v>1.0606960025059942E-2</v>
      </c>
      <c r="CB112" s="33">
        <f t="shared" ca="1" si="112"/>
        <v>9.5103173944426009E-3</v>
      </c>
      <c r="CC112" s="33">
        <f t="shared" ca="1" si="112"/>
        <v>1.1156503893806267E-2</v>
      </c>
      <c r="CD112" s="33">
        <f t="shared" ca="1" si="112"/>
        <v>1.25884839655205E-2</v>
      </c>
      <c r="CE112" s="33">
        <f t="shared" ca="1" si="112"/>
        <v>1.3860966969707442E-2</v>
      </c>
      <c r="CF112" s="33">
        <f t="shared" ca="1" si="112"/>
        <v>1.2026566692212014E-2</v>
      </c>
      <c r="CG112" s="33">
        <f t="shared" ca="1" si="112"/>
        <v>1.3497746430679981E-2</v>
      </c>
      <c r="CH112" s="33">
        <f t="shared" ca="1" si="112"/>
        <v>1.0833590688065815E-2</v>
      </c>
      <c r="CI112" s="33">
        <f t="shared" ca="1" si="112"/>
        <v>9.9240735551415094E-3</v>
      </c>
      <c r="CJ112" s="33">
        <f t="shared" ca="1" si="112"/>
        <v>1.3814546022459637E-2</v>
      </c>
      <c r="CK112" s="33">
        <f t="shared" ca="1" si="113"/>
        <v>1.4961460625804574E-2</v>
      </c>
      <c r="CL112" s="33">
        <f t="shared" ca="1" si="113"/>
        <v>1.0109457343759978E-2</v>
      </c>
      <c r="CM112" s="33">
        <f t="shared" ca="1" si="113"/>
        <v>1.3363701324254802E-2</v>
      </c>
      <c r="CN112" s="33">
        <f t="shared" ca="1" si="113"/>
        <v>8.9401206580427481E-3</v>
      </c>
      <c r="CO112" s="33">
        <f t="shared" ca="1" si="113"/>
        <v>1.2588224162570383E-2</v>
      </c>
      <c r="CP112" s="33">
        <f t="shared" ca="1" si="113"/>
        <v>1.3352808982120625E-2</v>
      </c>
      <c r="CQ112" s="33">
        <f t="shared" ca="1" si="113"/>
        <v>1.1994694136382078E-2</v>
      </c>
      <c r="CR112" s="33">
        <f t="shared" ca="1" si="113"/>
        <v>1.0318394102956546E-2</v>
      </c>
      <c r="CS112" s="33">
        <f t="shared" ca="1" si="113"/>
        <v>1.3346572509939009E-2</v>
      </c>
      <c r="CT112" s="33">
        <f t="shared" ca="1" si="113"/>
        <v>1.1911331843878242E-2</v>
      </c>
      <c r="CU112" s="33">
        <f t="shared" ca="1" si="114"/>
        <v>1.0541661001444458E-2</v>
      </c>
      <c r="CV112" s="33">
        <f t="shared" ca="1" si="114"/>
        <v>9.194471976128285E-3</v>
      </c>
      <c r="CW112" s="33">
        <f t="shared" ca="1" si="114"/>
        <v>1.1211031580486037E-2</v>
      </c>
      <c r="CX112" s="33">
        <f t="shared" ca="1" si="114"/>
        <v>1.1551934376019727E-2</v>
      </c>
      <c r="CY112" s="33">
        <f t="shared" ca="1" si="114"/>
        <v>1.3037038655384551E-2</v>
      </c>
      <c r="CZ112" s="33">
        <f t="shared" ca="1" si="114"/>
        <v>1.0361685269090506E-2</v>
      </c>
      <c r="DA112" s="33">
        <f t="shared" ca="1" si="114"/>
        <v>1.0069653949418625E-2</v>
      </c>
      <c r="DB112" s="33">
        <f t="shared" ca="1" si="114"/>
        <v>1.1586302300085605E-2</v>
      </c>
      <c r="DC112" s="33">
        <f t="shared" ca="1" si="114"/>
        <v>9.6985059792278529E-3</v>
      </c>
      <c r="DD112" s="33">
        <f t="shared" ca="1" si="114"/>
        <v>1.1452034144925422E-2</v>
      </c>
      <c r="DE112" s="33">
        <f t="shared" ca="1" si="115"/>
        <v>1.05642449743516E-2</v>
      </c>
      <c r="DF112" s="33">
        <f t="shared" ca="1" si="115"/>
        <v>1.2378110882934938E-2</v>
      </c>
      <c r="DG112" s="33">
        <f t="shared" ca="1" si="115"/>
        <v>1.1254239212475457E-2</v>
      </c>
      <c r="DH112" s="33">
        <f t="shared" ca="1" si="115"/>
        <v>9.8490891289255162E-3</v>
      </c>
      <c r="DI112" s="33">
        <f t="shared" ca="1" si="115"/>
        <v>9.5743972214236538E-3</v>
      </c>
      <c r="DJ112" s="33">
        <f t="shared" ca="1" si="115"/>
        <v>9.7619952988569712E-3</v>
      </c>
      <c r="DK112" s="33">
        <f t="shared" ca="1" si="115"/>
        <v>1.1209111369300452E-2</v>
      </c>
      <c r="DL112" s="33">
        <f t="shared" ca="1" si="115"/>
        <v>1.2114429220665999E-2</v>
      </c>
      <c r="DM112" s="33">
        <f t="shared" ca="1" si="115"/>
        <v>1.1740914261407508E-2</v>
      </c>
      <c r="DN112" s="33">
        <f t="shared" ca="1" si="115"/>
        <v>1.0855729068682521E-2</v>
      </c>
      <c r="DO112" s="12"/>
      <c r="DP112" s="12"/>
      <c r="DQ112" s="12"/>
    </row>
    <row r="113" spans="6:121" x14ac:dyDescent="0.2">
      <c r="I113" s="32">
        <v>47849</v>
      </c>
      <c r="J113" s="33">
        <f t="shared" ca="1" si="105"/>
        <v>1.1986420244851834E-2</v>
      </c>
      <c r="K113" s="9">
        <v>3844.2254781665279</v>
      </c>
      <c r="L113" s="9">
        <f t="shared" ca="1" si="74"/>
        <v>548298.75966835662</v>
      </c>
      <c r="R113" s="32">
        <v>47849</v>
      </c>
      <c r="S113" s="33">
        <f t="shared" ca="1" si="106"/>
        <v>1.1983850244096183E-2</v>
      </c>
      <c r="T113" s="33">
        <f t="shared" ca="1" si="106"/>
        <v>1.3249140539125053E-2</v>
      </c>
      <c r="U113" s="33">
        <f t="shared" ca="1" si="106"/>
        <v>1.0021175458171593E-2</v>
      </c>
      <c r="V113" s="33">
        <f t="shared" ca="1" si="106"/>
        <v>1.0103456000193543E-2</v>
      </c>
      <c r="W113" s="33">
        <f t="shared" ca="1" si="106"/>
        <v>9.7795827604164626E-3</v>
      </c>
      <c r="X113" s="33">
        <f t="shared" ca="1" si="106"/>
        <v>1.16645744363396E-2</v>
      </c>
      <c r="Y113" s="33">
        <f t="shared" ca="1" si="106"/>
        <v>1.1969099913737069E-2</v>
      </c>
      <c r="Z113" s="33">
        <f t="shared" ca="1" si="106"/>
        <v>1.1743272283066276E-2</v>
      </c>
      <c r="AA113" s="33">
        <f t="shared" ca="1" si="106"/>
        <v>1.1254386746842298E-2</v>
      </c>
      <c r="AB113" s="33">
        <f t="shared" ca="1" si="106"/>
        <v>1.1470451335992919E-2</v>
      </c>
      <c r="AC113" s="33">
        <f t="shared" ca="1" si="107"/>
        <v>1.4911346168390169E-2</v>
      </c>
      <c r="AD113" s="33">
        <f t="shared" ca="1" si="107"/>
        <v>1.2200025288769751E-2</v>
      </c>
      <c r="AE113" s="33">
        <f t="shared" ca="1" si="107"/>
        <v>1.0273532946769972E-2</v>
      </c>
      <c r="AF113" s="33">
        <f t="shared" ca="1" si="107"/>
        <v>1.2999026678531601E-2</v>
      </c>
      <c r="AG113" s="33">
        <f t="shared" ca="1" si="107"/>
        <v>1.2276946358838978E-2</v>
      </c>
      <c r="AH113" s="33">
        <f t="shared" ca="1" si="107"/>
        <v>9.9409600720542605E-3</v>
      </c>
      <c r="AI113" s="33">
        <f t="shared" ca="1" si="107"/>
        <v>1.3138888302028019E-2</v>
      </c>
      <c r="AJ113" s="33">
        <f t="shared" ca="1" si="107"/>
        <v>1.2437358867236986E-2</v>
      </c>
      <c r="AK113" s="33">
        <f t="shared" ca="1" si="107"/>
        <v>1.0347064372263874E-2</v>
      </c>
      <c r="AL113" s="33">
        <f t="shared" ca="1" si="107"/>
        <v>1.1952208080139247E-2</v>
      </c>
      <c r="AM113" s="33">
        <f t="shared" ca="1" si="108"/>
        <v>9.6686208672842801E-3</v>
      </c>
      <c r="AN113" s="33">
        <f t="shared" ca="1" si="108"/>
        <v>1.1641488157977331E-2</v>
      </c>
      <c r="AO113" s="33">
        <f t="shared" ca="1" si="108"/>
        <v>7.3453925728558531E-3</v>
      </c>
      <c r="AP113" s="33">
        <f t="shared" ca="1" si="108"/>
        <v>1.1082668788914752E-2</v>
      </c>
      <c r="AQ113" s="33">
        <f t="shared" ca="1" si="108"/>
        <v>1.1192693332121513E-2</v>
      </c>
      <c r="AR113" s="33">
        <f t="shared" ca="1" si="108"/>
        <v>1.1863325998431951E-2</v>
      </c>
      <c r="AS113" s="33">
        <f t="shared" ca="1" si="108"/>
        <v>1.3276892383375073E-2</v>
      </c>
      <c r="AT113" s="33">
        <f t="shared" ca="1" si="108"/>
        <v>1.0560786223777164E-2</v>
      </c>
      <c r="AU113" s="33">
        <f t="shared" ca="1" si="108"/>
        <v>9.1480178839996058E-3</v>
      </c>
      <c r="AV113" s="33">
        <f t="shared" ca="1" si="108"/>
        <v>1.189083051395539E-2</v>
      </c>
      <c r="AW113" s="33">
        <f t="shared" ca="1" si="109"/>
        <v>9.7600662693157758E-3</v>
      </c>
      <c r="AX113" s="33">
        <f t="shared" ca="1" si="109"/>
        <v>1.0028480446096388E-2</v>
      </c>
      <c r="AY113" s="33">
        <f t="shared" ca="1" si="109"/>
        <v>8.7333386144534553E-3</v>
      </c>
      <c r="AZ113" s="33">
        <f t="shared" ca="1" si="109"/>
        <v>1.2449365829700023E-2</v>
      </c>
      <c r="BA113" s="33">
        <f t="shared" ca="1" si="109"/>
        <v>1.1591465974395981E-2</v>
      </c>
      <c r="BB113" s="33">
        <f t="shared" ca="1" si="109"/>
        <v>1.3528631886253608E-2</v>
      </c>
      <c r="BC113" s="33">
        <f t="shared" ca="1" si="109"/>
        <v>1.153378382518053E-2</v>
      </c>
      <c r="BD113" s="33">
        <f t="shared" ca="1" si="109"/>
        <v>8.2612071355913867E-3</v>
      </c>
      <c r="BE113" s="33">
        <f t="shared" ca="1" si="109"/>
        <v>9.0052456130812128E-3</v>
      </c>
      <c r="BF113" s="33">
        <f t="shared" ca="1" si="109"/>
        <v>1.0503569025771388E-2</v>
      </c>
      <c r="BG113" s="33">
        <f t="shared" ca="1" si="110"/>
        <v>1.0850773463835119E-2</v>
      </c>
      <c r="BH113" s="33">
        <f t="shared" ca="1" si="110"/>
        <v>1.2116068261008721E-2</v>
      </c>
      <c r="BI113" s="33">
        <f t="shared" ca="1" si="110"/>
        <v>1.3395211000264709E-2</v>
      </c>
      <c r="BJ113" s="33">
        <f t="shared" ca="1" si="110"/>
        <v>1.1954582681658756E-2</v>
      </c>
      <c r="BK113" s="33">
        <f t="shared" ca="1" si="110"/>
        <v>1.2726455275400438E-2</v>
      </c>
      <c r="BL113" s="33">
        <f t="shared" ca="1" si="110"/>
        <v>9.5074484112125848E-3</v>
      </c>
      <c r="BM113" s="33">
        <f t="shared" ca="1" si="110"/>
        <v>1.3531434864240795E-2</v>
      </c>
      <c r="BN113" s="33">
        <f t="shared" ca="1" si="110"/>
        <v>9.5636062506615424E-3</v>
      </c>
      <c r="BO113" s="33">
        <f t="shared" ca="1" si="110"/>
        <v>1.1220336106351448E-2</v>
      </c>
      <c r="BP113" s="33">
        <f t="shared" ca="1" si="110"/>
        <v>1.1235633902140942E-2</v>
      </c>
      <c r="BQ113" s="33">
        <f t="shared" ca="1" si="111"/>
        <v>1.1170391117897256E-2</v>
      </c>
      <c r="BR113" s="33">
        <f t="shared" ca="1" si="111"/>
        <v>9.4595122759314702E-3</v>
      </c>
      <c r="BS113" s="33">
        <f t="shared" ca="1" si="111"/>
        <v>1.1008164359666143E-2</v>
      </c>
      <c r="BT113" s="33">
        <f t="shared" ca="1" si="111"/>
        <v>1.0437616054364033E-2</v>
      </c>
      <c r="BU113" s="33">
        <f t="shared" ca="1" si="111"/>
        <v>1.0828209548626235E-2</v>
      </c>
      <c r="BV113" s="33">
        <f t="shared" ca="1" si="111"/>
        <v>1.0332802864291737E-2</v>
      </c>
      <c r="BW113" s="33">
        <f t="shared" ca="1" si="111"/>
        <v>1.0090683592585796E-2</v>
      </c>
      <c r="BX113" s="33">
        <f t="shared" ca="1" si="111"/>
        <v>1.1710923681308201E-2</v>
      </c>
      <c r="BY113" s="33">
        <f t="shared" ca="1" si="111"/>
        <v>1.2084276872653503E-2</v>
      </c>
      <c r="BZ113" s="33">
        <f t="shared" ca="1" si="111"/>
        <v>1.1514849880754262E-2</v>
      </c>
      <c r="CA113" s="33">
        <f t="shared" ca="1" si="112"/>
        <v>9.7075029747981552E-3</v>
      </c>
      <c r="CB113" s="33">
        <f t="shared" ca="1" si="112"/>
        <v>1.2387236549889734E-2</v>
      </c>
      <c r="CC113" s="33">
        <f t="shared" ca="1" si="112"/>
        <v>1.4403669392132128E-2</v>
      </c>
      <c r="CD113" s="33">
        <f t="shared" ca="1" si="112"/>
        <v>1.000946845615026E-2</v>
      </c>
      <c r="CE113" s="33">
        <f t="shared" ca="1" si="112"/>
        <v>1.3256345081784953E-2</v>
      </c>
      <c r="CF113" s="33">
        <f t="shared" ca="1" si="112"/>
        <v>1.0248894314627423E-2</v>
      </c>
      <c r="CG113" s="33">
        <f t="shared" ca="1" si="112"/>
        <v>9.8434789846578441E-3</v>
      </c>
      <c r="CH113" s="33">
        <f t="shared" ca="1" si="112"/>
        <v>1.3956048915895247E-2</v>
      </c>
      <c r="CI113" s="33">
        <f t="shared" ca="1" si="112"/>
        <v>1.0390883978282981E-2</v>
      </c>
      <c r="CJ113" s="33">
        <f t="shared" ca="1" si="112"/>
        <v>1.1420137046337561E-2</v>
      </c>
      <c r="CK113" s="33">
        <f t="shared" ca="1" si="113"/>
        <v>1.0634255627777835E-2</v>
      </c>
      <c r="CL113" s="33">
        <f t="shared" ca="1" si="113"/>
        <v>9.8582169889081719E-3</v>
      </c>
      <c r="CM113" s="33">
        <f t="shared" ca="1" si="113"/>
        <v>1.0724741485538118E-2</v>
      </c>
      <c r="CN113" s="33">
        <f t="shared" ca="1" si="113"/>
        <v>1.1257163649340544E-2</v>
      </c>
      <c r="CO113" s="33">
        <f t="shared" ca="1" si="113"/>
        <v>1.0619294742641571E-2</v>
      </c>
      <c r="CP113" s="33">
        <f t="shared" ca="1" si="113"/>
        <v>7.4698831276651095E-3</v>
      </c>
      <c r="CQ113" s="33">
        <f t="shared" ca="1" si="113"/>
        <v>1.0296983858152111E-2</v>
      </c>
      <c r="CR113" s="33">
        <f t="shared" ca="1" si="113"/>
        <v>1.2902422997918911E-2</v>
      </c>
      <c r="CS113" s="33">
        <f t="shared" ca="1" si="113"/>
        <v>1.2675862516497209E-2</v>
      </c>
      <c r="CT113" s="33">
        <f t="shared" ca="1" si="113"/>
        <v>1.0746805000265766E-2</v>
      </c>
      <c r="CU113" s="33">
        <f t="shared" ca="1" si="114"/>
        <v>7.6182522077534332E-3</v>
      </c>
      <c r="CV113" s="33">
        <f t="shared" ca="1" si="114"/>
        <v>1.2939757448483252E-2</v>
      </c>
      <c r="CW113" s="33">
        <f t="shared" ca="1" si="114"/>
        <v>1.0438790010621578E-2</v>
      </c>
      <c r="CX113" s="33">
        <f t="shared" ca="1" si="114"/>
        <v>9.047762333237926E-3</v>
      </c>
      <c r="CY113" s="33">
        <f t="shared" ca="1" si="114"/>
        <v>1.1960358604023048E-2</v>
      </c>
      <c r="CZ113" s="33">
        <f t="shared" ca="1" si="114"/>
        <v>8.7171315399291668E-3</v>
      </c>
      <c r="DA113" s="33">
        <f t="shared" ca="1" si="114"/>
        <v>1.0262444395689645E-2</v>
      </c>
      <c r="DB113" s="33">
        <f t="shared" ca="1" si="114"/>
        <v>1.2108319467653495E-2</v>
      </c>
      <c r="DC113" s="33">
        <f t="shared" ca="1" si="114"/>
        <v>1.2779636991089945E-2</v>
      </c>
      <c r="DD113" s="33">
        <f t="shared" ca="1" si="114"/>
        <v>1.0889494495212447E-2</v>
      </c>
      <c r="DE113" s="33">
        <f t="shared" ca="1" si="115"/>
        <v>1.2732483634225732E-2</v>
      </c>
      <c r="DF113" s="33">
        <f t="shared" ca="1" si="115"/>
        <v>1.5053822075577771E-2</v>
      </c>
      <c r="DG113" s="33">
        <f t="shared" ca="1" si="115"/>
        <v>1.192146338863443E-2</v>
      </c>
      <c r="DH113" s="33">
        <f t="shared" ca="1" si="115"/>
        <v>1.3731328780724434E-2</v>
      </c>
      <c r="DI113" s="33">
        <f t="shared" ca="1" si="115"/>
        <v>1.2163951620546735E-2</v>
      </c>
      <c r="DJ113" s="33">
        <f t="shared" ca="1" si="115"/>
        <v>1.1786963356089926E-2</v>
      </c>
      <c r="DK113" s="33">
        <f t="shared" ca="1" si="115"/>
        <v>1.0471127609710727E-2</v>
      </c>
      <c r="DL113" s="33">
        <f t="shared" ca="1" si="115"/>
        <v>1.1938744787523598E-2</v>
      </c>
      <c r="DM113" s="33">
        <f t="shared" ca="1" si="115"/>
        <v>8.3145668701067963E-3</v>
      </c>
      <c r="DN113" s="33">
        <f t="shared" ca="1" si="115"/>
        <v>1.0640700808745691E-2</v>
      </c>
      <c r="DO113" s="12"/>
      <c r="DP113" s="12"/>
      <c r="DQ113" s="12"/>
    </row>
    <row r="114" spans="6:121" x14ac:dyDescent="0.2">
      <c r="I114" s="32">
        <v>47880</v>
      </c>
      <c r="J114" s="33">
        <f t="shared" ca="1" si="105"/>
        <v>1.0627288122343129E-2</v>
      </c>
      <c r="K114" s="9">
        <v>3997.9944972931889</v>
      </c>
      <c r="L114" s="9">
        <f t="shared" ca="1" si="74"/>
        <v>558154.75526141655</v>
      </c>
      <c r="R114" s="32">
        <v>47880</v>
      </c>
      <c r="S114" s="33">
        <f t="shared" ca="1" si="106"/>
        <v>1.3702957397331099E-2</v>
      </c>
      <c r="T114" s="33">
        <f t="shared" ca="1" si="106"/>
        <v>1.2978476181149789E-2</v>
      </c>
      <c r="U114" s="33">
        <f t="shared" ca="1" si="106"/>
        <v>1.1883342286148587E-2</v>
      </c>
      <c r="V114" s="33">
        <f t="shared" ca="1" si="106"/>
        <v>1.2418420375165573E-2</v>
      </c>
      <c r="W114" s="33">
        <f t="shared" ca="1" si="106"/>
        <v>1.1854710484825486E-2</v>
      </c>
      <c r="X114" s="33">
        <f t="shared" ca="1" si="106"/>
        <v>1.0445566898295715E-2</v>
      </c>
      <c r="Y114" s="33">
        <f t="shared" ca="1" si="106"/>
        <v>1.0867653098808078E-2</v>
      </c>
      <c r="Z114" s="33">
        <f t="shared" ca="1" si="106"/>
        <v>9.8047943506329241E-3</v>
      </c>
      <c r="AA114" s="33">
        <f t="shared" ca="1" si="106"/>
        <v>1.2009520226040338E-2</v>
      </c>
      <c r="AB114" s="33">
        <f t="shared" ca="1" si="106"/>
        <v>9.8447395893233869E-3</v>
      </c>
      <c r="AC114" s="33">
        <f t="shared" ca="1" si="107"/>
        <v>1.0914855505521176E-2</v>
      </c>
      <c r="AD114" s="33">
        <f t="shared" ca="1" si="107"/>
        <v>1.1932102681510929E-2</v>
      </c>
      <c r="AE114" s="33">
        <f t="shared" ca="1" si="107"/>
        <v>1.1408156650149597E-2</v>
      </c>
      <c r="AF114" s="33">
        <f t="shared" ca="1" si="107"/>
        <v>1.1835116271422195E-2</v>
      </c>
      <c r="AG114" s="33">
        <f t="shared" ca="1" si="107"/>
        <v>1.1559983311154636E-2</v>
      </c>
      <c r="AH114" s="33">
        <f t="shared" ca="1" si="107"/>
        <v>1.2087839373737995E-2</v>
      </c>
      <c r="AI114" s="33">
        <f t="shared" ca="1" si="107"/>
        <v>1.0530806093777222E-2</v>
      </c>
      <c r="AJ114" s="33">
        <f t="shared" ca="1" si="107"/>
        <v>9.6447710601018557E-3</v>
      </c>
      <c r="AK114" s="33">
        <f t="shared" ca="1" si="107"/>
        <v>1.1948808045922346E-2</v>
      </c>
      <c r="AL114" s="33">
        <f t="shared" ca="1" si="107"/>
        <v>1.2356147811630408E-2</v>
      </c>
      <c r="AM114" s="33">
        <f t="shared" ca="1" si="108"/>
        <v>1.2930853554756459E-2</v>
      </c>
      <c r="AN114" s="33">
        <f t="shared" ca="1" si="108"/>
        <v>1.0103746182622442E-2</v>
      </c>
      <c r="AO114" s="33">
        <f t="shared" ca="1" si="108"/>
        <v>1.2376321623574601E-2</v>
      </c>
      <c r="AP114" s="33">
        <f t="shared" ca="1" si="108"/>
        <v>1.2547995361910676E-2</v>
      </c>
      <c r="AQ114" s="33">
        <f t="shared" ca="1" si="108"/>
        <v>1.2566591731203039E-2</v>
      </c>
      <c r="AR114" s="33">
        <f t="shared" ca="1" si="108"/>
        <v>1.1143264161588545E-2</v>
      </c>
      <c r="AS114" s="33">
        <f t="shared" ca="1" si="108"/>
        <v>1.2604767806755041E-2</v>
      </c>
      <c r="AT114" s="33">
        <f t="shared" ca="1" si="108"/>
        <v>1.0157727877660238E-2</v>
      </c>
      <c r="AU114" s="33">
        <f t="shared" ca="1" si="108"/>
        <v>1.0986003734484742E-2</v>
      </c>
      <c r="AV114" s="33">
        <f t="shared" ca="1" si="108"/>
        <v>1.1277237001765771E-2</v>
      </c>
      <c r="AW114" s="33">
        <f t="shared" ca="1" si="109"/>
        <v>1.2771508711428034E-2</v>
      </c>
      <c r="AX114" s="33">
        <f t="shared" ca="1" si="109"/>
        <v>1.0071792413218334E-2</v>
      </c>
      <c r="AY114" s="33">
        <f t="shared" ca="1" si="109"/>
        <v>1.0609608508208119E-2</v>
      </c>
      <c r="AZ114" s="33">
        <f t="shared" ca="1" si="109"/>
        <v>1.1909961318865217E-2</v>
      </c>
      <c r="BA114" s="33">
        <f t="shared" ca="1" si="109"/>
        <v>1.2869028070879095E-2</v>
      </c>
      <c r="BB114" s="33">
        <f t="shared" ca="1" si="109"/>
        <v>1.1463338739159244E-2</v>
      </c>
      <c r="BC114" s="33">
        <f t="shared" ca="1" si="109"/>
        <v>1.2478732928532622E-2</v>
      </c>
      <c r="BD114" s="33">
        <f t="shared" ca="1" si="109"/>
        <v>9.6514903529788705E-3</v>
      </c>
      <c r="BE114" s="33">
        <f t="shared" ca="1" si="109"/>
        <v>1.2564799396193801E-2</v>
      </c>
      <c r="BF114" s="33">
        <f t="shared" ca="1" si="109"/>
        <v>1.1504292717763513E-2</v>
      </c>
      <c r="BG114" s="33">
        <f t="shared" ca="1" si="110"/>
        <v>1.254121549179976E-2</v>
      </c>
      <c r="BH114" s="33">
        <f t="shared" ca="1" si="110"/>
        <v>9.999415364689861E-3</v>
      </c>
      <c r="BI114" s="33">
        <f t="shared" ca="1" si="110"/>
        <v>9.8632768049923322E-3</v>
      </c>
      <c r="BJ114" s="33">
        <f t="shared" ca="1" si="110"/>
        <v>1.1359103500962751E-2</v>
      </c>
      <c r="BK114" s="33">
        <f t="shared" ca="1" si="110"/>
        <v>1.4372033459994842E-2</v>
      </c>
      <c r="BL114" s="33">
        <f t="shared" ca="1" si="110"/>
        <v>1.0192458736077312E-2</v>
      </c>
      <c r="BM114" s="33">
        <f t="shared" ca="1" si="110"/>
        <v>1.2598052716724166E-2</v>
      </c>
      <c r="BN114" s="33">
        <f t="shared" ca="1" si="110"/>
        <v>1.0546516212961595E-2</v>
      </c>
      <c r="BO114" s="33">
        <f t="shared" ca="1" si="110"/>
        <v>1.138309850650661E-2</v>
      </c>
      <c r="BP114" s="33">
        <f t="shared" ca="1" si="110"/>
        <v>1.2304790841443642E-2</v>
      </c>
      <c r="BQ114" s="33">
        <f t="shared" ca="1" si="111"/>
        <v>1.3206811355830567E-2</v>
      </c>
      <c r="BR114" s="33">
        <f t="shared" ca="1" si="111"/>
        <v>1.0361421882084814E-2</v>
      </c>
      <c r="BS114" s="33">
        <f t="shared" ca="1" si="111"/>
        <v>9.6567628223599988E-3</v>
      </c>
      <c r="BT114" s="33">
        <f t="shared" ca="1" si="111"/>
        <v>1.0480312953888678E-2</v>
      </c>
      <c r="BU114" s="33">
        <f t="shared" ca="1" si="111"/>
        <v>1.005414517828949E-2</v>
      </c>
      <c r="BV114" s="33">
        <f t="shared" ca="1" si="111"/>
        <v>9.448420350431197E-3</v>
      </c>
      <c r="BW114" s="33">
        <f t="shared" ca="1" si="111"/>
        <v>9.1568716484207707E-3</v>
      </c>
      <c r="BX114" s="33">
        <f t="shared" ca="1" si="111"/>
        <v>9.8849188336344804E-3</v>
      </c>
      <c r="BY114" s="33">
        <f t="shared" ca="1" si="111"/>
        <v>1.280953824706154E-2</v>
      </c>
      <c r="BZ114" s="33">
        <f t="shared" ca="1" si="111"/>
        <v>7.5691368058577709E-3</v>
      </c>
      <c r="CA114" s="33">
        <f t="shared" ca="1" si="112"/>
        <v>1.0420116985042027E-2</v>
      </c>
      <c r="CB114" s="33">
        <f t="shared" ca="1" si="112"/>
        <v>1.1435416987714298E-2</v>
      </c>
      <c r="CC114" s="33">
        <f t="shared" ca="1" si="112"/>
        <v>1.0621360410723845E-2</v>
      </c>
      <c r="CD114" s="33">
        <f t="shared" ca="1" si="112"/>
        <v>1.0929766640131974E-2</v>
      </c>
      <c r="CE114" s="33">
        <f t="shared" ca="1" si="112"/>
        <v>1.1208090413373511E-2</v>
      </c>
      <c r="CF114" s="33">
        <f t="shared" ca="1" si="112"/>
        <v>1.1806296339401893E-2</v>
      </c>
      <c r="CG114" s="33">
        <f t="shared" ca="1" si="112"/>
        <v>1.1621666267593101E-2</v>
      </c>
      <c r="CH114" s="33">
        <f t="shared" ca="1" si="112"/>
        <v>1.4563360910691426E-2</v>
      </c>
      <c r="CI114" s="33">
        <f t="shared" ca="1" si="112"/>
        <v>1.2780865790342589E-2</v>
      </c>
      <c r="CJ114" s="33">
        <f t="shared" ca="1" si="112"/>
        <v>9.9146980160730192E-3</v>
      </c>
      <c r="CK114" s="33">
        <f t="shared" ca="1" si="113"/>
        <v>1.0978825866095637E-2</v>
      </c>
      <c r="CL114" s="33">
        <f t="shared" ca="1" si="113"/>
        <v>9.9117628243509948E-3</v>
      </c>
      <c r="CM114" s="33">
        <f t="shared" ca="1" si="113"/>
        <v>1.3581397861124833E-2</v>
      </c>
      <c r="CN114" s="33">
        <f t="shared" ca="1" si="113"/>
        <v>1.2106933043446177E-2</v>
      </c>
      <c r="CO114" s="33">
        <f t="shared" ca="1" si="113"/>
        <v>1.2960133777444403E-2</v>
      </c>
      <c r="CP114" s="33">
        <f t="shared" ca="1" si="113"/>
        <v>9.9045103809105705E-3</v>
      </c>
      <c r="CQ114" s="33">
        <f t="shared" ca="1" si="113"/>
        <v>1.0042765618984614E-2</v>
      </c>
      <c r="CR114" s="33">
        <f t="shared" ca="1" si="113"/>
        <v>1.1000683996701862E-2</v>
      </c>
      <c r="CS114" s="33">
        <f t="shared" ca="1" si="113"/>
        <v>1.3580468871025129E-2</v>
      </c>
      <c r="CT114" s="33">
        <f t="shared" ca="1" si="113"/>
        <v>9.2593316063264534E-3</v>
      </c>
      <c r="CU114" s="33">
        <f t="shared" ca="1" si="114"/>
        <v>1.1355185914916835E-2</v>
      </c>
      <c r="CV114" s="33">
        <f t="shared" ca="1" si="114"/>
        <v>1.0823127193850186E-2</v>
      </c>
      <c r="CW114" s="33">
        <f t="shared" ca="1" si="114"/>
        <v>1.1056804095620213E-2</v>
      </c>
      <c r="CX114" s="33">
        <f t="shared" ca="1" si="114"/>
        <v>1.0294122610049637E-2</v>
      </c>
      <c r="CY114" s="33">
        <f t="shared" ca="1" si="114"/>
        <v>1.1494103797169544E-2</v>
      </c>
      <c r="CZ114" s="33">
        <f t="shared" ca="1" si="114"/>
        <v>1.111485649436747E-2</v>
      </c>
      <c r="DA114" s="33">
        <f t="shared" ca="1" si="114"/>
        <v>1.1030938580938645E-2</v>
      </c>
      <c r="DB114" s="33">
        <f t="shared" ca="1" si="114"/>
        <v>1.3298527127156089E-2</v>
      </c>
      <c r="DC114" s="33">
        <f t="shared" ca="1" si="114"/>
        <v>1.329076340310158E-2</v>
      </c>
      <c r="DD114" s="33">
        <f t="shared" ca="1" si="114"/>
        <v>1.0010258118350514E-2</v>
      </c>
      <c r="DE114" s="33">
        <f t="shared" ca="1" si="115"/>
        <v>9.7465755987316532E-3</v>
      </c>
      <c r="DF114" s="33">
        <f t="shared" ca="1" si="115"/>
        <v>1.0926771978673476E-2</v>
      </c>
      <c r="DG114" s="33">
        <f t="shared" ca="1" si="115"/>
        <v>9.7287649844345452E-3</v>
      </c>
      <c r="DH114" s="33">
        <f t="shared" ca="1" si="115"/>
        <v>1.1246968133327326E-2</v>
      </c>
      <c r="DI114" s="33">
        <f t="shared" ca="1" si="115"/>
        <v>1.4072771394569163E-2</v>
      </c>
      <c r="DJ114" s="33">
        <f t="shared" ca="1" si="115"/>
        <v>1.0008053326205364E-2</v>
      </c>
      <c r="DK114" s="33">
        <f t="shared" ca="1" si="115"/>
        <v>1.1061103129837548E-2</v>
      </c>
      <c r="DL114" s="33">
        <f t="shared" ca="1" si="115"/>
        <v>1.1336253859364093E-2</v>
      </c>
      <c r="DM114" s="33">
        <f t="shared" ca="1" si="115"/>
        <v>1.3999169171374681E-2</v>
      </c>
      <c r="DN114" s="33">
        <f t="shared" ca="1" si="115"/>
        <v>1.121465614619053E-2</v>
      </c>
      <c r="DO114" s="12"/>
      <c r="DP114" s="12"/>
      <c r="DQ114" s="12"/>
    </row>
    <row r="115" spans="6:121" x14ac:dyDescent="0.2">
      <c r="I115" s="32">
        <v>47908</v>
      </c>
      <c r="J115" s="33">
        <f t="shared" ca="1" si="105"/>
        <v>1.1648498193904056E-2</v>
      </c>
      <c r="K115" s="9">
        <v>3997.9944972931889</v>
      </c>
      <c r="L115" s="9">
        <f t="shared" ca="1" si="74"/>
        <v>568692.42919343221</v>
      </c>
      <c r="R115" s="32">
        <v>47908</v>
      </c>
      <c r="S115" s="33">
        <f t="shared" ref="S115:AB126" ca="1" si="116">_xlfn.NORM.INV(RAND(),$A$52,$B$45)</f>
        <v>1.0326941681824237E-2</v>
      </c>
      <c r="T115" s="33">
        <f t="shared" ca="1" si="116"/>
        <v>1.1334762527215443E-2</v>
      </c>
      <c r="U115" s="33">
        <f t="shared" ca="1" si="116"/>
        <v>1.2814535349906757E-2</v>
      </c>
      <c r="V115" s="33">
        <f t="shared" ca="1" si="116"/>
        <v>9.1078947622095716E-3</v>
      </c>
      <c r="W115" s="33">
        <f t="shared" ca="1" si="116"/>
        <v>1.2466085023403009E-2</v>
      </c>
      <c r="X115" s="33">
        <f t="shared" ca="1" si="116"/>
        <v>1.1253753077714505E-2</v>
      </c>
      <c r="Y115" s="33">
        <f t="shared" ca="1" si="116"/>
        <v>1.174393573378954E-2</v>
      </c>
      <c r="Z115" s="33">
        <f t="shared" ca="1" si="116"/>
        <v>1.2199716107857264E-2</v>
      </c>
      <c r="AA115" s="33">
        <f t="shared" ca="1" si="116"/>
        <v>1.1087338705276922E-2</v>
      </c>
      <c r="AB115" s="33">
        <f t="shared" ca="1" si="116"/>
        <v>1.143561956380932E-2</v>
      </c>
      <c r="AC115" s="33">
        <f t="shared" ref="AC115:AL126" ca="1" si="117">_xlfn.NORM.INV(RAND(),$A$52,$B$45)</f>
        <v>1.2433404051999285E-2</v>
      </c>
      <c r="AD115" s="33">
        <f t="shared" ca="1" si="117"/>
        <v>1.2742943498268475E-2</v>
      </c>
      <c r="AE115" s="33">
        <f t="shared" ca="1" si="117"/>
        <v>1.2060687054528138E-2</v>
      </c>
      <c r="AF115" s="33">
        <f t="shared" ca="1" si="117"/>
        <v>1.168985809586715E-2</v>
      </c>
      <c r="AG115" s="33">
        <f t="shared" ca="1" si="117"/>
        <v>1.1222113939910128E-2</v>
      </c>
      <c r="AH115" s="33">
        <f t="shared" ca="1" si="117"/>
        <v>1.1456806126523335E-2</v>
      </c>
      <c r="AI115" s="33">
        <f t="shared" ca="1" si="117"/>
        <v>1.0458751870078843E-2</v>
      </c>
      <c r="AJ115" s="33">
        <f t="shared" ca="1" si="117"/>
        <v>1.2248378418696452E-2</v>
      </c>
      <c r="AK115" s="33">
        <f t="shared" ca="1" si="117"/>
        <v>1.145441392177864E-2</v>
      </c>
      <c r="AL115" s="33">
        <f t="shared" ca="1" si="117"/>
        <v>8.5623566649931423E-3</v>
      </c>
      <c r="AM115" s="33">
        <f t="shared" ref="AM115:AV126" ca="1" si="118">_xlfn.NORM.INV(RAND(),$A$52,$B$45)</f>
        <v>1.1813967543788433E-2</v>
      </c>
      <c r="AN115" s="33">
        <f t="shared" ca="1" si="118"/>
        <v>9.3747835429957675E-3</v>
      </c>
      <c r="AO115" s="33">
        <f t="shared" ca="1" si="118"/>
        <v>1.2835948700620277E-2</v>
      </c>
      <c r="AP115" s="33">
        <f t="shared" ca="1" si="118"/>
        <v>1.2250353847551456E-2</v>
      </c>
      <c r="AQ115" s="33">
        <f t="shared" ca="1" si="118"/>
        <v>9.6975240276177248E-3</v>
      </c>
      <c r="AR115" s="33">
        <f t="shared" ca="1" si="118"/>
        <v>1.1438485539401631E-2</v>
      </c>
      <c r="AS115" s="33">
        <f t="shared" ca="1" si="118"/>
        <v>1.1116669497092389E-2</v>
      </c>
      <c r="AT115" s="33">
        <f t="shared" ca="1" si="118"/>
        <v>1.130845889516641E-2</v>
      </c>
      <c r="AU115" s="33">
        <f t="shared" ca="1" si="118"/>
        <v>1.2356333294874729E-2</v>
      </c>
      <c r="AV115" s="33">
        <f t="shared" ca="1" si="118"/>
        <v>1.1980538145341902E-2</v>
      </c>
      <c r="AW115" s="33">
        <f t="shared" ref="AW115:BF126" ca="1" si="119">_xlfn.NORM.INV(RAND(),$A$52,$B$45)</f>
        <v>1.1679822900039707E-2</v>
      </c>
      <c r="AX115" s="33">
        <f t="shared" ca="1" si="119"/>
        <v>1.1096768908005089E-2</v>
      </c>
      <c r="AY115" s="33">
        <f t="shared" ca="1" si="119"/>
        <v>1.1889807095473609E-2</v>
      </c>
      <c r="AZ115" s="33">
        <f t="shared" ca="1" si="119"/>
        <v>1.2307187878127712E-2</v>
      </c>
      <c r="BA115" s="33">
        <f t="shared" ca="1" si="119"/>
        <v>1.2953705587290159E-2</v>
      </c>
      <c r="BB115" s="33">
        <f t="shared" ca="1" si="119"/>
        <v>1.3012532115143144E-2</v>
      </c>
      <c r="BC115" s="33">
        <f t="shared" ca="1" si="119"/>
        <v>1.2703372238628691E-2</v>
      </c>
      <c r="BD115" s="33">
        <f t="shared" ca="1" si="119"/>
        <v>9.0583953064619187E-3</v>
      </c>
      <c r="BE115" s="33">
        <f t="shared" ca="1" si="119"/>
        <v>1.0286795135143745E-2</v>
      </c>
      <c r="BF115" s="33">
        <f t="shared" ca="1" si="119"/>
        <v>9.2452915972530379E-3</v>
      </c>
      <c r="BG115" s="33">
        <f t="shared" ref="BG115:BP126" ca="1" si="120">_xlfn.NORM.INV(RAND(),$A$52,$B$45)</f>
        <v>1.4232318108125962E-2</v>
      </c>
      <c r="BH115" s="33">
        <f t="shared" ca="1" si="120"/>
        <v>1.1211963852822433E-2</v>
      </c>
      <c r="BI115" s="33">
        <f t="shared" ca="1" si="120"/>
        <v>1.4064301925575291E-2</v>
      </c>
      <c r="BJ115" s="33">
        <f t="shared" ca="1" si="120"/>
        <v>1.1286867713069117E-2</v>
      </c>
      <c r="BK115" s="33">
        <f t="shared" ca="1" si="120"/>
        <v>1.1509613245956684E-2</v>
      </c>
      <c r="BL115" s="33">
        <f t="shared" ca="1" si="120"/>
        <v>1.0882289544214958E-2</v>
      </c>
      <c r="BM115" s="33">
        <f t="shared" ca="1" si="120"/>
        <v>1.0415428501478375E-2</v>
      </c>
      <c r="BN115" s="33">
        <f t="shared" ca="1" si="120"/>
        <v>1.1339050705821413E-2</v>
      </c>
      <c r="BO115" s="33">
        <f t="shared" ca="1" si="120"/>
        <v>8.9667257527311223E-3</v>
      </c>
      <c r="BP115" s="33">
        <f t="shared" ca="1" si="120"/>
        <v>1.1004887601558114E-2</v>
      </c>
      <c r="BQ115" s="33">
        <f t="shared" ref="BQ115:BZ126" ca="1" si="121">_xlfn.NORM.INV(RAND(),$A$52,$B$45)</f>
        <v>1.0161886062119648E-2</v>
      </c>
      <c r="BR115" s="33">
        <f t="shared" ca="1" si="121"/>
        <v>1.1999987613147184E-2</v>
      </c>
      <c r="BS115" s="33">
        <f t="shared" ca="1" si="121"/>
        <v>1.3085439395298654E-2</v>
      </c>
      <c r="BT115" s="33">
        <f t="shared" ca="1" si="121"/>
        <v>1.2813324256302055E-2</v>
      </c>
      <c r="BU115" s="33">
        <f t="shared" ca="1" si="121"/>
        <v>1.1592886745757742E-2</v>
      </c>
      <c r="BV115" s="33">
        <f t="shared" ca="1" si="121"/>
        <v>1.1506348158353739E-2</v>
      </c>
      <c r="BW115" s="33">
        <f t="shared" ca="1" si="121"/>
        <v>1.169948864328272E-2</v>
      </c>
      <c r="BX115" s="33">
        <f t="shared" ca="1" si="121"/>
        <v>9.9348769156584436E-3</v>
      </c>
      <c r="BY115" s="33">
        <f t="shared" ca="1" si="121"/>
        <v>1.4280300510080519E-2</v>
      </c>
      <c r="BZ115" s="33">
        <f t="shared" ca="1" si="121"/>
        <v>1.2510378148628945E-2</v>
      </c>
      <c r="CA115" s="33">
        <f t="shared" ref="CA115:CJ126" ca="1" si="122">_xlfn.NORM.INV(RAND(),$A$52,$B$45)</f>
        <v>1.0179935144752322E-2</v>
      </c>
      <c r="CB115" s="33">
        <f t="shared" ca="1" si="122"/>
        <v>1.119314386029577E-2</v>
      </c>
      <c r="CC115" s="33">
        <f t="shared" ca="1" si="122"/>
        <v>1.1113971401762688E-2</v>
      </c>
      <c r="CD115" s="33">
        <f t="shared" ca="1" si="122"/>
        <v>1.0068301104784155E-2</v>
      </c>
      <c r="CE115" s="33">
        <f t="shared" ca="1" si="122"/>
        <v>9.998455135862637E-3</v>
      </c>
      <c r="CF115" s="33">
        <f t="shared" ca="1" si="122"/>
        <v>1.3045418662257183E-2</v>
      </c>
      <c r="CG115" s="33">
        <f t="shared" ca="1" si="122"/>
        <v>1.0122894157129289E-2</v>
      </c>
      <c r="CH115" s="33">
        <f t="shared" ca="1" si="122"/>
        <v>1.0276894568509266E-2</v>
      </c>
      <c r="CI115" s="33">
        <f t="shared" ca="1" si="122"/>
        <v>1.2443574865956632E-2</v>
      </c>
      <c r="CJ115" s="33">
        <f t="shared" ca="1" si="122"/>
        <v>1.2664554193044549E-2</v>
      </c>
      <c r="CK115" s="33">
        <f t="shared" ref="CK115:CT126" ca="1" si="123">_xlfn.NORM.INV(RAND(),$A$52,$B$45)</f>
        <v>1.1343215027775761E-2</v>
      </c>
      <c r="CL115" s="33">
        <f t="shared" ca="1" si="123"/>
        <v>1.0513596912270683E-2</v>
      </c>
      <c r="CM115" s="33">
        <f t="shared" ca="1" si="123"/>
        <v>9.9438521786986336E-3</v>
      </c>
      <c r="CN115" s="33">
        <f t="shared" ca="1" si="123"/>
        <v>9.436540374022891E-3</v>
      </c>
      <c r="CO115" s="33">
        <f t="shared" ca="1" si="123"/>
        <v>1.1193974318745999E-2</v>
      </c>
      <c r="CP115" s="33">
        <f t="shared" ca="1" si="123"/>
        <v>1.2400489813987087E-2</v>
      </c>
      <c r="CQ115" s="33">
        <f t="shared" ca="1" si="123"/>
        <v>1.1415808740028635E-2</v>
      </c>
      <c r="CR115" s="33">
        <f t="shared" ca="1" si="123"/>
        <v>9.9119487963461143E-3</v>
      </c>
      <c r="CS115" s="33">
        <f t="shared" ca="1" si="123"/>
        <v>1.3360853061768544E-2</v>
      </c>
      <c r="CT115" s="33">
        <f t="shared" ca="1" si="123"/>
        <v>1.3941130615030668E-2</v>
      </c>
      <c r="CU115" s="33">
        <f t="shared" ref="CU115:DD126" ca="1" si="124">_xlfn.NORM.INV(RAND(),$A$52,$B$45)</f>
        <v>8.8733490577070431E-3</v>
      </c>
      <c r="CV115" s="33">
        <f t="shared" ca="1" si="124"/>
        <v>1.2047716079424491E-2</v>
      </c>
      <c r="CW115" s="33">
        <f t="shared" ca="1" si="124"/>
        <v>1.2476558173737646E-2</v>
      </c>
      <c r="CX115" s="33">
        <f t="shared" ca="1" si="124"/>
        <v>9.092727124156293E-3</v>
      </c>
      <c r="CY115" s="33">
        <f t="shared" ca="1" si="124"/>
        <v>1.1443640363781364E-2</v>
      </c>
      <c r="CZ115" s="33">
        <f t="shared" ca="1" si="124"/>
        <v>1.1339199147739802E-2</v>
      </c>
      <c r="DA115" s="33">
        <f t="shared" ca="1" si="124"/>
        <v>1.1794487227286118E-2</v>
      </c>
      <c r="DB115" s="33">
        <f t="shared" ca="1" si="124"/>
        <v>9.9849798592305528E-3</v>
      </c>
      <c r="DC115" s="33">
        <f t="shared" ca="1" si="124"/>
        <v>1.2246622231008411E-2</v>
      </c>
      <c r="DD115" s="33">
        <f t="shared" ca="1" si="124"/>
        <v>9.7020240112754407E-3</v>
      </c>
      <c r="DE115" s="33">
        <f t="shared" ref="DE115:DN126" ca="1" si="125">_xlfn.NORM.INV(RAND(),$A$52,$B$45)</f>
        <v>1.2105621858598743E-2</v>
      </c>
      <c r="DF115" s="33">
        <f t="shared" ca="1" si="125"/>
        <v>1.2649953110108973E-2</v>
      </c>
      <c r="DG115" s="33">
        <f t="shared" ca="1" si="125"/>
        <v>1.1308002958358217E-2</v>
      </c>
      <c r="DH115" s="33">
        <f t="shared" ca="1" si="125"/>
        <v>1.2467715998214265E-2</v>
      </c>
      <c r="DI115" s="33">
        <f t="shared" ca="1" si="125"/>
        <v>1.2120680224139388E-2</v>
      </c>
      <c r="DJ115" s="33">
        <f t="shared" ca="1" si="125"/>
        <v>1.2618490799696682E-2</v>
      </c>
      <c r="DK115" s="33">
        <f t="shared" ca="1" si="125"/>
        <v>1.2118251674522721E-2</v>
      </c>
      <c r="DL115" s="33">
        <f t="shared" ca="1" si="125"/>
        <v>1.1831284153065532E-2</v>
      </c>
      <c r="DM115" s="33">
        <f t="shared" ca="1" si="125"/>
        <v>9.2795915428213853E-3</v>
      </c>
      <c r="DN115" s="33">
        <f t="shared" ca="1" si="125"/>
        <v>1.2996284436764252E-2</v>
      </c>
      <c r="DO115" s="12"/>
      <c r="DP115" s="12"/>
      <c r="DQ115" s="12"/>
    </row>
    <row r="116" spans="6:121" x14ac:dyDescent="0.2">
      <c r="I116" s="32">
        <v>47939</v>
      </c>
      <c r="J116" s="33">
        <f t="shared" ca="1" si="105"/>
        <v>1.1344023030742272E-2</v>
      </c>
      <c r="K116" s="9">
        <v>3997.9944972931889</v>
      </c>
      <c r="L116" s="9">
        <f t="shared" ca="1" si="74"/>
        <v>579178.41408468806</v>
      </c>
      <c r="R116" s="32">
        <v>47939</v>
      </c>
      <c r="S116" s="33">
        <f t="shared" ca="1" si="116"/>
        <v>1.226289546635082E-2</v>
      </c>
      <c r="T116" s="33">
        <f t="shared" ca="1" si="116"/>
        <v>1.2148130334888749E-2</v>
      </c>
      <c r="U116" s="33">
        <f t="shared" ca="1" si="116"/>
        <v>9.5565267391774442E-3</v>
      </c>
      <c r="V116" s="33">
        <f t="shared" ca="1" si="116"/>
        <v>1.1004649291246414E-2</v>
      </c>
      <c r="W116" s="33">
        <f t="shared" ca="1" si="116"/>
        <v>1.2420128662468602E-2</v>
      </c>
      <c r="X116" s="33">
        <f t="shared" ca="1" si="116"/>
        <v>9.2010927235378626E-3</v>
      </c>
      <c r="Y116" s="33">
        <f t="shared" ca="1" si="116"/>
        <v>1.0637119541978561E-2</v>
      </c>
      <c r="Z116" s="33">
        <f t="shared" ca="1" si="116"/>
        <v>1.155448443623225E-2</v>
      </c>
      <c r="AA116" s="33">
        <f t="shared" ca="1" si="116"/>
        <v>9.6073892191430119E-3</v>
      </c>
      <c r="AB116" s="33">
        <f t="shared" ca="1" si="116"/>
        <v>1.0091585042840157E-2</v>
      </c>
      <c r="AC116" s="33">
        <f t="shared" ca="1" si="117"/>
        <v>1.1644830449373209E-2</v>
      </c>
      <c r="AD116" s="33">
        <f t="shared" ca="1" si="117"/>
        <v>1.1133414289907934E-2</v>
      </c>
      <c r="AE116" s="33">
        <f t="shared" ca="1" si="117"/>
        <v>1.1611996697980107E-2</v>
      </c>
      <c r="AF116" s="33">
        <f t="shared" ca="1" si="117"/>
        <v>1.1642117226561012E-2</v>
      </c>
      <c r="AG116" s="33">
        <f t="shared" ca="1" si="117"/>
        <v>1.3342663129193692E-2</v>
      </c>
      <c r="AH116" s="33">
        <f t="shared" ca="1" si="117"/>
        <v>1.1836922509943702E-2</v>
      </c>
      <c r="AI116" s="33">
        <f t="shared" ca="1" si="117"/>
        <v>1.0340754425790719E-2</v>
      </c>
      <c r="AJ116" s="33">
        <f t="shared" ca="1" si="117"/>
        <v>1.0723039253214231E-2</v>
      </c>
      <c r="AK116" s="33">
        <f t="shared" ca="1" si="117"/>
        <v>9.9568655709908784E-3</v>
      </c>
      <c r="AL116" s="33">
        <f t="shared" ca="1" si="117"/>
        <v>1.0813708329963281E-2</v>
      </c>
      <c r="AM116" s="33">
        <f t="shared" ca="1" si="118"/>
        <v>1.1146256243196075E-2</v>
      </c>
      <c r="AN116" s="33">
        <f t="shared" ca="1" si="118"/>
        <v>1.1659836885715161E-2</v>
      </c>
      <c r="AO116" s="33">
        <f t="shared" ca="1" si="118"/>
        <v>1.3560113447050968E-2</v>
      </c>
      <c r="AP116" s="33">
        <f t="shared" ca="1" si="118"/>
        <v>1.1826418899788345E-2</v>
      </c>
      <c r="AQ116" s="33">
        <f t="shared" ca="1" si="118"/>
        <v>1.1177699109249173E-2</v>
      </c>
      <c r="AR116" s="33">
        <f t="shared" ca="1" si="118"/>
        <v>1.0680876333469111E-2</v>
      </c>
      <c r="AS116" s="33">
        <f t="shared" ca="1" si="118"/>
        <v>1.0829033831078458E-2</v>
      </c>
      <c r="AT116" s="33">
        <f t="shared" ca="1" si="118"/>
        <v>1.3076389689753616E-2</v>
      </c>
      <c r="AU116" s="33">
        <f t="shared" ca="1" si="118"/>
        <v>9.260407366855088E-3</v>
      </c>
      <c r="AV116" s="33">
        <f t="shared" ca="1" si="118"/>
        <v>1.2667676539194182E-2</v>
      </c>
      <c r="AW116" s="33">
        <f t="shared" ca="1" si="119"/>
        <v>1.1079445733287997E-2</v>
      </c>
      <c r="AX116" s="33">
        <f t="shared" ca="1" si="119"/>
        <v>1.2357672686284434E-2</v>
      </c>
      <c r="AY116" s="33">
        <f t="shared" ca="1" si="119"/>
        <v>1.2762950938605888E-2</v>
      </c>
      <c r="AZ116" s="33">
        <f t="shared" ca="1" si="119"/>
        <v>1.1652700242760005E-2</v>
      </c>
      <c r="BA116" s="33">
        <f t="shared" ca="1" si="119"/>
        <v>1.0662795431184355E-2</v>
      </c>
      <c r="BB116" s="33">
        <f t="shared" ca="1" si="119"/>
        <v>1.0847677505858678E-2</v>
      </c>
      <c r="BC116" s="33">
        <f t="shared" ca="1" si="119"/>
        <v>9.0498865204837187E-3</v>
      </c>
      <c r="BD116" s="33">
        <f t="shared" ca="1" si="119"/>
        <v>1.1266596454791939E-2</v>
      </c>
      <c r="BE116" s="33">
        <f t="shared" ca="1" si="119"/>
        <v>1.2664284737391455E-2</v>
      </c>
      <c r="BF116" s="33">
        <f t="shared" ca="1" si="119"/>
        <v>1.3068291249651373E-2</v>
      </c>
      <c r="BG116" s="33">
        <f t="shared" ca="1" si="120"/>
        <v>1.2693401055931888E-2</v>
      </c>
      <c r="BH116" s="33">
        <f t="shared" ca="1" si="120"/>
        <v>9.3243857169049149E-3</v>
      </c>
      <c r="BI116" s="33">
        <f t="shared" ca="1" si="120"/>
        <v>9.8361318454678395E-3</v>
      </c>
      <c r="BJ116" s="33">
        <f t="shared" ca="1" si="120"/>
        <v>8.7473217197447609E-3</v>
      </c>
      <c r="BK116" s="33">
        <f t="shared" ca="1" si="120"/>
        <v>1.2469186222137402E-2</v>
      </c>
      <c r="BL116" s="33">
        <f t="shared" ca="1" si="120"/>
        <v>1.0941665280784128E-2</v>
      </c>
      <c r="BM116" s="33">
        <f t="shared" ca="1" si="120"/>
        <v>1.0123645463843868E-2</v>
      </c>
      <c r="BN116" s="33">
        <f t="shared" ca="1" si="120"/>
        <v>1.3391785267783497E-2</v>
      </c>
      <c r="BO116" s="33">
        <f t="shared" ca="1" si="120"/>
        <v>9.9420990000493852E-3</v>
      </c>
      <c r="BP116" s="33">
        <f t="shared" ca="1" si="120"/>
        <v>1.184495541408712E-2</v>
      </c>
      <c r="BQ116" s="33">
        <f t="shared" ca="1" si="121"/>
        <v>9.3754861073541366E-3</v>
      </c>
      <c r="BR116" s="33">
        <f t="shared" ca="1" si="121"/>
        <v>1.2140467109871628E-2</v>
      </c>
      <c r="BS116" s="33">
        <f t="shared" ca="1" si="121"/>
        <v>1.0057034197286893E-2</v>
      </c>
      <c r="BT116" s="33">
        <f t="shared" ca="1" si="121"/>
        <v>1.0810320150574213E-2</v>
      </c>
      <c r="BU116" s="33">
        <f t="shared" ca="1" si="121"/>
        <v>1.225235894986979E-2</v>
      </c>
      <c r="BV116" s="33">
        <f t="shared" ca="1" si="121"/>
        <v>1.1163838722914959E-2</v>
      </c>
      <c r="BW116" s="33">
        <f t="shared" ca="1" si="121"/>
        <v>1.0619294998212948E-2</v>
      </c>
      <c r="BX116" s="33">
        <f t="shared" ca="1" si="121"/>
        <v>9.2583806796620385E-3</v>
      </c>
      <c r="BY116" s="33">
        <f t="shared" ca="1" si="121"/>
        <v>1.1778186689247941E-2</v>
      </c>
      <c r="BZ116" s="33">
        <f t="shared" ca="1" si="121"/>
        <v>1.1527267785869369E-2</v>
      </c>
      <c r="CA116" s="33">
        <f t="shared" ca="1" si="122"/>
        <v>1.2466087006092402E-2</v>
      </c>
      <c r="CB116" s="33">
        <f t="shared" ca="1" si="122"/>
        <v>1.2374729055318522E-2</v>
      </c>
      <c r="CC116" s="33">
        <f t="shared" ca="1" si="122"/>
        <v>1.133713543699723E-2</v>
      </c>
      <c r="CD116" s="33">
        <f t="shared" ca="1" si="122"/>
        <v>1.1718024610340584E-2</v>
      </c>
      <c r="CE116" s="33">
        <f t="shared" ca="1" si="122"/>
        <v>1.0281789652802402E-2</v>
      </c>
      <c r="CF116" s="33">
        <f t="shared" ca="1" si="122"/>
        <v>1.0789768839861831E-2</v>
      </c>
      <c r="CG116" s="33">
        <f t="shared" ca="1" si="122"/>
        <v>1.4362643237906255E-2</v>
      </c>
      <c r="CH116" s="33">
        <f t="shared" ca="1" si="122"/>
        <v>1.4751991843725198E-2</v>
      </c>
      <c r="CI116" s="33">
        <f t="shared" ca="1" si="122"/>
        <v>1.3705104219881119E-2</v>
      </c>
      <c r="CJ116" s="33">
        <f t="shared" ca="1" si="122"/>
        <v>1.210622831394721E-2</v>
      </c>
      <c r="CK116" s="33">
        <f t="shared" ca="1" si="123"/>
        <v>1.1723446957111198E-2</v>
      </c>
      <c r="CL116" s="33">
        <f t="shared" ca="1" si="123"/>
        <v>1.2536834445729582E-2</v>
      </c>
      <c r="CM116" s="33">
        <f t="shared" ca="1" si="123"/>
        <v>1.1256460217449825E-2</v>
      </c>
      <c r="CN116" s="33">
        <f t="shared" ca="1" si="123"/>
        <v>1.0572307786503681E-2</v>
      </c>
      <c r="CO116" s="33">
        <f t="shared" ca="1" si="123"/>
        <v>9.1843009954796218E-3</v>
      </c>
      <c r="CP116" s="33">
        <f t="shared" ca="1" si="123"/>
        <v>1.1399460521444461E-2</v>
      </c>
      <c r="CQ116" s="33">
        <f t="shared" ca="1" si="123"/>
        <v>1.2278425602590079E-2</v>
      </c>
      <c r="CR116" s="33">
        <f t="shared" ca="1" si="123"/>
        <v>1.1510760776962697E-2</v>
      </c>
      <c r="CS116" s="33">
        <f t="shared" ca="1" si="123"/>
        <v>1.0401619241916547E-2</v>
      </c>
      <c r="CT116" s="33">
        <f t="shared" ca="1" si="123"/>
        <v>1.2047774422860367E-2</v>
      </c>
      <c r="CU116" s="33">
        <f t="shared" ca="1" si="124"/>
        <v>1.1664348474322985E-2</v>
      </c>
      <c r="CV116" s="33">
        <f t="shared" ca="1" si="124"/>
        <v>9.1719790768923001E-3</v>
      </c>
      <c r="CW116" s="33">
        <f t="shared" ca="1" si="124"/>
        <v>1.1297967727224276E-2</v>
      </c>
      <c r="CX116" s="33">
        <f t="shared" ca="1" si="124"/>
        <v>1.0146273868116862E-2</v>
      </c>
      <c r="CY116" s="33">
        <f t="shared" ca="1" si="124"/>
        <v>1.26700885955551E-2</v>
      </c>
      <c r="CZ116" s="33">
        <f t="shared" ca="1" si="124"/>
        <v>1.0517537054822576E-2</v>
      </c>
      <c r="DA116" s="33">
        <f t="shared" ca="1" si="124"/>
        <v>1.1778878743314528E-2</v>
      </c>
      <c r="DB116" s="33">
        <f t="shared" ca="1" si="124"/>
        <v>1.0775765795073252E-2</v>
      </c>
      <c r="DC116" s="33">
        <f t="shared" ca="1" si="124"/>
        <v>1.3283214617225963E-2</v>
      </c>
      <c r="DD116" s="33">
        <f t="shared" ca="1" si="124"/>
        <v>1.1640323236892808E-2</v>
      </c>
      <c r="DE116" s="33">
        <f t="shared" ca="1" si="125"/>
        <v>1.0980095735291609E-2</v>
      </c>
      <c r="DF116" s="33">
        <f t="shared" ca="1" si="125"/>
        <v>1.2232711624353363E-2</v>
      </c>
      <c r="DG116" s="33">
        <f t="shared" ca="1" si="125"/>
        <v>1.1169579477302273E-2</v>
      </c>
      <c r="DH116" s="33">
        <f t="shared" ca="1" si="125"/>
        <v>1.0911713419296223E-2</v>
      </c>
      <c r="DI116" s="33">
        <f t="shared" ca="1" si="125"/>
        <v>9.5158701982800964E-3</v>
      </c>
      <c r="DJ116" s="33">
        <f t="shared" ca="1" si="125"/>
        <v>1.0942387569313709E-2</v>
      </c>
      <c r="DK116" s="33">
        <f t="shared" ca="1" si="125"/>
        <v>1.0974881944908064E-2</v>
      </c>
      <c r="DL116" s="33">
        <f t="shared" ca="1" si="125"/>
        <v>1.1078733544605736E-2</v>
      </c>
      <c r="DM116" s="33">
        <f t="shared" ca="1" si="125"/>
        <v>1.3369367263976632E-2</v>
      </c>
      <c r="DN116" s="33">
        <f t="shared" ca="1" si="125"/>
        <v>1.2717358530407834E-2</v>
      </c>
      <c r="DO116" s="12"/>
      <c r="DP116" s="12"/>
      <c r="DQ116" s="12"/>
    </row>
    <row r="117" spans="6:121" x14ac:dyDescent="0.2">
      <c r="I117" s="32">
        <v>47969</v>
      </c>
      <c r="J117" s="33">
        <f t="shared" ca="1" si="105"/>
        <v>1.0205133554742101E-2</v>
      </c>
      <c r="K117" s="9">
        <v>3997.9944972931889</v>
      </c>
      <c r="L117" s="9">
        <f t="shared" ca="1" si="74"/>
        <v>589117.26370071364</v>
      </c>
      <c r="R117" s="32">
        <v>47969</v>
      </c>
      <c r="S117" s="33">
        <f t="shared" ca="1" si="116"/>
        <v>1.2168542277894392E-2</v>
      </c>
      <c r="T117" s="33">
        <f t="shared" ca="1" si="116"/>
        <v>1.0901715369856787E-2</v>
      </c>
      <c r="U117" s="33">
        <f t="shared" ca="1" si="116"/>
        <v>1.06405780533629E-2</v>
      </c>
      <c r="V117" s="33">
        <f t="shared" ca="1" si="116"/>
        <v>9.7645361430168422E-3</v>
      </c>
      <c r="W117" s="33">
        <f t="shared" ca="1" si="116"/>
        <v>1.0563125088053869E-2</v>
      </c>
      <c r="X117" s="33">
        <f t="shared" ca="1" si="116"/>
        <v>9.3406598177156481E-3</v>
      </c>
      <c r="Y117" s="33">
        <f t="shared" ca="1" si="116"/>
        <v>1.2586761963681935E-2</v>
      </c>
      <c r="Z117" s="33">
        <f t="shared" ca="1" si="116"/>
        <v>1.2567398333194282E-2</v>
      </c>
      <c r="AA117" s="33">
        <f t="shared" ca="1" si="116"/>
        <v>9.2293292591491393E-3</v>
      </c>
      <c r="AB117" s="33">
        <f t="shared" ca="1" si="116"/>
        <v>1.0964891893471457E-2</v>
      </c>
      <c r="AC117" s="33">
        <f t="shared" ca="1" si="117"/>
        <v>1.1831399076585038E-2</v>
      </c>
      <c r="AD117" s="33">
        <f t="shared" ca="1" si="117"/>
        <v>1.246835967696195E-2</v>
      </c>
      <c r="AE117" s="33">
        <f t="shared" ca="1" si="117"/>
        <v>1.2238780110431962E-2</v>
      </c>
      <c r="AF117" s="33">
        <f t="shared" ca="1" si="117"/>
        <v>1.1120594591868829E-2</v>
      </c>
      <c r="AG117" s="33">
        <f t="shared" ca="1" si="117"/>
        <v>1.2925884547681704E-2</v>
      </c>
      <c r="AH117" s="33">
        <f t="shared" ca="1" si="117"/>
        <v>1.0836678562341311E-2</v>
      </c>
      <c r="AI117" s="33">
        <f t="shared" ca="1" si="117"/>
        <v>9.3607370960609865E-3</v>
      </c>
      <c r="AJ117" s="33">
        <f t="shared" ca="1" si="117"/>
        <v>1.457732741087308E-2</v>
      </c>
      <c r="AK117" s="33">
        <f t="shared" ca="1" si="117"/>
        <v>1.140204750746684E-2</v>
      </c>
      <c r="AL117" s="33">
        <f t="shared" ca="1" si="117"/>
        <v>8.8128056067735012E-3</v>
      </c>
      <c r="AM117" s="33">
        <f t="shared" ca="1" si="118"/>
        <v>1.2223031051562078E-2</v>
      </c>
      <c r="AN117" s="33">
        <f t="shared" ca="1" si="118"/>
        <v>1.0261595337814965E-2</v>
      </c>
      <c r="AO117" s="33">
        <f t="shared" ca="1" si="118"/>
        <v>1.112022183033539E-2</v>
      </c>
      <c r="AP117" s="33">
        <f t="shared" ca="1" si="118"/>
        <v>1.1833935702505329E-2</v>
      </c>
      <c r="AQ117" s="33">
        <f t="shared" ca="1" si="118"/>
        <v>1.2414387943335586E-2</v>
      </c>
      <c r="AR117" s="33">
        <f t="shared" ca="1" si="118"/>
        <v>1.0762221338021684E-2</v>
      </c>
      <c r="AS117" s="33">
        <f t="shared" ca="1" si="118"/>
        <v>9.9093881064757864E-3</v>
      </c>
      <c r="AT117" s="33">
        <f t="shared" ca="1" si="118"/>
        <v>9.7963627755936408E-3</v>
      </c>
      <c r="AU117" s="33">
        <f t="shared" ca="1" si="118"/>
        <v>9.171882522781373E-3</v>
      </c>
      <c r="AV117" s="33">
        <f t="shared" ca="1" si="118"/>
        <v>1.159425536618987E-2</v>
      </c>
      <c r="AW117" s="33">
        <f t="shared" ca="1" si="119"/>
        <v>1.1208705609419403E-2</v>
      </c>
      <c r="AX117" s="33">
        <f t="shared" ca="1" si="119"/>
        <v>1.0997755602889035E-2</v>
      </c>
      <c r="AY117" s="33">
        <f t="shared" ca="1" si="119"/>
        <v>1.1565726534318884E-2</v>
      </c>
      <c r="AZ117" s="33">
        <f t="shared" ca="1" si="119"/>
        <v>1.0672349108957086E-2</v>
      </c>
      <c r="BA117" s="33">
        <f t="shared" ca="1" si="119"/>
        <v>1.1962980246282725E-2</v>
      </c>
      <c r="BB117" s="33">
        <f t="shared" ca="1" si="119"/>
        <v>8.8086214282729232E-3</v>
      </c>
      <c r="BC117" s="33">
        <f t="shared" ca="1" si="119"/>
        <v>1.603162875588815E-2</v>
      </c>
      <c r="BD117" s="33">
        <f t="shared" ca="1" si="119"/>
        <v>1.0084426545572431E-2</v>
      </c>
      <c r="BE117" s="33">
        <f t="shared" ca="1" si="119"/>
        <v>1.4760589279036914E-2</v>
      </c>
      <c r="BF117" s="33">
        <f t="shared" ca="1" si="119"/>
        <v>1.0502826970256597E-2</v>
      </c>
      <c r="BG117" s="33">
        <f t="shared" ca="1" si="120"/>
        <v>1.3305111857167417E-2</v>
      </c>
      <c r="BH117" s="33">
        <f t="shared" ca="1" si="120"/>
        <v>1.0755572561418758E-2</v>
      </c>
      <c r="BI117" s="33">
        <f t="shared" ca="1" si="120"/>
        <v>1.1656735003941598E-2</v>
      </c>
      <c r="BJ117" s="33">
        <f t="shared" ca="1" si="120"/>
        <v>1.0902478541180474E-2</v>
      </c>
      <c r="BK117" s="33">
        <f t="shared" ca="1" si="120"/>
        <v>1.0045831768121224E-2</v>
      </c>
      <c r="BL117" s="33">
        <f t="shared" ca="1" si="120"/>
        <v>1.1360966510671944E-2</v>
      </c>
      <c r="BM117" s="33">
        <f t="shared" ca="1" si="120"/>
        <v>1.0999784985920408E-2</v>
      </c>
      <c r="BN117" s="33">
        <f t="shared" ca="1" si="120"/>
        <v>9.7671134145596011E-3</v>
      </c>
      <c r="BO117" s="33">
        <f t="shared" ca="1" si="120"/>
        <v>1.2131414248802982E-2</v>
      </c>
      <c r="BP117" s="33">
        <f t="shared" ca="1" si="120"/>
        <v>1.222829584622695E-2</v>
      </c>
      <c r="BQ117" s="33">
        <f t="shared" ca="1" si="121"/>
        <v>1.2237631506389925E-2</v>
      </c>
      <c r="BR117" s="33">
        <f t="shared" ca="1" si="121"/>
        <v>1.2608944049416678E-2</v>
      </c>
      <c r="BS117" s="33">
        <f t="shared" ca="1" si="121"/>
        <v>1.1595307061125274E-2</v>
      </c>
      <c r="BT117" s="33">
        <f t="shared" ca="1" si="121"/>
        <v>1.312960553455686E-2</v>
      </c>
      <c r="BU117" s="33">
        <f t="shared" ca="1" si="121"/>
        <v>9.0416634438876438E-3</v>
      </c>
      <c r="BV117" s="33">
        <f t="shared" ca="1" si="121"/>
        <v>1.2813294877305707E-2</v>
      </c>
      <c r="BW117" s="33">
        <f t="shared" ca="1" si="121"/>
        <v>1.1382917436857648E-2</v>
      </c>
      <c r="BX117" s="33">
        <f t="shared" ca="1" si="121"/>
        <v>1.1467747714961472E-2</v>
      </c>
      <c r="BY117" s="33">
        <f t="shared" ca="1" si="121"/>
        <v>1.2200589233460991E-2</v>
      </c>
      <c r="BZ117" s="33">
        <f t="shared" ca="1" si="121"/>
        <v>1.4774910233585764E-2</v>
      </c>
      <c r="CA117" s="33">
        <f t="shared" ca="1" si="122"/>
        <v>1.4316720180536233E-2</v>
      </c>
      <c r="CB117" s="33">
        <f t="shared" ca="1" si="122"/>
        <v>1.2109841838887875E-2</v>
      </c>
      <c r="CC117" s="33">
        <f t="shared" ca="1" si="122"/>
        <v>1.0748721002169722E-2</v>
      </c>
      <c r="CD117" s="33">
        <f t="shared" ca="1" si="122"/>
        <v>1.3637853742196298E-2</v>
      </c>
      <c r="CE117" s="33">
        <f t="shared" ca="1" si="122"/>
        <v>1.2075720629286555E-2</v>
      </c>
      <c r="CF117" s="33">
        <f t="shared" ca="1" si="122"/>
        <v>9.4727360105818902E-3</v>
      </c>
      <c r="CG117" s="33">
        <f t="shared" ca="1" si="122"/>
        <v>1.118904967036002E-2</v>
      </c>
      <c r="CH117" s="33">
        <f t="shared" ca="1" si="122"/>
        <v>1.0166137927935614E-2</v>
      </c>
      <c r="CI117" s="33">
        <f t="shared" ca="1" si="122"/>
        <v>8.9036218590976303E-3</v>
      </c>
      <c r="CJ117" s="33">
        <f t="shared" ca="1" si="122"/>
        <v>1.2685113962399122E-2</v>
      </c>
      <c r="CK117" s="33">
        <f t="shared" ca="1" si="123"/>
        <v>1.007315393429644E-2</v>
      </c>
      <c r="CL117" s="33">
        <f t="shared" ca="1" si="123"/>
        <v>9.5553849161249642E-3</v>
      </c>
      <c r="CM117" s="33">
        <f t="shared" ca="1" si="123"/>
        <v>8.8131982924485562E-3</v>
      </c>
      <c r="CN117" s="33">
        <f t="shared" ca="1" si="123"/>
        <v>8.3176367803437408E-3</v>
      </c>
      <c r="CO117" s="33">
        <f t="shared" ca="1" si="123"/>
        <v>1.1917390072478943E-2</v>
      </c>
      <c r="CP117" s="33">
        <f t="shared" ca="1" si="123"/>
        <v>1.1755888234623348E-2</v>
      </c>
      <c r="CQ117" s="33">
        <f t="shared" ca="1" si="123"/>
        <v>1.236145221399507E-2</v>
      </c>
      <c r="CR117" s="33">
        <f t="shared" ca="1" si="123"/>
        <v>9.4750530221931074E-3</v>
      </c>
      <c r="CS117" s="33">
        <f t="shared" ca="1" si="123"/>
        <v>1.0975457945017744E-2</v>
      </c>
      <c r="CT117" s="33">
        <f t="shared" ca="1" si="123"/>
        <v>1.0521634205243786E-2</v>
      </c>
      <c r="CU117" s="33">
        <f t="shared" ca="1" si="124"/>
        <v>9.2453630423885713E-3</v>
      </c>
      <c r="CV117" s="33">
        <f t="shared" ca="1" si="124"/>
        <v>1.1804196870955009E-2</v>
      </c>
      <c r="CW117" s="33">
        <f t="shared" ca="1" si="124"/>
        <v>9.8105928759191687E-3</v>
      </c>
      <c r="CX117" s="33">
        <f t="shared" ca="1" si="124"/>
        <v>1.2743999806329589E-2</v>
      </c>
      <c r="CY117" s="33">
        <f t="shared" ca="1" si="124"/>
        <v>1.290389172653943E-2</v>
      </c>
      <c r="CZ117" s="33">
        <f t="shared" ca="1" si="124"/>
        <v>1.1206812819234373E-2</v>
      </c>
      <c r="DA117" s="33">
        <f t="shared" ca="1" si="124"/>
        <v>1.0728103819451782E-2</v>
      </c>
      <c r="DB117" s="33">
        <f t="shared" ca="1" si="124"/>
        <v>1.0800938064372913E-2</v>
      </c>
      <c r="DC117" s="33">
        <f t="shared" ca="1" si="124"/>
        <v>9.0226048230796912E-3</v>
      </c>
      <c r="DD117" s="33">
        <f t="shared" ca="1" si="124"/>
        <v>1.1588454476859633E-2</v>
      </c>
      <c r="DE117" s="33">
        <f t="shared" ca="1" si="125"/>
        <v>1.1480439161698351E-2</v>
      </c>
      <c r="DF117" s="33">
        <f t="shared" ca="1" si="125"/>
        <v>1.0369170258043436E-2</v>
      </c>
      <c r="DG117" s="33">
        <f t="shared" ca="1" si="125"/>
        <v>1.2871629272982677E-2</v>
      </c>
      <c r="DH117" s="33">
        <f t="shared" ca="1" si="125"/>
        <v>1.020211472868918E-2</v>
      </c>
      <c r="DI117" s="33">
        <f t="shared" ca="1" si="125"/>
        <v>9.6358295408036695E-3</v>
      </c>
      <c r="DJ117" s="33">
        <f t="shared" ca="1" si="125"/>
        <v>1.2671650921510231E-2</v>
      </c>
      <c r="DK117" s="33">
        <f t="shared" ca="1" si="125"/>
        <v>1.0073886580981049E-2</v>
      </c>
      <c r="DL117" s="33">
        <f t="shared" ca="1" si="125"/>
        <v>1.2672854860933091E-2</v>
      </c>
      <c r="DM117" s="33">
        <f t="shared" ca="1" si="125"/>
        <v>1.3548676785732208E-2</v>
      </c>
      <c r="DN117" s="33">
        <f t="shared" ca="1" si="125"/>
        <v>1.0111581208821449E-2</v>
      </c>
      <c r="DO117" s="12"/>
      <c r="DP117" s="12"/>
      <c r="DQ117" s="12"/>
    </row>
    <row r="118" spans="6:121" x14ac:dyDescent="0.2">
      <c r="I118" s="32">
        <v>48000</v>
      </c>
      <c r="J118" s="33">
        <f t="shared" ca="1" si="105"/>
        <v>1.0797958503030227E-2</v>
      </c>
      <c r="K118" s="9">
        <v>3997.9944972931889</v>
      </c>
      <c r="L118" s="9">
        <f t="shared" ca="1" si="74"/>
        <v>599510.99024659977</v>
      </c>
      <c r="R118" s="32">
        <v>48000</v>
      </c>
      <c r="S118" s="33">
        <f t="shared" ca="1" si="116"/>
        <v>1.3296183281141245E-2</v>
      </c>
      <c r="T118" s="33">
        <f t="shared" ca="1" si="116"/>
        <v>1.6037879730252048E-2</v>
      </c>
      <c r="U118" s="33">
        <f t="shared" ca="1" si="116"/>
        <v>1.1220974701707699E-2</v>
      </c>
      <c r="V118" s="33">
        <f t="shared" ca="1" si="116"/>
        <v>1.1461581365177317E-2</v>
      </c>
      <c r="W118" s="33">
        <f t="shared" ca="1" si="116"/>
        <v>9.4526747878086372E-3</v>
      </c>
      <c r="X118" s="33">
        <f t="shared" ca="1" si="116"/>
        <v>1.1121178900658391E-2</v>
      </c>
      <c r="Y118" s="33">
        <f t="shared" ca="1" si="116"/>
        <v>1.1862967031126475E-2</v>
      </c>
      <c r="Z118" s="33">
        <f t="shared" ca="1" si="116"/>
        <v>1.1018567301383326E-2</v>
      </c>
      <c r="AA118" s="33">
        <f t="shared" ca="1" si="116"/>
        <v>1.1185933074341004E-2</v>
      </c>
      <c r="AB118" s="33">
        <f t="shared" ca="1" si="116"/>
        <v>1.246530640596605E-2</v>
      </c>
      <c r="AC118" s="33">
        <f t="shared" ca="1" si="117"/>
        <v>1.42336445324171E-2</v>
      </c>
      <c r="AD118" s="33">
        <f t="shared" ca="1" si="117"/>
        <v>1.3377618454746616E-2</v>
      </c>
      <c r="AE118" s="33">
        <f t="shared" ca="1" si="117"/>
        <v>1.2360209660761141E-2</v>
      </c>
      <c r="AF118" s="33">
        <f t="shared" ca="1" si="117"/>
        <v>1.4486330267724229E-2</v>
      </c>
      <c r="AG118" s="33">
        <f t="shared" ca="1" si="117"/>
        <v>8.9762716191944224E-3</v>
      </c>
      <c r="AH118" s="33">
        <f t="shared" ca="1" si="117"/>
        <v>1.0122541886791663E-2</v>
      </c>
      <c r="AI118" s="33">
        <f t="shared" ca="1" si="117"/>
        <v>1.1240534711798976E-2</v>
      </c>
      <c r="AJ118" s="33">
        <f t="shared" ca="1" si="117"/>
        <v>8.7004327980229994E-3</v>
      </c>
      <c r="AK118" s="33">
        <f t="shared" ca="1" si="117"/>
        <v>1.3387881467863794E-2</v>
      </c>
      <c r="AL118" s="33">
        <f t="shared" ca="1" si="117"/>
        <v>1.05720795994662E-2</v>
      </c>
      <c r="AM118" s="33">
        <f t="shared" ca="1" si="118"/>
        <v>1.3011196051098803E-2</v>
      </c>
      <c r="AN118" s="33">
        <f t="shared" ca="1" si="118"/>
        <v>1.3130937291671927E-2</v>
      </c>
      <c r="AO118" s="33">
        <f t="shared" ca="1" si="118"/>
        <v>1.1198211434062202E-2</v>
      </c>
      <c r="AP118" s="33">
        <f t="shared" ca="1" si="118"/>
        <v>8.3261154210402706E-3</v>
      </c>
      <c r="AQ118" s="33">
        <f t="shared" ca="1" si="118"/>
        <v>1.0616566432463611E-2</v>
      </c>
      <c r="AR118" s="33">
        <f t="shared" ca="1" si="118"/>
        <v>7.6324590244456671E-3</v>
      </c>
      <c r="AS118" s="33">
        <f t="shared" ca="1" si="118"/>
        <v>1.3497721814863903E-2</v>
      </c>
      <c r="AT118" s="33">
        <f t="shared" ca="1" si="118"/>
        <v>1.4636525858522605E-2</v>
      </c>
      <c r="AU118" s="33">
        <f t="shared" ca="1" si="118"/>
        <v>1.061630113712988E-2</v>
      </c>
      <c r="AV118" s="33">
        <f t="shared" ca="1" si="118"/>
        <v>1.1533449459276864E-2</v>
      </c>
      <c r="AW118" s="33">
        <f t="shared" ca="1" si="119"/>
        <v>1.0496142149152392E-2</v>
      </c>
      <c r="AX118" s="33">
        <f t="shared" ca="1" si="119"/>
        <v>1.1722243202157066E-2</v>
      </c>
      <c r="AY118" s="33">
        <f t="shared" ca="1" si="119"/>
        <v>1.1748454411457927E-2</v>
      </c>
      <c r="AZ118" s="33">
        <f t="shared" ca="1" si="119"/>
        <v>1.0350465532016779E-2</v>
      </c>
      <c r="BA118" s="33">
        <f t="shared" ca="1" si="119"/>
        <v>8.9555591082558818E-3</v>
      </c>
      <c r="BB118" s="33">
        <f t="shared" ca="1" si="119"/>
        <v>1.4707315151487235E-2</v>
      </c>
      <c r="BC118" s="33">
        <f t="shared" ca="1" si="119"/>
        <v>1.2426242227217738E-2</v>
      </c>
      <c r="BD118" s="33">
        <f t="shared" ca="1" si="119"/>
        <v>1.2556864783467021E-2</v>
      </c>
      <c r="BE118" s="33">
        <f t="shared" ca="1" si="119"/>
        <v>1.3145495033374571E-2</v>
      </c>
      <c r="BF118" s="33">
        <f t="shared" ca="1" si="119"/>
        <v>1.2007293290580076E-2</v>
      </c>
      <c r="BG118" s="33">
        <f t="shared" ca="1" si="120"/>
        <v>9.47595646426754E-3</v>
      </c>
      <c r="BH118" s="33">
        <f t="shared" ca="1" si="120"/>
        <v>1.2333426909184382E-2</v>
      </c>
      <c r="BI118" s="33">
        <f t="shared" ca="1" si="120"/>
        <v>1.1484735116090352E-2</v>
      </c>
      <c r="BJ118" s="33">
        <f t="shared" ca="1" si="120"/>
        <v>1.0755757607139942E-2</v>
      </c>
      <c r="BK118" s="33">
        <f t="shared" ca="1" si="120"/>
        <v>9.8244080684836161E-3</v>
      </c>
      <c r="BL118" s="33">
        <f t="shared" ca="1" si="120"/>
        <v>1.4788049736903165E-2</v>
      </c>
      <c r="BM118" s="33">
        <f t="shared" ca="1" si="120"/>
        <v>1.0958597227998797E-2</v>
      </c>
      <c r="BN118" s="33">
        <f t="shared" ca="1" si="120"/>
        <v>1.4143255947105204E-2</v>
      </c>
      <c r="BO118" s="33">
        <f t="shared" ca="1" si="120"/>
        <v>1.0111200428106369E-2</v>
      </c>
      <c r="BP118" s="33">
        <f t="shared" ca="1" si="120"/>
        <v>9.392180106990472E-3</v>
      </c>
      <c r="BQ118" s="33">
        <f t="shared" ca="1" si="121"/>
        <v>1.0543490153577939E-2</v>
      </c>
      <c r="BR118" s="33">
        <f t="shared" ca="1" si="121"/>
        <v>1.068363792013669E-2</v>
      </c>
      <c r="BS118" s="33">
        <f t="shared" ca="1" si="121"/>
        <v>1.0984669992461411E-2</v>
      </c>
      <c r="BT118" s="33">
        <f t="shared" ca="1" si="121"/>
        <v>1.0552198235266579E-2</v>
      </c>
      <c r="BU118" s="33">
        <f t="shared" ca="1" si="121"/>
        <v>1.2840552755393314E-2</v>
      </c>
      <c r="BV118" s="33">
        <f t="shared" ca="1" si="121"/>
        <v>9.4884903531633445E-3</v>
      </c>
      <c r="BW118" s="33">
        <f t="shared" ca="1" si="121"/>
        <v>1.2136536258047458E-2</v>
      </c>
      <c r="BX118" s="33">
        <f t="shared" ca="1" si="121"/>
        <v>1.2390187610501265E-2</v>
      </c>
      <c r="BY118" s="33">
        <f t="shared" ca="1" si="121"/>
        <v>1.2546428496778859E-2</v>
      </c>
      <c r="BZ118" s="33">
        <f t="shared" ca="1" si="121"/>
        <v>1.0262870590929391E-2</v>
      </c>
      <c r="CA118" s="33">
        <f t="shared" ca="1" si="122"/>
        <v>9.0895394162427354E-3</v>
      </c>
      <c r="CB118" s="33">
        <f t="shared" ca="1" si="122"/>
        <v>1.1693845140718627E-2</v>
      </c>
      <c r="CC118" s="33">
        <f t="shared" ca="1" si="122"/>
        <v>1.0389233901094521E-2</v>
      </c>
      <c r="CD118" s="33">
        <f t="shared" ca="1" si="122"/>
        <v>1.2815814640353754E-2</v>
      </c>
      <c r="CE118" s="33">
        <f t="shared" ca="1" si="122"/>
        <v>1.1366987564930335E-2</v>
      </c>
      <c r="CF118" s="33">
        <f t="shared" ca="1" si="122"/>
        <v>1.0165654061225935E-2</v>
      </c>
      <c r="CG118" s="33">
        <f t="shared" ca="1" si="122"/>
        <v>1.1323396690541004E-2</v>
      </c>
      <c r="CH118" s="33">
        <f t="shared" ca="1" si="122"/>
        <v>1.1573361570215055E-2</v>
      </c>
      <c r="CI118" s="33">
        <f t="shared" ca="1" si="122"/>
        <v>1.4005489403061074E-2</v>
      </c>
      <c r="CJ118" s="33">
        <f t="shared" ca="1" si="122"/>
        <v>1.2276705451692935E-2</v>
      </c>
      <c r="CK118" s="33">
        <f t="shared" ca="1" si="123"/>
        <v>1.207960380125751E-2</v>
      </c>
      <c r="CL118" s="33">
        <f t="shared" ca="1" si="123"/>
        <v>1.4703246886496237E-2</v>
      </c>
      <c r="CM118" s="33">
        <f t="shared" ca="1" si="123"/>
        <v>1.0255142457739065E-2</v>
      </c>
      <c r="CN118" s="33">
        <f t="shared" ca="1" si="123"/>
        <v>1.1101596802843814E-2</v>
      </c>
      <c r="CO118" s="33">
        <f t="shared" ca="1" si="123"/>
        <v>1.2565255518637873E-2</v>
      </c>
      <c r="CP118" s="33">
        <f t="shared" ca="1" si="123"/>
        <v>1.0195072996490907E-2</v>
      </c>
      <c r="CQ118" s="33">
        <f t="shared" ca="1" si="123"/>
        <v>1.0341810397364906E-2</v>
      </c>
      <c r="CR118" s="33">
        <f t="shared" ca="1" si="123"/>
        <v>1.2961155821734051E-2</v>
      </c>
      <c r="CS118" s="33">
        <f t="shared" ca="1" si="123"/>
        <v>1.114281901827276E-2</v>
      </c>
      <c r="CT118" s="33">
        <f t="shared" ca="1" si="123"/>
        <v>8.8990959419233233E-3</v>
      </c>
      <c r="CU118" s="33">
        <f t="shared" ca="1" si="124"/>
        <v>9.4638783248457824E-3</v>
      </c>
      <c r="CV118" s="33">
        <f t="shared" ca="1" si="124"/>
        <v>1.0397029478798706E-2</v>
      </c>
      <c r="CW118" s="33">
        <f t="shared" ca="1" si="124"/>
        <v>1.2193804007241385E-2</v>
      </c>
      <c r="CX118" s="33">
        <f t="shared" ca="1" si="124"/>
        <v>1.1645780570105272E-2</v>
      </c>
      <c r="CY118" s="33">
        <f t="shared" ca="1" si="124"/>
        <v>1.1188146779650202E-2</v>
      </c>
      <c r="CZ118" s="33">
        <f t="shared" ca="1" si="124"/>
        <v>1.1880256881234251E-2</v>
      </c>
      <c r="DA118" s="33">
        <f t="shared" ca="1" si="124"/>
        <v>1.2391449930766695E-2</v>
      </c>
      <c r="DB118" s="33">
        <f t="shared" ca="1" si="124"/>
        <v>8.862433832506518E-3</v>
      </c>
      <c r="DC118" s="33">
        <f t="shared" ca="1" si="124"/>
        <v>1.0068418207154272E-2</v>
      </c>
      <c r="DD118" s="33">
        <f t="shared" ca="1" si="124"/>
        <v>1.0574858700406036E-2</v>
      </c>
      <c r="DE118" s="33">
        <f t="shared" ca="1" si="125"/>
        <v>1.4222059883711956E-2</v>
      </c>
      <c r="DF118" s="33">
        <f t="shared" ca="1" si="125"/>
        <v>1.2061384637198424E-2</v>
      </c>
      <c r="DG118" s="33">
        <f t="shared" ca="1" si="125"/>
        <v>1.2595779525706834E-2</v>
      </c>
      <c r="DH118" s="33">
        <f t="shared" ca="1" si="125"/>
        <v>1.1917230061705367E-2</v>
      </c>
      <c r="DI118" s="33">
        <f t="shared" ca="1" si="125"/>
        <v>1.1501559678547293E-2</v>
      </c>
      <c r="DJ118" s="33">
        <f t="shared" ca="1" si="125"/>
        <v>1.1311394781611504E-2</v>
      </c>
      <c r="DK118" s="33">
        <f t="shared" ca="1" si="125"/>
        <v>1.0199979258197593E-2</v>
      </c>
      <c r="DL118" s="33">
        <f t="shared" ca="1" si="125"/>
        <v>1.3119754879220145E-2</v>
      </c>
      <c r="DM118" s="33">
        <f t="shared" ca="1" si="125"/>
        <v>9.8820149271474748E-3</v>
      </c>
      <c r="DN118" s="33">
        <f t="shared" ca="1" si="125"/>
        <v>1.531115557150051E-2</v>
      </c>
      <c r="DO118" s="12"/>
      <c r="DP118" s="12"/>
      <c r="DQ118" s="12"/>
    </row>
    <row r="119" spans="6:121" x14ac:dyDescent="0.2">
      <c r="I119" s="32">
        <v>48030</v>
      </c>
      <c r="J119" s="33">
        <f t="shared" ca="1" si="105"/>
        <v>9.1811962625131804E-3</v>
      </c>
      <c r="K119" s="9">
        <v>3997.9944972931889</v>
      </c>
      <c r="L119" s="9">
        <f t="shared" ca="1" si="74"/>
        <v>609038.5580129954</v>
      </c>
      <c r="R119" s="32">
        <v>48030</v>
      </c>
      <c r="S119" s="33">
        <f t="shared" ca="1" si="116"/>
        <v>1.1709088949708391E-2</v>
      </c>
      <c r="T119" s="33">
        <f t="shared" ca="1" si="116"/>
        <v>1.1920807144320226E-2</v>
      </c>
      <c r="U119" s="33">
        <f t="shared" ca="1" si="116"/>
        <v>1.0822267767815542E-2</v>
      </c>
      <c r="V119" s="33">
        <f t="shared" ca="1" si="116"/>
        <v>1.1934352878158727E-2</v>
      </c>
      <c r="W119" s="33">
        <f t="shared" ca="1" si="116"/>
        <v>8.3974977150884297E-3</v>
      </c>
      <c r="X119" s="33">
        <f t="shared" ca="1" si="116"/>
        <v>1.0853126928692816E-2</v>
      </c>
      <c r="Y119" s="33">
        <f t="shared" ca="1" si="116"/>
        <v>1.2425697719111997E-2</v>
      </c>
      <c r="Z119" s="33">
        <f t="shared" ca="1" si="116"/>
        <v>1.0048336678624193E-2</v>
      </c>
      <c r="AA119" s="33">
        <f t="shared" ca="1" si="116"/>
        <v>1.2917937340068174E-2</v>
      </c>
      <c r="AB119" s="33">
        <f t="shared" ca="1" si="116"/>
        <v>1.0664024532367394E-2</v>
      </c>
      <c r="AC119" s="33">
        <f t="shared" ca="1" si="117"/>
        <v>1.0767232727900911E-2</v>
      </c>
      <c r="AD119" s="33">
        <f t="shared" ca="1" si="117"/>
        <v>1.1485533751803922E-2</v>
      </c>
      <c r="AE119" s="33">
        <f t="shared" ca="1" si="117"/>
        <v>1.2178915527683219E-2</v>
      </c>
      <c r="AF119" s="33">
        <f t="shared" ca="1" si="117"/>
        <v>1.29988117398707E-2</v>
      </c>
      <c r="AG119" s="33">
        <f t="shared" ca="1" si="117"/>
        <v>1.481414282403495E-2</v>
      </c>
      <c r="AH119" s="33">
        <f t="shared" ca="1" si="117"/>
        <v>1.1838677902174809E-2</v>
      </c>
      <c r="AI119" s="33">
        <f t="shared" ca="1" si="117"/>
        <v>1.0852999472959441E-2</v>
      </c>
      <c r="AJ119" s="33">
        <f t="shared" ca="1" si="117"/>
        <v>9.684431812045027E-3</v>
      </c>
      <c r="AK119" s="33">
        <f t="shared" ca="1" si="117"/>
        <v>1.1310087102022678E-2</v>
      </c>
      <c r="AL119" s="33">
        <f t="shared" ca="1" si="117"/>
        <v>1.1212397417346287E-2</v>
      </c>
      <c r="AM119" s="33">
        <f t="shared" ca="1" si="118"/>
        <v>7.1188333516486423E-3</v>
      </c>
      <c r="AN119" s="33">
        <f t="shared" ca="1" si="118"/>
        <v>1.0603893079555129E-2</v>
      </c>
      <c r="AO119" s="33">
        <f t="shared" ca="1" si="118"/>
        <v>1.2157277077441608E-2</v>
      </c>
      <c r="AP119" s="33">
        <f t="shared" ca="1" si="118"/>
        <v>1.2926138186963473E-2</v>
      </c>
      <c r="AQ119" s="33">
        <f t="shared" ca="1" si="118"/>
        <v>1.2488152020761261E-2</v>
      </c>
      <c r="AR119" s="33">
        <f t="shared" ca="1" si="118"/>
        <v>9.5994722634656533E-3</v>
      </c>
      <c r="AS119" s="33">
        <f t="shared" ca="1" si="118"/>
        <v>1.069604825120242E-2</v>
      </c>
      <c r="AT119" s="33">
        <f t="shared" ca="1" si="118"/>
        <v>1.042675621985969E-2</v>
      </c>
      <c r="AU119" s="33">
        <f t="shared" ca="1" si="118"/>
        <v>1.2814540752978873E-2</v>
      </c>
      <c r="AV119" s="33">
        <f t="shared" ca="1" si="118"/>
        <v>1.3301966826147423E-2</v>
      </c>
      <c r="AW119" s="33">
        <f t="shared" ca="1" si="119"/>
        <v>1.1715592178437874E-2</v>
      </c>
      <c r="AX119" s="33">
        <f t="shared" ca="1" si="119"/>
        <v>1.2446042424465764E-2</v>
      </c>
      <c r="AY119" s="33">
        <f t="shared" ca="1" si="119"/>
        <v>1.0046547320291472E-2</v>
      </c>
      <c r="AZ119" s="33">
        <f t="shared" ca="1" si="119"/>
        <v>1.1923154396664056E-2</v>
      </c>
      <c r="BA119" s="33">
        <f t="shared" ca="1" si="119"/>
        <v>1.3320141828777955E-2</v>
      </c>
      <c r="BB119" s="33">
        <f t="shared" ca="1" si="119"/>
        <v>1.0021405290736671E-2</v>
      </c>
      <c r="BC119" s="33">
        <f t="shared" ca="1" si="119"/>
        <v>1.1571285544025617E-2</v>
      </c>
      <c r="BD119" s="33">
        <f t="shared" ca="1" si="119"/>
        <v>9.9598658597318326E-3</v>
      </c>
      <c r="BE119" s="33">
        <f t="shared" ca="1" si="119"/>
        <v>1.165044081411536E-2</v>
      </c>
      <c r="BF119" s="33">
        <f t="shared" ca="1" si="119"/>
        <v>1.2565272931007189E-2</v>
      </c>
      <c r="BG119" s="33">
        <f t="shared" ca="1" si="120"/>
        <v>1.2462850860396339E-2</v>
      </c>
      <c r="BH119" s="33">
        <f t="shared" ca="1" si="120"/>
        <v>1.1443569488098765E-2</v>
      </c>
      <c r="BI119" s="33">
        <f t="shared" ca="1" si="120"/>
        <v>1.0748483030094352E-2</v>
      </c>
      <c r="BJ119" s="33">
        <f t="shared" ca="1" si="120"/>
        <v>1.0145024432719092E-2</v>
      </c>
      <c r="BK119" s="33">
        <f t="shared" ca="1" si="120"/>
        <v>1.158769083498703E-2</v>
      </c>
      <c r="BL119" s="33">
        <f t="shared" ca="1" si="120"/>
        <v>9.1267755870966232E-3</v>
      </c>
      <c r="BM119" s="33">
        <f t="shared" ca="1" si="120"/>
        <v>1.0455756655841194E-2</v>
      </c>
      <c r="BN119" s="33">
        <f t="shared" ca="1" si="120"/>
        <v>1.2767783807468196E-2</v>
      </c>
      <c r="BO119" s="33">
        <f t="shared" ca="1" si="120"/>
        <v>9.9410203741219037E-3</v>
      </c>
      <c r="BP119" s="33">
        <f t="shared" ca="1" si="120"/>
        <v>9.8984834953557595E-3</v>
      </c>
      <c r="BQ119" s="33">
        <f t="shared" ca="1" si="121"/>
        <v>1.1832508825825134E-2</v>
      </c>
      <c r="BR119" s="33">
        <f t="shared" ca="1" si="121"/>
        <v>1.14642169069737E-2</v>
      </c>
      <c r="BS119" s="33">
        <f t="shared" ca="1" si="121"/>
        <v>1.2135699665203243E-2</v>
      </c>
      <c r="BT119" s="33">
        <f t="shared" ca="1" si="121"/>
        <v>9.6139245655349863E-3</v>
      </c>
      <c r="BU119" s="33">
        <f t="shared" ca="1" si="121"/>
        <v>1.0773267072460247E-2</v>
      </c>
      <c r="BV119" s="33">
        <f t="shared" ca="1" si="121"/>
        <v>1.1350875247300102E-2</v>
      </c>
      <c r="BW119" s="33">
        <f t="shared" ca="1" si="121"/>
        <v>9.8686540549957347E-3</v>
      </c>
      <c r="BX119" s="33">
        <f t="shared" ca="1" si="121"/>
        <v>1.1266126526731594E-2</v>
      </c>
      <c r="BY119" s="33">
        <f t="shared" ca="1" si="121"/>
        <v>1.281368685628019E-2</v>
      </c>
      <c r="BZ119" s="33">
        <f t="shared" ca="1" si="121"/>
        <v>1.2578730516924867E-2</v>
      </c>
      <c r="CA119" s="33">
        <f t="shared" ca="1" si="122"/>
        <v>1.2673434705720835E-2</v>
      </c>
      <c r="CB119" s="33">
        <f t="shared" ca="1" si="122"/>
        <v>1.3375066524161395E-2</v>
      </c>
      <c r="CC119" s="33">
        <f t="shared" ca="1" si="122"/>
        <v>1.2410835439875227E-2</v>
      </c>
      <c r="CD119" s="33">
        <f t="shared" ca="1" si="122"/>
        <v>1.3139214926288337E-2</v>
      </c>
      <c r="CE119" s="33">
        <f t="shared" ca="1" si="122"/>
        <v>1.2983412286432971E-2</v>
      </c>
      <c r="CF119" s="33">
        <f t="shared" ca="1" si="122"/>
        <v>1.2047366230235146E-2</v>
      </c>
      <c r="CG119" s="33">
        <f t="shared" ca="1" si="122"/>
        <v>1.0356369444354975E-2</v>
      </c>
      <c r="CH119" s="33">
        <f t="shared" ca="1" si="122"/>
        <v>1.0033092891102515E-2</v>
      </c>
      <c r="CI119" s="33">
        <f t="shared" ca="1" si="122"/>
        <v>1.2045731712235564E-2</v>
      </c>
      <c r="CJ119" s="33">
        <f t="shared" ca="1" si="122"/>
        <v>1.3559711361006572E-2</v>
      </c>
      <c r="CK119" s="33">
        <f t="shared" ca="1" si="123"/>
        <v>1.1690389872857641E-2</v>
      </c>
      <c r="CL119" s="33">
        <f t="shared" ca="1" si="123"/>
        <v>1.0146513329785042E-2</v>
      </c>
      <c r="CM119" s="33">
        <f t="shared" ca="1" si="123"/>
        <v>1.1168163004872167E-2</v>
      </c>
      <c r="CN119" s="33">
        <f t="shared" ca="1" si="123"/>
        <v>1.1125148714446302E-2</v>
      </c>
      <c r="CO119" s="33">
        <f t="shared" ca="1" si="123"/>
        <v>1.2735411002311778E-2</v>
      </c>
      <c r="CP119" s="33">
        <f t="shared" ca="1" si="123"/>
        <v>1.038872935147043E-2</v>
      </c>
      <c r="CQ119" s="33">
        <f t="shared" ca="1" si="123"/>
        <v>1.3363592756069841E-2</v>
      </c>
      <c r="CR119" s="33">
        <f t="shared" ca="1" si="123"/>
        <v>1.292558990267029E-2</v>
      </c>
      <c r="CS119" s="33">
        <f t="shared" ca="1" si="123"/>
        <v>9.5177355591059849E-3</v>
      </c>
      <c r="CT119" s="33">
        <f t="shared" ca="1" si="123"/>
        <v>1.2718722396640451E-2</v>
      </c>
      <c r="CU119" s="33">
        <f t="shared" ca="1" si="124"/>
        <v>1.4701951866831597E-2</v>
      </c>
      <c r="CV119" s="33">
        <f t="shared" ca="1" si="124"/>
        <v>1.2113001301063195E-2</v>
      </c>
      <c r="CW119" s="33">
        <f t="shared" ca="1" si="124"/>
        <v>1.2447696789672854E-2</v>
      </c>
      <c r="CX119" s="33">
        <f t="shared" ca="1" si="124"/>
        <v>1.1556512062351865E-2</v>
      </c>
      <c r="CY119" s="33">
        <f t="shared" ca="1" si="124"/>
        <v>9.1031321098469856E-3</v>
      </c>
      <c r="CZ119" s="33">
        <f t="shared" ca="1" si="124"/>
        <v>1.1022855733289401E-2</v>
      </c>
      <c r="DA119" s="33">
        <f t="shared" ca="1" si="124"/>
        <v>1.1362536541420658E-2</v>
      </c>
      <c r="DB119" s="33">
        <f t="shared" ca="1" si="124"/>
        <v>1.2757508814968333E-2</v>
      </c>
      <c r="DC119" s="33">
        <f t="shared" ca="1" si="124"/>
        <v>1.158421435941776E-2</v>
      </c>
      <c r="DD119" s="33">
        <f t="shared" ca="1" si="124"/>
        <v>1.2258740339747545E-2</v>
      </c>
      <c r="DE119" s="33">
        <f t="shared" ca="1" si="125"/>
        <v>1.0327738460418224E-2</v>
      </c>
      <c r="DF119" s="33">
        <f t="shared" ca="1" si="125"/>
        <v>1.1755489329328744E-2</v>
      </c>
      <c r="DG119" s="33">
        <f t="shared" ca="1" si="125"/>
        <v>1.122075155897022E-2</v>
      </c>
      <c r="DH119" s="33">
        <f t="shared" ca="1" si="125"/>
        <v>1.2424755482660532E-2</v>
      </c>
      <c r="DI119" s="33">
        <f t="shared" ca="1" si="125"/>
        <v>1.1601251987591391E-2</v>
      </c>
      <c r="DJ119" s="33">
        <f t="shared" ca="1" si="125"/>
        <v>1.0163434361792614E-2</v>
      </c>
      <c r="DK119" s="33">
        <f t="shared" ca="1" si="125"/>
        <v>1.2365184465422042E-2</v>
      </c>
      <c r="DL119" s="33">
        <f t="shared" ca="1" si="125"/>
        <v>1.2882687715018836E-2</v>
      </c>
      <c r="DM119" s="33">
        <f t="shared" ca="1" si="125"/>
        <v>1.266080761928351E-2</v>
      </c>
      <c r="DN119" s="33">
        <f t="shared" ca="1" si="125"/>
        <v>1.1649452617238015E-2</v>
      </c>
      <c r="DO119" s="12"/>
      <c r="DP119" s="12"/>
      <c r="DQ119" s="12"/>
    </row>
    <row r="120" spans="6:121" x14ac:dyDescent="0.2">
      <c r="I120" s="32">
        <v>48061</v>
      </c>
      <c r="J120" s="33">
        <f t="shared" ca="1" si="105"/>
        <v>1.2352811527450519E-2</v>
      </c>
      <c r="K120" s="9">
        <v>3997.9944972931889</v>
      </c>
      <c r="L120" s="9">
        <f t="shared" ca="1" si="74"/>
        <v>620606.55014759651</v>
      </c>
      <c r="R120" s="32">
        <v>48061</v>
      </c>
      <c r="S120" s="33">
        <f t="shared" ca="1" si="116"/>
        <v>1.1147040853701001E-2</v>
      </c>
      <c r="T120" s="33">
        <f t="shared" ca="1" si="116"/>
        <v>1.2030531185792176E-2</v>
      </c>
      <c r="U120" s="33">
        <f t="shared" ca="1" si="116"/>
        <v>1.2861489293261977E-2</v>
      </c>
      <c r="V120" s="33">
        <f t="shared" ca="1" si="116"/>
        <v>1.1763043096168418E-2</v>
      </c>
      <c r="W120" s="33">
        <f t="shared" ca="1" si="116"/>
        <v>1.1360821869921088E-2</v>
      </c>
      <c r="X120" s="33">
        <f t="shared" ca="1" si="116"/>
        <v>1.2242193869281635E-2</v>
      </c>
      <c r="Y120" s="33">
        <f t="shared" ca="1" si="116"/>
        <v>1.1082629049745333E-2</v>
      </c>
      <c r="Z120" s="33">
        <f t="shared" ca="1" si="116"/>
        <v>1.3308447542557514E-2</v>
      </c>
      <c r="AA120" s="33">
        <f t="shared" ca="1" si="116"/>
        <v>1.2325359977058487E-2</v>
      </c>
      <c r="AB120" s="33">
        <f t="shared" ca="1" si="116"/>
        <v>1.2214799358671992E-2</v>
      </c>
      <c r="AC120" s="33">
        <f t="shared" ca="1" si="117"/>
        <v>8.8132030570891255E-3</v>
      </c>
      <c r="AD120" s="33">
        <f t="shared" ca="1" si="117"/>
        <v>1.1261569384642754E-2</v>
      </c>
      <c r="AE120" s="33">
        <f t="shared" ca="1" si="117"/>
        <v>1.157827193176964E-2</v>
      </c>
      <c r="AF120" s="33">
        <f t="shared" ca="1" si="117"/>
        <v>1.4067148569046371E-2</v>
      </c>
      <c r="AG120" s="33">
        <f t="shared" ca="1" si="117"/>
        <v>9.9551137893286856E-3</v>
      </c>
      <c r="AH120" s="33">
        <f t="shared" ca="1" si="117"/>
        <v>1.1474065267966941E-2</v>
      </c>
      <c r="AI120" s="33">
        <f t="shared" ca="1" si="117"/>
        <v>8.9660809799953674E-3</v>
      </c>
      <c r="AJ120" s="33">
        <f t="shared" ca="1" si="117"/>
        <v>1.0894019645252511E-2</v>
      </c>
      <c r="AK120" s="33">
        <f t="shared" ca="1" si="117"/>
        <v>1.0224088717086037E-2</v>
      </c>
      <c r="AL120" s="33">
        <f t="shared" ca="1" si="117"/>
        <v>1.1342201859510133E-2</v>
      </c>
      <c r="AM120" s="33">
        <f t="shared" ca="1" si="118"/>
        <v>1.2799403506011183E-2</v>
      </c>
      <c r="AN120" s="33">
        <f t="shared" ca="1" si="118"/>
        <v>9.3006169801114914E-3</v>
      </c>
      <c r="AO120" s="33">
        <f t="shared" ca="1" si="118"/>
        <v>1.5980558107728866E-2</v>
      </c>
      <c r="AP120" s="33">
        <f t="shared" ca="1" si="118"/>
        <v>1.0879904624903736E-2</v>
      </c>
      <c r="AQ120" s="33">
        <f t="shared" ca="1" si="118"/>
        <v>9.0563654031902072E-3</v>
      </c>
      <c r="AR120" s="33">
        <f t="shared" ca="1" si="118"/>
        <v>1.0840637985682697E-2</v>
      </c>
      <c r="AS120" s="33">
        <f t="shared" ca="1" si="118"/>
        <v>1.1019530573948236E-2</v>
      </c>
      <c r="AT120" s="33">
        <f t="shared" ca="1" si="118"/>
        <v>1.3616087493837643E-2</v>
      </c>
      <c r="AU120" s="33">
        <f t="shared" ca="1" si="118"/>
        <v>1.1688024757513888E-2</v>
      </c>
      <c r="AV120" s="33">
        <f t="shared" ca="1" si="118"/>
        <v>1.219597700917297E-2</v>
      </c>
      <c r="AW120" s="33">
        <f t="shared" ca="1" si="119"/>
        <v>1.2086983214999764E-2</v>
      </c>
      <c r="AX120" s="33">
        <f t="shared" ca="1" si="119"/>
        <v>8.7186886205170133E-3</v>
      </c>
      <c r="AY120" s="33">
        <f t="shared" ca="1" si="119"/>
        <v>1.0465245373480342E-2</v>
      </c>
      <c r="AZ120" s="33">
        <f t="shared" ca="1" si="119"/>
        <v>8.9625050968809624E-3</v>
      </c>
      <c r="BA120" s="33">
        <f t="shared" ca="1" si="119"/>
        <v>1.0487490451324655E-2</v>
      </c>
      <c r="BB120" s="33">
        <f t="shared" ca="1" si="119"/>
        <v>8.9351416019722019E-3</v>
      </c>
      <c r="BC120" s="33">
        <f t="shared" ca="1" si="119"/>
        <v>1.2536175843153571E-2</v>
      </c>
      <c r="BD120" s="33">
        <f t="shared" ca="1" si="119"/>
        <v>1.2837677715687078E-2</v>
      </c>
      <c r="BE120" s="33">
        <f t="shared" ca="1" si="119"/>
        <v>1.3014091009237701E-2</v>
      </c>
      <c r="BF120" s="33">
        <f t="shared" ca="1" si="119"/>
        <v>1.4091177567943491E-2</v>
      </c>
      <c r="BG120" s="33">
        <f t="shared" ca="1" si="120"/>
        <v>1.2931366102973451E-2</v>
      </c>
      <c r="BH120" s="33">
        <f t="shared" ca="1" si="120"/>
        <v>1.2842029885302846E-2</v>
      </c>
      <c r="BI120" s="33">
        <f t="shared" ca="1" si="120"/>
        <v>1.1689625396275858E-2</v>
      </c>
      <c r="BJ120" s="33">
        <f t="shared" ca="1" si="120"/>
        <v>1.1394762858696082E-2</v>
      </c>
      <c r="BK120" s="33">
        <f t="shared" ca="1" si="120"/>
        <v>1.1840646669140637E-2</v>
      </c>
      <c r="BL120" s="33">
        <f t="shared" ca="1" si="120"/>
        <v>1.1962727634026355E-2</v>
      </c>
      <c r="BM120" s="33">
        <f t="shared" ca="1" si="120"/>
        <v>9.4982463198170584E-3</v>
      </c>
      <c r="BN120" s="33">
        <f t="shared" ca="1" si="120"/>
        <v>1.1231109116004256E-2</v>
      </c>
      <c r="BO120" s="33">
        <f t="shared" ca="1" si="120"/>
        <v>1.3298363429175168E-2</v>
      </c>
      <c r="BP120" s="33">
        <f t="shared" ca="1" si="120"/>
        <v>1.291031179399588E-2</v>
      </c>
      <c r="BQ120" s="33">
        <f t="shared" ca="1" si="121"/>
        <v>1.2524431255980559E-2</v>
      </c>
      <c r="BR120" s="33">
        <f t="shared" ca="1" si="121"/>
        <v>1.078781259788218E-2</v>
      </c>
      <c r="BS120" s="33">
        <f t="shared" ca="1" si="121"/>
        <v>1.3434160890020738E-2</v>
      </c>
      <c r="BT120" s="33">
        <f t="shared" ca="1" si="121"/>
        <v>1.2238328553500641E-2</v>
      </c>
      <c r="BU120" s="33">
        <f t="shared" ca="1" si="121"/>
        <v>1.0603637191233625E-2</v>
      </c>
      <c r="BV120" s="33">
        <f t="shared" ca="1" si="121"/>
        <v>1.1149375313921076E-2</v>
      </c>
      <c r="BW120" s="33">
        <f t="shared" ca="1" si="121"/>
        <v>1.3140802445554075E-2</v>
      </c>
      <c r="BX120" s="33">
        <f t="shared" ca="1" si="121"/>
        <v>1.1372469489977196E-2</v>
      </c>
      <c r="BY120" s="33">
        <f t="shared" ca="1" si="121"/>
        <v>1.2040844759577259E-2</v>
      </c>
      <c r="BZ120" s="33">
        <f t="shared" ca="1" si="121"/>
        <v>1.2600924870208979E-2</v>
      </c>
      <c r="CA120" s="33">
        <f t="shared" ca="1" si="122"/>
        <v>9.5734971457260478E-3</v>
      </c>
      <c r="CB120" s="33">
        <f t="shared" ca="1" si="122"/>
        <v>1.1692432863933901E-2</v>
      </c>
      <c r="CC120" s="33">
        <f t="shared" ca="1" si="122"/>
        <v>1.0995263171953666E-2</v>
      </c>
      <c r="CD120" s="33">
        <f t="shared" ca="1" si="122"/>
        <v>1.1481118501883138E-2</v>
      </c>
      <c r="CE120" s="33">
        <f t="shared" ca="1" si="122"/>
        <v>1.2594342445137234E-2</v>
      </c>
      <c r="CF120" s="33">
        <f t="shared" ca="1" si="122"/>
        <v>1.1372723079423908E-2</v>
      </c>
      <c r="CG120" s="33">
        <f t="shared" ca="1" si="122"/>
        <v>1.2796953242870123E-2</v>
      </c>
      <c r="CH120" s="33">
        <f t="shared" ca="1" si="122"/>
        <v>1.0220563566864693E-2</v>
      </c>
      <c r="CI120" s="33">
        <f t="shared" ca="1" si="122"/>
        <v>1.3188428261012993E-2</v>
      </c>
      <c r="CJ120" s="33">
        <f t="shared" ca="1" si="122"/>
        <v>1.0313443016998823E-2</v>
      </c>
      <c r="CK120" s="33">
        <f t="shared" ca="1" si="123"/>
        <v>9.0906263342081586E-3</v>
      </c>
      <c r="CL120" s="33">
        <f t="shared" ca="1" si="123"/>
        <v>1.152375195466517E-2</v>
      </c>
      <c r="CM120" s="33">
        <f t="shared" ca="1" si="123"/>
        <v>1.1727976239512182E-2</v>
      </c>
      <c r="CN120" s="33">
        <f t="shared" ca="1" si="123"/>
        <v>1.1688386864121504E-2</v>
      </c>
      <c r="CO120" s="33">
        <f t="shared" ca="1" si="123"/>
        <v>9.7620930223063177E-3</v>
      </c>
      <c r="CP120" s="33">
        <f t="shared" ca="1" si="123"/>
        <v>1.0830791281866054E-2</v>
      </c>
      <c r="CQ120" s="33">
        <f t="shared" ca="1" si="123"/>
        <v>8.7069362362763789E-3</v>
      </c>
      <c r="CR120" s="33">
        <f t="shared" ca="1" si="123"/>
        <v>1.1680814136946154E-2</v>
      </c>
      <c r="CS120" s="33">
        <f t="shared" ca="1" si="123"/>
        <v>1.5027981170725249E-2</v>
      </c>
      <c r="CT120" s="33">
        <f t="shared" ca="1" si="123"/>
        <v>9.2964060367930913E-3</v>
      </c>
      <c r="CU120" s="33">
        <f t="shared" ca="1" si="124"/>
        <v>1.1304423148782945E-2</v>
      </c>
      <c r="CV120" s="33">
        <f t="shared" ca="1" si="124"/>
        <v>1.0909575659979855E-2</v>
      </c>
      <c r="CW120" s="33">
        <f t="shared" ca="1" si="124"/>
        <v>1.3760281895638814E-2</v>
      </c>
      <c r="CX120" s="33">
        <f t="shared" ca="1" si="124"/>
        <v>1.1621368056447673E-2</v>
      </c>
      <c r="CY120" s="33">
        <f t="shared" ca="1" si="124"/>
        <v>7.5134976055663723E-3</v>
      </c>
      <c r="CZ120" s="33">
        <f t="shared" ca="1" si="124"/>
        <v>1.027387984095744E-2</v>
      </c>
      <c r="DA120" s="33">
        <f t="shared" ca="1" si="124"/>
        <v>1.3040395361328467E-2</v>
      </c>
      <c r="DB120" s="33">
        <f t="shared" ca="1" si="124"/>
        <v>1.0705477817504425E-2</v>
      </c>
      <c r="DC120" s="33">
        <f t="shared" ca="1" si="124"/>
        <v>1.0673285342989784E-2</v>
      </c>
      <c r="DD120" s="33">
        <f t="shared" ca="1" si="124"/>
        <v>1.1344997218494303E-2</v>
      </c>
      <c r="DE120" s="33">
        <f t="shared" ca="1" si="125"/>
        <v>1.1774231787119912E-2</v>
      </c>
      <c r="DF120" s="33">
        <f t="shared" ca="1" si="125"/>
        <v>9.7752280872221813E-3</v>
      </c>
      <c r="DG120" s="33">
        <f t="shared" ca="1" si="125"/>
        <v>1.2888092250124593E-2</v>
      </c>
      <c r="DH120" s="33">
        <f t="shared" ca="1" si="125"/>
        <v>8.8774484259025975E-3</v>
      </c>
      <c r="DI120" s="33">
        <f t="shared" ca="1" si="125"/>
        <v>1.1237146406908479E-2</v>
      </c>
      <c r="DJ120" s="33">
        <f t="shared" ca="1" si="125"/>
        <v>1.063509987398446E-2</v>
      </c>
      <c r="DK120" s="33">
        <f t="shared" ca="1" si="125"/>
        <v>1.2874592449273818E-2</v>
      </c>
      <c r="DL120" s="33">
        <f t="shared" ca="1" si="125"/>
        <v>1.1291666187113941E-2</v>
      </c>
      <c r="DM120" s="33">
        <f t="shared" ca="1" si="125"/>
        <v>1.2054046266203388E-2</v>
      </c>
      <c r="DN120" s="33">
        <f t="shared" ca="1" si="125"/>
        <v>1.0239823273606851E-2</v>
      </c>
      <c r="DO120" s="12"/>
      <c r="DP120" s="12"/>
      <c r="DQ120" s="12"/>
    </row>
    <row r="121" spans="6:121" x14ac:dyDescent="0.2">
      <c r="I121" s="32">
        <v>48092</v>
      </c>
      <c r="J121" s="33">
        <f t="shared" ca="1" si="105"/>
        <v>1.4503983917793084E-2</v>
      </c>
      <c r="K121" s="9">
        <v>3997.9944972931889</v>
      </c>
      <c r="L121" s="9">
        <f t="shared" ca="1" si="74"/>
        <v>633671.40592690301</v>
      </c>
      <c r="R121" s="32">
        <v>48092</v>
      </c>
      <c r="S121" s="33">
        <f t="shared" ca="1" si="116"/>
        <v>1.0598468652977153E-2</v>
      </c>
      <c r="T121" s="33">
        <f t="shared" ca="1" si="116"/>
        <v>9.9338505353682958E-3</v>
      </c>
      <c r="U121" s="33">
        <f t="shared" ca="1" si="116"/>
        <v>1.0753074397749109E-2</v>
      </c>
      <c r="V121" s="33">
        <f t="shared" ca="1" si="116"/>
        <v>8.936086314493134E-3</v>
      </c>
      <c r="W121" s="33">
        <f t="shared" ca="1" si="116"/>
        <v>1.2057151204001802E-2</v>
      </c>
      <c r="X121" s="33">
        <f t="shared" ca="1" si="116"/>
        <v>1.1722113101585949E-2</v>
      </c>
      <c r="Y121" s="33">
        <f t="shared" ca="1" si="116"/>
        <v>1.0866040215292057E-2</v>
      </c>
      <c r="Z121" s="33">
        <f t="shared" ca="1" si="116"/>
        <v>1.1167733922795827E-2</v>
      </c>
      <c r="AA121" s="33">
        <f t="shared" ca="1" si="116"/>
        <v>1.1285841687193567E-2</v>
      </c>
      <c r="AB121" s="33">
        <f t="shared" ca="1" si="116"/>
        <v>1.3793558291764284E-2</v>
      </c>
      <c r="AC121" s="33">
        <f t="shared" ca="1" si="117"/>
        <v>1.3339763357526725E-2</v>
      </c>
      <c r="AD121" s="33">
        <f t="shared" ca="1" si="117"/>
        <v>1.2229921346318404E-2</v>
      </c>
      <c r="AE121" s="33">
        <f t="shared" ca="1" si="117"/>
        <v>1.0819612829348072E-2</v>
      </c>
      <c r="AF121" s="33">
        <f t="shared" ca="1" si="117"/>
        <v>1.1285450157953222E-2</v>
      </c>
      <c r="AG121" s="33">
        <f t="shared" ca="1" si="117"/>
        <v>7.6966277916214482E-3</v>
      </c>
      <c r="AH121" s="33">
        <f t="shared" ca="1" si="117"/>
        <v>1.0248974580687293E-2</v>
      </c>
      <c r="AI121" s="33">
        <f t="shared" ca="1" si="117"/>
        <v>9.843210911836358E-3</v>
      </c>
      <c r="AJ121" s="33">
        <f t="shared" ca="1" si="117"/>
        <v>1.2054538530943461E-2</v>
      </c>
      <c r="AK121" s="33">
        <f t="shared" ca="1" si="117"/>
        <v>1.1515343924206502E-2</v>
      </c>
      <c r="AL121" s="33">
        <f t="shared" ca="1" si="117"/>
        <v>1.0717554752227796E-2</v>
      </c>
      <c r="AM121" s="33">
        <f t="shared" ca="1" si="118"/>
        <v>9.1284589773949001E-3</v>
      </c>
      <c r="AN121" s="33">
        <f t="shared" ca="1" si="118"/>
        <v>1.0664772623477698E-2</v>
      </c>
      <c r="AO121" s="33">
        <f t="shared" ca="1" si="118"/>
        <v>9.6837515348730651E-3</v>
      </c>
      <c r="AP121" s="33">
        <f t="shared" ca="1" si="118"/>
        <v>1.2193547005425244E-2</v>
      </c>
      <c r="AQ121" s="33">
        <f t="shared" ca="1" si="118"/>
        <v>9.1210588944414667E-3</v>
      </c>
      <c r="AR121" s="33">
        <f t="shared" ca="1" si="118"/>
        <v>8.0950088142554381E-3</v>
      </c>
      <c r="AS121" s="33">
        <f t="shared" ca="1" si="118"/>
        <v>1.3372227163601196E-2</v>
      </c>
      <c r="AT121" s="33">
        <f t="shared" ca="1" si="118"/>
        <v>1.039470206223129E-2</v>
      </c>
      <c r="AU121" s="33">
        <f t="shared" ca="1" si="118"/>
        <v>1.0545480658960249E-2</v>
      </c>
      <c r="AV121" s="33">
        <f t="shared" ca="1" si="118"/>
        <v>1.3639051142671207E-2</v>
      </c>
      <c r="AW121" s="33">
        <f t="shared" ca="1" si="119"/>
        <v>1.3237897031154111E-2</v>
      </c>
      <c r="AX121" s="33">
        <f t="shared" ca="1" si="119"/>
        <v>1.0588786483083569E-2</v>
      </c>
      <c r="AY121" s="33">
        <f t="shared" ca="1" si="119"/>
        <v>1.2486706457109384E-2</v>
      </c>
      <c r="AZ121" s="33">
        <f t="shared" ca="1" si="119"/>
        <v>1.1441653120176296E-2</v>
      </c>
      <c r="BA121" s="33">
        <f t="shared" ca="1" si="119"/>
        <v>1.0366038066407726E-2</v>
      </c>
      <c r="BB121" s="33">
        <f t="shared" ca="1" si="119"/>
        <v>1.1675556192445525E-2</v>
      </c>
      <c r="BC121" s="33">
        <f t="shared" ca="1" si="119"/>
        <v>1.0451086196803459E-2</v>
      </c>
      <c r="BD121" s="33">
        <f t="shared" ca="1" si="119"/>
        <v>8.7351291279225574E-3</v>
      </c>
      <c r="BE121" s="33">
        <f t="shared" ca="1" si="119"/>
        <v>1.3221936393054055E-2</v>
      </c>
      <c r="BF121" s="33">
        <f t="shared" ca="1" si="119"/>
        <v>1.0505309650696539E-2</v>
      </c>
      <c r="BG121" s="33">
        <f t="shared" ca="1" si="120"/>
        <v>1.3162284764982619E-2</v>
      </c>
      <c r="BH121" s="33">
        <f t="shared" ca="1" si="120"/>
        <v>1.1979497325321537E-2</v>
      </c>
      <c r="BI121" s="33">
        <f t="shared" ca="1" si="120"/>
        <v>1.2207446245115175E-2</v>
      </c>
      <c r="BJ121" s="33">
        <f t="shared" ca="1" si="120"/>
        <v>1.080235116568554E-2</v>
      </c>
      <c r="BK121" s="33">
        <f t="shared" ca="1" si="120"/>
        <v>1.2153165496903234E-2</v>
      </c>
      <c r="BL121" s="33">
        <f t="shared" ca="1" si="120"/>
        <v>9.6585555002371825E-3</v>
      </c>
      <c r="BM121" s="33">
        <f t="shared" ca="1" si="120"/>
        <v>9.8952316378522528E-3</v>
      </c>
      <c r="BN121" s="33">
        <f t="shared" ca="1" si="120"/>
        <v>1.0681257668510295E-2</v>
      </c>
      <c r="BO121" s="33">
        <f t="shared" ca="1" si="120"/>
        <v>1.1740671159712349E-2</v>
      </c>
      <c r="BP121" s="33">
        <f t="shared" ca="1" si="120"/>
        <v>1.2643445668689777E-2</v>
      </c>
      <c r="BQ121" s="33">
        <f t="shared" ca="1" si="121"/>
        <v>1.323809473843331E-2</v>
      </c>
      <c r="BR121" s="33">
        <f t="shared" ca="1" si="121"/>
        <v>1.1417866620910945E-2</v>
      </c>
      <c r="BS121" s="33">
        <f t="shared" ca="1" si="121"/>
        <v>1.2522351130036261E-2</v>
      </c>
      <c r="BT121" s="33">
        <f t="shared" ca="1" si="121"/>
        <v>1.0306469749032092E-2</v>
      </c>
      <c r="BU121" s="33">
        <f t="shared" ca="1" si="121"/>
        <v>1.3863826000899495E-2</v>
      </c>
      <c r="BV121" s="33">
        <f t="shared" ca="1" si="121"/>
        <v>1.0798455300825632E-2</v>
      </c>
      <c r="BW121" s="33">
        <f t="shared" ca="1" si="121"/>
        <v>1.0257381405675404E-2</v>
      </c>
      <c r="BX121" s="33">
        <f t="shared" ca="1" si="121"/>
        <v>1.2377267558777719E-2</v>
      </c>
      <c r="BY121" s="33">
        <f t="shared" ca="1" si="121"/>
        <v>1.3683973141320017E-2</v>
      </c>
      <c r="BZ121" s="33">
        <f t="shared" ca="1" si="121"/>
        <v>1.1674393372572159E-2</v>
      </c>
      <c r="CA121" s="33">
        <f t="shared" ca="1" si="122"/>
        <v>1.0931261773107555E-2</v>
      </c>
      <c r="CB121" s="33">
        <f t="shared" ca="1" si="122"/>
        <v>1.2214197189586622E-2</v>
      </c>
      <c r="CC121" s="33">
        <f t="shared" ca="1" si="122"/>
        <v>1.067451438922558E-2</v>
      </c>
      <c r="CD121" s="33">
        <f t="shared" ca="1" si="122"/>
        <v>1.2573389941749034E-2</v>
      </c>
      <c r="CE121" s="33">
        <f t="shared" ca="1" si="122"/>
        <v>1.5566084055100175E-2</v>
      </c>
      <c r="CF121" s="33">
        <f t="shared" ca="1" si="122"/>
        <v>1.1031600204610333E-2</v>
      </c>
      <c r="CG121" s="33">
        <f t="shared" ca="1" si="122"/>
        <v>1.419385272833428E-2</v>
      </c>
      <c r="CH121" s="33">
        <f t="shared" ca="1" si="122"/>
        <v>1.1514292298833627E-2</v>
      </c>
      <c r="CI121" s="33">
        <f t="shared" ca="1" si="122"/>
        <v>9.0907344590576283E-3</v>
      </c>
      <c r="CJ121" s="33">
        <f t="shared" ca="1" si="122"/>
        <v>9.8661622995050002E-3</v>
      </c>
      <c r="CK121" s="33">
        <f t="shared" ca="1" si="123"/>
        <v>9.9365037081214878E-3</v>
      </c>
      <c r="CL121" s="33">
        <f t="shared" ca="1" si="123"/>
        <v>1.1579866797801323E-2</v>
      </c>
      <c r="CM121" s="33">
        <f t="shared" ca="1" si="123"/>
        <v>1.0739851962569652E-2</v>
      </c>
      <c r="CN121" s="33">
        <f t="shared" ca="1" si="123"/>
        <v>1.1531742143848139E-2</v>
      </c>
      <c r="CO121" s="33">
        <f t="shared" ca="1" si="123"/>
        <v>1.2284274521871669E-2</v>
      </c>
      <c r="CP121" s="33">
        <f t="shared" ca="1" si="123"/>
        <v>1.1321965896606031E-2</v>
      </c>
      <c r="CQ121" s="33">
        <f t="shared" ca="1" si="123"/>
        <v>1.069441344134776E-2</v>
      </c>
      <c r="CR121" s="33">
        <f t="shared" ca="1" si="123"/>
        <v>1.2394543418763627E-2</v>
      </c>
      <c r="CS121" s="33">
        <f t="shared" ca="1" si="123"/>
        <v>1.1646206939725592E-2</v>
      </c>
      <c r="CT121" s="33">
        <f t="shared" ca="1" si="123"/>
        <v>8.3794965009055498E-3</v>
      </c>
      <c r="CU121" s="33">
        <f t="shared" ca="1" si="124"/>
        <v>1.3051227658249839E-2</v>
      </c>
      <c r="CV121" s="33">
        <f t="shared" ca="1" si="124"/>
        <v>9.0085290680167462E-3</v>
      </c>
      <c r="CW121" s="33">
        <f t="shared" ca="1" si="124"/>
        <v>1.1211116263063179E-2</v>
      </c>
      <c r="CX121" s="33">
        <f t="shared" ca="1" si="124"/>
        <v>1.1676793382482847E-2</v>
      </c>
      <c r="CY121" s="33">
        <f t="shared" ca="1" si="124"/>
        <v>1.0080826775933464E-2</v>
      </c>
      <c r="CZ121" s="33">
        <f t="shared" ca="1" si="124"/>
        <v>1.1031363956472414E-2</v>
      </c>
      <c r="DA121" s="33">
        <f t="shared" ca="1" si="124"/>
        <v>9.6093551569312076E-3</v>
      </c>
      <c r="DB121" s="33">
        <f t="shared" ca="1" si="124"/>
        <v>8.9438059959174223E-3</v>
      </c>
      <c r="DC121" s="33">
        <f t="shared" ca="1" si="124"/>
        <v>9.7616663806445961E-3</v>
      </c>
      <c r="DD121" s="33">
        <f t="shared" ca="1" si="124"/>
        <v>1.2205105160875101E-2</v>
      </c>
      <c r="DE121" s="33">
        <f t="shared" ca="1" si="125"/>
        <v>1.1127847298558136E-2</v>
      </c>
      <c r="DF121" s="33">
        <f t="shared" ca="1" si="125"/>
        <v>1.0902626167458806E-2</v>
      </c>
      <c r="DG121" s="33">
        <f t="shared" ca="1" si="125"/>
        <v>1.1586854487842062E-2</v>
      </c>
      <c r="DH121" s="33">
        <f t="shared" ca="1" si="125"/>
        <v>1.2360794013944501E-2</v>
      </c>
      <c r="DI121" s="33">
        <f t="shared" ca="1" si="125"/>
        <v>1.0000809514438014E-2</v>
      </c>
      <c r="DJ121" s="33">
        <f t="shared" ca="1" si="125"/>
        <v>1.1131393401273303E-2</v>
      </c>
      <c r="DK121" s="33">
        <f t="shared" ca="1" si="125"/>
        <v>1.2788815715275069E-2</v>
      </c>
      <c r="DL121" s="33">
        <f t="shared" ca="1" si="125"/>
        <v>1.1530416444182181E-2</v>
      </c>
      <c r="DM121" s="33">
        <f t="shared" ca="1" si="125"/>
        <v>1.3028828782218874E-2</v>
      </c>
      <c r="DN121" s="33">
        <f t="shared" ca="1" si="125"/>
        <v>1.4079670838339543E-2</v>
      </c>
      <c r="DO121" s="12"/>
      <c r="DP121" s="12"/>
      <c r="DQ121" s="12"/>
    </row>
    <row r="122" spans="6:121" x14ac:dyDescent="0.2">
      <c r="I122" s="32">
        <v>48122</v>
      </c>
      <c r="J122" s="33">
        <f t="shared" ca="1" si="105"/>
        <v>1.3336648066909373E-2</v>
      </c>
      <c r="K122" s="9">
        <v>3997.9944972931889</v>
      </c>
      <c r="L122" s="9">
        <f t="shared" ca="1" si="74"/>
        <v>646177.05867540836</v>
      </c>
      <c r="R122" s="32">
        <v>48122</v>
      </c>
      <c r="S122" s="33">
        <f t="shared" ca="1" si="116"/>
        <v>1.0867228831935843E-2</v>
      </c>
      <c r="T122" s="33">
        <f t="shared" ca="1" si="116"/>
        <v>1.0836143698294696E-2</v>
      </c>
      <c r="U122" s="33">
        <f t="shared" ca="1" si="116"/>
        <v>1.1721434225843423E-2</v>
      </c>
      <c r="V122" s="33">
        <f t="shared" ca="1" si="116"/>
        <v>9.9278606187134279E-3</v>
      </c>
      <c r="W122" s="33">
        <f t="shared" ca="1" si="116"/>
        <v>9.9167775849277103E-3</v>
      </c>
      <c r="X122" s="33">
        <f t="shared" ca="1" si="116"/>
        <v>1.4579578631619588E-2</v>
      </c>
      <c r="Y122" s="33">
        <f t="shared" ca="1" si="116"/>
        <v>1.3552283306040148E-2</v>
      </c>
      <c r="Z122" s="33">
        <f t="shared" ca="1" si="116"/>
        <v>1.1408043275438599E-2</v>
      </c>
      <c r="AA122" s="33">
        <f t="shared" ca="1" si="116"/>
        <v>1.1166339011764066E-2</v>
      </c>
      <c r="AB122" s="33">
        <f t="shared" ca="1" si="116"/>
        <v>1.2051943646940157E-2</v>
      </c>
      <c r="AC122" s="33">
        <f t="shared" ca="1" si="117"/>
        <v>1.1390242690489076E-2</v>
      </c>
      <c r="AD122" s="33">
        <f t="shared" ca="1" si="117"/>
        <v>1.0248936204435384E-2</v>
      </c>
      <c r="AE122" s="33">
        <f t="shared" ca="1" si="117"/>
        <v>1.0424483559258903E-2</v>
      </c>
      <c r="AF122" s="33">
        <f t="shared" ca="1" si="117"/>
        <v>1.1541902902963109E-2</v>
      </c>
      <c r="AG122" s="33">
        <f t="shared" ca="1" si="117"/>
        <v>9.2436163180083849E-3</v>
      </c>
      <c r="AH122" s="33">
        <f t="shared" ca="1" si="117"/>
        <v>1.2415508543478287E-2</v>
      </c>
      <c r="AI122" s="33">
        <f t="shared" ca="1" si="117"/>
        <v>7.1595221895330713E-3</v>
      </c>
      <c r="AJ122" s="33">
        <f t="shared" ca="1" si="117"/>
        <v>1.1835423249845997E-2</v>
      </c>
      <c r="AK122" s="33">
        <f t="shared" ca="1" si="117"/>
        <v>1.0858974488353771E-2</v>
      </c>
      <c r="AL122" s="33">
        <f t="shared" ca="1" si="117"/>
        <v>1.204648137521556E-2</v>
      </c>
      <c r="AM122" s="33">
        <f t="shared" ca="1" si="118"/>
        <v>8.7178231073384155E-3</v>
      </c>
      <c r="AN122" s="33">
        <f t="shared" ca="1" si="118"/>
        <v>1.1439683021353845E-2</v>
      </c>
      <c r="AO122" s="33">
        <f t="shared" ca="1" si="118"/>
        <v>1.2282796903762477E-2</v>
      </c>
      <c r="AP122" s="33">
        <f t="shared" ca="1" si="118"/>
        <v>1.2316779682336017E-2</v>
      </c>
      <c r="AQ122" s="33">
        <f t="shared" ca="1" si="118"/>
        <v>1.339014025900776E-2</v>
      </c>
      <c r="AR122" s="33">
        <f t="shared" ca="1" si="118"/>
        <v>1.3145353104245354E-2</v>
      </c>
      <c r="AS122" s="33">
        <f t="shared" ca="1" si="118"/>
        <v>1.1104671628894747E-2</v>
      </c>
      <c r="AT122" s="33">
        <f t="shared" ca="1" si="118"/>
        <v>9.3869394126943929E-3</v>
      </c>
      <c r="AU122" s="33">
        <f t="shared" ca="1" si="118"/>
        <v>9.7714259534260554E-3</v>
      </c>
      <c r="AV122" s="33">
        <f t="shared" ca="1" si="118"/>
        <v>1.0843072633216639E-2</v>
      </c>
      <c r="AW122" s="33">
        <f t="shared" ca="1" si="119"/>
        <v>1.1610047227776461E-2</v>
      </c>
      <c r="AX122" s="33">
        <f t="shared" ca="1" si="119"/>
        <v>9.9987901506121031E-3</v>
      </c>
      <c r="AY122" s="33">
        <f t="shared" ca="1" si="119"/>
        <v>1.1598916857146254E-2</v>
      </c>
      <c r="AZ122" s="33">
        <f t="shared" ca="1" si="119"/>
        <v>1.0480408822685644E-2</v>
      </c>
      <c r="BA122" s="33">
        <f t="shared" ca="1" si="119"/>
        <v>1.2195285077947595E-2</v>
      </c>
      <c r="BB122" s="33">
        <f t="shared" ca="1" si="119"/>
        <v>1.2766559208322686E-2</v>
      </c>
      <c r="BC122" s="33">
        <f t="shared" ca="1" si="119"/>
        <v>1.1882364407561782E-2</v>
      </c>
      <c r="BD122" s="33">
        <f t="shared" ca="1" si="119"/>
        <v>1.0048587711747783E-2</v>
      </c>
      <c r="BE122" s="33">
        <f t="shared" ca="1" si="119"/>
        <v>1.2303199632105398E-2</v>
      </c>
      <c r="BF122" s="33">
        <f t="shared" ca="1" si="119"/>
        <v>1.2739376654493066E-2</v>
      </c>
      <c r="BG122" s="33">
        <f t="shared" ca="1" si="120"/>
        <v>1.2011332838405825E-2</v>
      </c>
      <c r="BH122" s="33">
        <f t="shared" ca="1" si="120"/>
        <v>1.1527357752651625E-2</v>
      </c>
      <c r="BI122" s="33">
        <f t="shared" ca="1" si="120"/>
        <v>1.2440075360705748E-2</v>
      </c>
      <c r="BJ122" s="33">
        <f t="shared" ca="1" si="120"/>
        <v>8.8179834745477897E-3</v>
      </c>
      <c r="BK122" s="33">
        <f t="shared" ca="1" si="120"/>
        <v>1.1281881832877379E-2</v>
      </c>
      <c r="BL122" s="33">
        <f t="shared" ca="1" si="120"/>
        <v>1.1633884554182829E-2</v>
      </c>
      <c r="BM122" s="33">
        <f t="shared" ca="1" si="120"/>
        <v>1.2367792219478967E-2</v>
      </c>
      <c r="BN122" s="33">
        <f t="shared" ca="1" si="120"/>
        <v>1.0034467173131396E-2</v>
      </c>
      <c r="BO122" s="33">
        <f t="shared" ca="1" si="120"/>
        <v>1.0923181342054935E-2</v>
      </c>
      <c r="BP122" s="33">
        <f t="shared" ca="1" si="120"/>
        <v>1.1572777918813884E-2</v>
      </c>
      <c r="BQ122" s="33">
        <f t="shared" ca="1" si="121"/>
        <v>1.2623917157617209E-2</v>
      </c>
      <c r="BR122" s="33">
        <f t="shared" ca="1" si="121"/>
        <v>1.0352384216533422E-2</v>
      </c>
      <c r="BS122" s="33">
        <f t="shared" ca="1" si="121"/>
        <v>1.1875870925683905E-2</v>
      </c>
      <c r="BT122" s="33">
        <f t="shared" ca="1" si="121"/>
        <v>1.0332862982408458E-2</v>
      </c>
      <c r="BU122" s="33">
        <f t="shared" ca="1" si="121"/>
        <v>7.8494830789867763E-3</v>
      </c>
      <c r="BV122" s="33">
        <f t="shared" ca="1" si="121"/>
        <v>1.0556480144110838E-2</v>
      </c>
      <c r="BW122" s="33">
        <f t="shared" ca="1" si="121"/>
        <v>9.8600028247472146E-3</v>
      </c>
      <c r="BX122" s="33">
        <f t="shared" ca="1" si="121"/>
        <v>1.024920927275828E-2</v>
      </c>
      <c r="BY122" s="33">
        <f t="shared" ca="1" si="121"/>
        <v>1.241197298464369E-2</v>
      </c>
      <c r="BZ122" s="33">
        <f t="shared" ca="1" si="121"/>
        <v>1.0513720368473383E-2</v>
      </c>
      <c r="CA122" s="33">
        <f t="shared" ca="1" si="122"/>
        <v>1.106698459426274E-2</v>
      </c>
      <c r="CB122" s="33">
        <f t="shared" ca="1" si="122"/>
        <v>1.2221802113948478E-2</v>
      </c>
      <c r="CC122" s="33">
        <f t="shared" ca="1" si="122"/>
        <v>1.0042566820595034E-2</v>
      </c>
      <c r="CD122" s="33">
        <f t="shared" ca="1" si="122"/>
        <v>1.3234986931481681E-2</v>
      </c>
      <c r="CE122" s="33">
        <f t="shared" ca="1" si="122"/>
        <v>7.5941719879823238E-3</v>
      </c>
      <c r="CF122" s="33">
        <f t="shared" ca="1" si="122"/>
        <v>1.0365777475271058E-2</v>
      </c>
      <c r="CG122" s="33">
        <f t="shared" ca="1" si="122"/>
        <v>1.2704570180277416E-2</v>
      </c>
      <c r="CH122" s="33">
        <f t="shared" ca="1" si="122"/>
        <v>1.0603229307162664E-2</v>
      </c>
      <c r="CI122" s="33">
        <f t="shared" ca="1" si="122"/>
        <v>1.2755083176611667E-2</v>
      </c>
      <c r="CJ122" s="33">
        <f t="shared" ca="1" si="122"/>
        <v>1.211526382471031E-2</v>
      </c>
      <c r="CK122" s="33">
        <f t="shared" ca="1" si="123"/>
        <v>1.2468083992865036E-2</v>
      </c>
      <c r="CL122" s="33">
        <f t="shared" ca="1" si="123"/>
        <v>1.350393218309592E-2</v>
      </c>
      <c r="CM122" s="33">
        <f t="shared" ca="1" si="123"/>
        <v>1.2260749248603693E-2</v>
      </c>
      <c r="CN122" s="33">
        <f t="shared" ca="1" si="123"/>
        <v>1.1578057408133207E-2</v>
      </c>
      <c r="CO122" s="33">
        <f t="shared" ca="1" si="123"/>
        <v>1.11204212192941E-2</v>
      </c>
      <c r="CP122" s="33">
        <f t="shared" ca="1" si="123"/>
        <v>1.4642565695734699E-2</v>
      </c>
      <c r="CQ122" s="33">
        <f t="shared" ca="1" si="123"/>
        <v>1.3039684691546654E-2</v>
      </c>
      <c r="CR122" s="33">
        <f t="shared" ca="1" si="123"/>
        <v>1.5784110240126707E-2</v>
      </c>
      <c r="CS122" s="33">
        <f t="shared" ca="1" si="123"/>
        <v>1.0471613273168631E-2</v>
      </c>
      <c r="CT122" s="33">
        <f t="shared" ca="1" si="123"/>
        <v>1.0624551917969776E-2</v>
      </c>
      <c r="CU122" s="33">
        <f t="shared" ca="1" si="124"/>
        <v>1.1029718857439245E-2</v>
      </c>
      <c r="CV122" s="33">
        <f t="shared" ca="1" si="124"/>
        <v>1.3047193033104225E-2</v>
      </c>
      <c r="CW122" s="33">
        <f t="shared" ca="1" si="124"/>
        <v>1.313859152491045E-2</v>
      </c>
      <c r="CX122" s="33">
        <f t="shared" ca="1" si="124"/>
        <v>1.1409070474349192E-2</v>
      </c>
      <c r="CY122" s="33">
        <f t="shared" ca="1" si="124"/>
        <v>1.0011474999167866E-2</v>
      </c>
      <c r="CZ122" s="33">
        <f t="shared" ca="1" si="124"/>
        <v>1.1706203589512609E-2</v>
      </c>
      <c r="DA122" s="33">
        <f t="shared" ca="1" si="124"/>
        <v>1.1085680151367924E-2</v>
      </c>
      <c r="DB122" s="33">
        <f t="shared" ca="1" si="124"/>
        <v>1.0917054745388127E-2</v>
      </c>
      <c r="DC122" s="33">
        <f t="shared" ca="1" si="124"/>
        <v>1.0823835014427874E-2</v>
      </c>
      <c r="DD122" s="33">
        <f t="shared" ca="1" si="124"/>
        <v>1.3412650681208685E-2</v>
      </c>
      <c r="DE122" s="33">
        <f t="shared" ca="1" si="125"/>
        <v>1.1066785776902861E-2</v>
      </c>
      <c r="DF122" s="33">
        <f t="shared" ca="1" si="125"/>
        <v>1.0310095239171901E-2</v>
      </c>
      <c r="DG122" s="33">
        <f t="shared" ca="1" si="125"/>
        <v>9.47735959767693E-3</v>
      </c>
      <c r="DH122" s="33">
        <f t="shared" ca="1" si="125"/>
        <v>1.0686080429981482E-2</v>
      </c>
      <c r="DI122" s="33">
        <f t="shared" ca="1" si="125"/>
        <v>1.4811765951595314E-2</v>
      </c>
      <c r="DJ122" s="33">
        <f t="shared" ca="1" si="125"/>
        <v>1.1833725245090437E-2</v>
      </c>
      <c r="DK122" s="33">
        <f t="shared" ca="1" si="125"/>
        <v>1.1117682679896134E-2</v>
      </c>
      <c r="DL122" s="33">
        <f t="shared" ca="1" si="125"/>
        <v>1.0637350707043807E-2</v>
      </c>
      <c r="DM122" s="33">
        <f t="shared" ca="1" si="125"/>
        <v>1.0940088927382574E-2</v>
      </c>
      <c r="DN122" s="33">
        <f t="shared" ca="1" si="125"/>
        <v>1.3584039425572958E-2</v>
      </c>
      <c r="DO122" s="12"/>
      <c r="DP122" s="12"/>
      <c r="DQ122" s="12"/>
    </row>
    <row r="123" spans="6:121" x14ac:dyDescent="0.2">
      <c r="I123" s="32">
        <v>48153</v>
      </c>
      <c r="J123" s="33">
        <f t="shared" ca="1" si="105"/>
        <v>1.4623209196926244E-2</v>
      </c>
      <c r="K123" s="9">
        <v>3997.9944972931889</v>
      </c>
      <c r="L123" s="9">
        <f t="shared" ca="1" si="74"/>
        <v>659693.6621656327</v>
      </c>
      <c r="R123" s="32">
        <v>48153</v>
      </c>
      <c r="S123" s="33">
        <f t="shared" ca="1" si="116"/>
        <v>1.0143239898431397E-2</v>
      </c>
      <c r="T123" s="33">
        <f t="shared" ca="1" si="116"/>
        <v>1.0449922900382339E-2</v>
      </c>
      <c r="U123" s="33">
        <f t="shared" ca="1" si="116"/>
        <v>1.0821059094183152E-2</v>
      </c>
      <c r="V123" s="33">
        <f t="shared" ca="1" si="116"/>
        <v>1.0038298516402731E-2</v>
      </c>
      <c r="W123" s="33">
        <f t="shared" ca="1" si="116"/>
        <v>1.1286787804131967E-2</v>
      </c>
      <c r="X123" s="33">
        <f t="shared" ca="1" si="116"/>
        <v>1.0039105375378842E-2</v>
      </c>
      <c r="Y123" s="33">
        <f t="shared" ca="1" si="116"/>
        <v>1.1956346741826952E-2</v>
      </c>
      <c r="Z123" s="33">
        <f t="shared" ca="1" si="116"/>
        <v>1.2059474614953486E-2</v>
      </c>
      <c r="AA123" s="33">
        <f t="shared" ca="1" si="116"/>
        <v>1.0720387133353665E-2</v>
      </c>
      <c r="AB123" s="33">
        <f t="shared" ca="1" si="116"/>
        <v>1.145648153223333E-2</v>
      </c>
      <c r="AC123" s="33">
        <f t="shared" ca="1" si="117"/>
        <v>1.1571345638177317E-2</v>
      </c>
      <c r="AD123" s="33">
        <f t="shared" ca="1" si="117"/>
        <v>1.1264443889168314E-2</v>
      </c>
      <c r="AE123" s="33">
        <f t="shared" ca="1" si="117"/>
        <v>1.2543795874521891E-2</v>
      </c>
      <c r="AF123" s="33">
        <f t="shared" ca="1" si="117"/>
        <v>9.1683453680523261E-3</v>
      </c>
      <c r="AG123" s="33">
        <f t="shared" ca="1" si="117"/>
        <v>1.3805102174847541E-2</v>
      </c>
      <c r="AH123" s="33">
        <f t="shared" ca="1" si="117"/>
        <v>1.2191082636461946E-2</v>
      </c>
      <c r="AI123" s="33">
        <f t="shared" ca="1" si="117"/>
        <v>1.1482032482288632E-2</v>
      </c>
      <c r="AJ123" s="33">
        <f t="shared" ca="1" si="117"/>
        <v>9.9397250808583634E-3</v>
      </c>
      <c r="AK123" s="33">
        <f t="shared" ca="1" si="117"/>
        <v>1.3408643052735142E-2</v>
      </c>
      <c r="AL123" s="33">
        <f t="shared" ca="1" si="117"/>
        <v>9.7517792732516578E-3</v>
      </c>
      <c r="AM123" s="33">
        <f t="shared" ca="1" si="118"/>
        <v>1.0511707599747559E-2</v>
      </c>
      <c r="AN123" s="33">
        <f t="shared" ca="1" si="118"/>
        <v>1.3042559832061946E-2</v>
      </c>
      <c r="AO123" s="33">
        <f t="shared" ca="1" si="118"/>
        <v>1.203225577074921E-2</v>
      </c>
      <c r="AP123" s="33">
        <f t="shared" ca="1" si="118"/>
        <v>1.0166810148633104E-2</v>
      </c>
      <c r="AQ123" s="33">
        <f t="shared" ca="1" si="118"/>
        <v>1.1094246533489532E-2</v>
      </c>
      <c r="AR123" s="33">
        <f t="shared" ca="1" si="118"/>
        <v>1.0511531635979973E-2</v>
      </c>
      <c r="AS123" s="33">
        <f t="shared" ca="1" si="118"/>
        <v>1.3920247439242509E-2</v>
      </c>
      <c r="AT123" s="33">
        <f t="shared" ca="1" si="118"/>
        <v>9.8629237711671501E-3</v>
      </c>
      <c r="AU123" s="33">
        <f t="shared" ca="1" si="118"/>
        <v>8.7643816048576795E-3</v>
      </c>
      <c r="AV123" s="33">
        <f t="shared" ca="1" si="118"/>
        <v>1.1777616137048206E-2</v>
      </c>
      <c r="AW123" s="33">
        <f t="shared" ca="1" si="119"/>
        <v>1.2203191343228148E-2</v>
      </c>
      <c r="AX123" s="33">
        <f t="shared" ca="1" si="119"/>
        <v>1.2411357421078531E-2</v>
      </c>
      <c r="AY123" s="33">
        <f t="shared" ca="1" si="119"/>
        <v>1.2666048228002953E-2</v>
      </c>
      <c r="AZ123" s="33">
        <f t="shared" ca="1" si="119"/>
        <v>1.2107439613940299E-2</v>
      </c>
      <c r="BA123" s="33">
        <f t="shared" ca="1" si="119"/>
        <v>1.0945358160795393E-2</v>
      </c>
      <c r="BB123" s="33">
        <f t="shared" ca="1" si="119"/>
        <v>1.3392472865049142E-2</v>
      </c>
      <c r="BC123" s="33">
        <f t="shared" ca="1" si="119"/>
        <v>1.4207016000416749E-2</v>
      </c>
      <c r="BD123" s="33">
        <f t="shared" ca="1" si="119"/>
        <v>1.1717230992889328E-2</v>
      </c>
      <c r="BE123" s="33">
        <f t="shared" ca="1" si="119"/>
        <v>8.7546661859945682E-3</v>
      </c>
      <c r="BF123" s="33">
        <f t="shared" ca="1" si="119"/>
        <v>1.0020456268380658E-2</v>
      </c>
      <c r="BG123" s="33">
        <f t="shared" ca="1" si="120"/>
        <v>1.1809604036725879E-2</v>
      </c>
      <c r="BH123" s="33">
        <f t="shared" ca="1" si="120"/>
        <v>9.2532650041562501E-3</v>
      </c>
      <c r="BI123" s="33">
        <f t="shared" ca="1" si="120"/>
        <v>7.5610377230941259E-3</v>
      </c>
      <c r="BJ123" s="33">
        <f t="shared" ca="1" si="120"/>
        <v>9.1124222129581912E-3</v>
      </c>
      <c r="BK123" s="33">
        <f t="shared" ca="1" si="120"/>
        <v>1.0534406115266459E-2</v>
      </c>
      <c r="BL123" s="33">
        <f t="shared" ca="1" si="120"/>
        <v>9.5510870952219516E-3</v>
      </c>
      <c r="BM123" s="33">
        <f t="shared" ca="1" si="120"/>
        <v>1.1456755681404364E-2</v>
      </c>
      <c r="BN123" s="33">
        <f t="shared" ca="1" si="120"/>
        <v>1.1731198618021247E-2</v>
      </c>
      <c r="BO123" s="33">
        <f t="shared" ca="1" si="120"/>
        <v>1.1474428893542346E-2</v>
      </c>
      <c r="BP123" s="33">
        <f t="shared" ca="1" si="120"/>
        <v>1.1062057061970028E-2</v>
      </c>
      <c r="BQ123" s="33">
        <f t="shared" ca="1" si="121"/>
        <v>1.2387549200399839E-2</v>
      </c>
      <c r="BR123" s="33">
        <f t="shared" ca="1" si="121"/>
        <v>1.0418403144906252E-2</v>
      </c>
      <c r="BS123" s="33">
        <f t="shared" ca="1" si="121"/>
        <v>1.1385461069114084E-2</v>
      </c>
      <c r="BT123" s="33">
        <f t="shared" ca="1" si="121"/>
        <v>1.1921945531225478E-2</v>
      </c>
      <c r="BU123" s="33">
        <f t="shared" ca="1" si="121"/>
        <v>1.2309430194911528E-2</v>
      </c>
      <c r="BV123" s="33">
        <f t="shared" ca="1" si="121"/>
        <v>9.5747979789173147E-3</v>
      </c>
      <c r="BW123" s="33">
        <f t="shared" ca="1" si="121"/>
        <v>1.4249797696788809E-2</v>
      </c>
      <c r="BX123" s="33">
        <f t="shared" ca="1" si="121"/>
        <v>1.2670340102261639E-2</v>
      </c>
      <c r="BY123" s="33">
        <f t="shared" ca="1" si="121"/>
        <v>1.2912807116852283E-2</v>
      </c>
      <c r="BZ123" s="33">
        <f t="shared" ca="1" si="121"/>
        <v>1.3136497240265726E-2</v>
      </c>
      <c r="CA123" s="33">
        <f t="shared" ca="1" si="122"/>
        <v>1.100588739162316E-2</v>
      </c>
      <c r="CB123" s="33">
        <f t="shared" ca="1" si="122"/>
        <v>9.1422443217824174E-3</v>
      </c>
      <c r="CC123" s="33">
        <f t="shared" ca="1" si="122"/>
        <v>1.1889560007219356E-2</v>
      </c>
      <c r="CD123" s="33">
        <f t="shared" ca="1" si="122"/>
        <v>1.2662924892214116E-2</v>
      </c>
      <c r="CE123" s="33">
        <f t="shared" ca="1" si="122"/>
        <v>1.015161622256517E-2</v>
      </c>
      <c r="CF123" s="33">
        <f t="shared" ca="1" si="122"/>
        <v>1.1859333107830883E-2</v>
      </c>
      <c r="CG123" s="33">
        <f t="shared" ca="1" si="122"/>
        <v>1.2298799479940246E-2</v>
      </c>
      <c r="CH123" s="33">
        <f t="shared" ca="1" si="122"/>
        <v>1.2397844950502883E-2</v>
      </c>
      <c r="CI123" s="33">
        <f t="shared" ca="1" si="122"/>
        <v>1.1018732648095879E-2</v>
      </c>
      <c r="CJ123" s="33">
        <f t="shared" ca="1" si="122"/>
        <v>1.1086815470832328E-2</v>
      </c>
      <c r="CK123" s="33">
        <f t="shared" ca="1" si="123"/>
        <v>1.3814029310965772E-2</v>
      </c>
      <c r="CL123" s="33">
        <f t="shared" ca="1" si="123"/>
        <v>7.0533875015878385E-3</v>
      </c>
      <c r="CM123" s="33">
        <f t="shared" ca="1" si="123"/>
        <v>1.2145495720576839E-2</v>
      </c>
      <c r="CN123" s="33">
        <f t="shared" ca="1" si="123"/>
        <v>1.1146351664776646E-2</v>
      </c>
      <c r="CO123" s="33">
        <f t="shared" ca="1" si="123"/>
        <v>1.0357077673912501E-2</v>
      </c>
      <c r="CP123" s="33">
        <f t="shared" ca="1" si="123"/>
        <v>1.3656247003411205E-2</v>
      </c>
      <c r="CQ123" s="33">
        <f t="shared" ca="1" si="123"/>
        <v>9.7364400429134218E-3</v>
      </c>
      <c r="CR123" s="33">
        <f t="shared" ca="1" si="123"/>
        <v>1.1915142634788475E-2</v>
      </c>
      <c r="CS123" s="33">
        <f t="shared" ca="1" si="123"/>
        <v>1.2277029091094497E-2</v>
      </c>
      <c r="CT123" s="33">
        <f t="shared" ca="1" si="123"/>
        <v>1.3683274355631176E-2</v>
      </c>
      <c r="CU123" s="33">
        <f t="shared" ca="1" si="124"/>
        <v>1.4639449188761131E-2</v>
      </c>
      <c r="CV123" s="33">
        <f t="shared" ca="1" si="124"/>
        <v>9.8846809487310033E-3</v>
      </c>
      <c r="CW123" s="33">
        <f t="shared" ca="1" si="124"/>
        <v>1.2649013150841141E-2</v>
      </c>
      <c r="CX123" s="33">
        <f t="shared" ca="1" si="124"/>
        <v>1.1778328129281167E-2</v>
      </c>
      <c r="CY123" s="33">
        <f t="shared" ca="1" si="124"/>
        <v>1.0175250859088047E-2</v>
      </c>
      <c r="CZ123" s="33">
        <f t="shared" ca="1" si="124"/>
        <v>8.7552253204832599E-3</v>
      </c>
      <c r="DA123" s="33">
        <f t="shared" ca="1" si="124"/>
        <v>1.0972390312867262E-2</v>
      </c>
      <c r="DB123" s="33">
        <f t="shared" ca="1" si="124"/>
        <v>1.446595507433892E-2</v>
      </c>
      <c r="DC123" s="33">
        <f t="shared" ca="1" si="124"/>
        <v>8.276421825965944E-3</v>
      </c>
      <c r="DD123" s="33">
        <f t="shared" ca="1" si="124"/>
        <v>1.1936827066776221E-2</v>
      </c>
      <c r="DE123" s="33">
        <f t="shared" ca="1" si="125"/>
        <v>1.0186862483026769E-2</v>
      </c>
      <c r="DF123" s="33">
        <f t="shared" ca="1" si="125"/>
        <v>1.1901514758766893E-2</v>
      </c>
      <c r="DG123" s="33">
        <f t="shared" ca="1" si="125"/>
        <v>1.1818526683198969E-2</v>
      </c>
      <c r="DH123" s="33">
        <f t="shared" ca="1" si="125"/>
        <v>1.265037493919746E-2</v>
      </c>
      <c r="DI123" s="33">
        <f t="shared" ca="1" si="125"/>
        <v>1.3332026624147907E-2</v>
      </c>
      <c r="DJ123" s="33">
        <f t="shared" ca="1" si="125"/>
        <v>1.0979216636581916E-2</v>
      </c>
      <c r="DK123" s="33">
        <f t="shared" ca="1" si="125"/>
        <v>1.0582784498328732E-2</v>
      </c>
      <c r="DL123" s="33">
        <f t="shared" ca="1" si="125"/>
        <v>1.2474942137588783E-2</v>
      </c>
      <c r="DM123" s="33">
        <f t="shared" ca="1" si="125"/>
        <v>1.2584574836317485E-2</v>
      </c>
      <c r="DN123" s="33">
        <f t="shared" ca="1" si="125"/>
        <v>1.1501283670970953E-2</v>
      </c>
      <c r="DO123" s="12"/>
      <c r="DP123" s="12"/>
      <c r="DQ123" s="12"/>
    </row>
    <row r="124" spans="6:121" x14ac:dyDescent="0.2">
      <c r="I124" s="32">
        <v>48183</v>
      </c>
      <c r="J124" s="33">
        <f t="shared" ca="1" si="105"/>
        <v>7.9791156476549142E-3</v>
      </c>
      <c r="K124" s="9">
        <v>3997.9944972931889</v>
      </c>
      <c r="L124" s="9">
        <f t="shared" ca="1" si="74"/>
        <v>668976.48477395647</v>
      </c>
      <c r="R124" s="32">
        <v>48183</v>
      </c>
      <c r="S124" s="33">
        <f t="shared" ca="1" si="116"/>
        <v>1.0275642438379326E-2</v>
      </c>
      <c r="T124" s="33">
        <f t="shared" ca="1" si="116"/>
        <v>9.6971544561483616E-3</v>
      </c>
      <c r="U124" s="33">
        <f t="shared" ca="1" si="116"/>
        <v>1.2394789270774486E-2</v>
      </c>
      <c r="V124" s="33">
        <f t="shared" ca="1" si="116"/>
        <v>1.0208640629674805E-2</v>
      </c>
      <c r="W124" s="33">
        <f t="shared" ca="1" si="116"/>
        <v>9.1272209479960169E-3</v>
      </c>
      <c r="X124" s="33">
        <f t="shared" ca="1" si="116"/>
        <v>1.0304248738186535E-2</v>
      </c>
      <c r="Y124" s="33">
        <f t="shared" ca="1" si="116"/>
        <v>8.8976497208548416E-3</v>
      </c>
      <c r="Z124" s="33">
        <f t="shared" ca="1" si="116"/>
        <v>9.7698508733313448E-3</v>
      </c>
      <c r="AA124" s="33">
        <f t="shared" ca="1" si="116"/>
        <v>9.2803541348135919E-3</v>
      </c>
      <c r="AB124" s="33">
        <f t="shared" ca="1" si="116"/>
        <v>1.0916824324762342E-2</v>
      </c>
      <c r="AC124" s="33">
        <f t="shared" ca="1" si="117"/>
        <v>1.1582931511119478E-2</v>
      </c>
      <c r="AD124" s="33">
        <f t="shared" ca="1" si="117"/>
        <v>1.0438807777906105E-2</v>
      </c>
      <c r="AE124" s="33">
        <f t="shared" ca="1" si="117"/>
        <v>1.2682315275257346E-2</v>
      </c>
      <c r="AF124" s="33">
        <f t="shared" ca="1" si="117"/>
        <v>1.0669654451775104E-2</v>
      </c>
      <c r="AG124" s="33">
        <f t="shared" ca="1" si="117"/>
        <v>1.1594665918027861E-2</v>
      </c>
      <c r="AH124" s="33">
        <f t="shared" ca="1" si="117"/>
        <v>9.7074553929572469E-3</v>
      </c>
      <c r="AI124" s="33">
        <f t="shared" ca="1" si="117"/>
        <v>1.2421110876946761E-2</v>
      </c>
      <c r="AJ124" s="33">
        <f t="shared" ca="1" si="117"/>
        <v>1.2225408061896228E-2</v>
      </c>
      <c r="AK124" s="33">
        <f t="shared" ca="1" si="117"/>
        <v>1.0960560395342735E-2</v>
      </c>
      <c r="AL124" s="33">
        <f t="shared" ca="1" si="117"/>
        <v>1.2573697581073164E-2</v>
      </c>
      <c r="AM124" s="33">
        <f t="shared" ca="1" si="118"/>
        <v>8.3994053139536708E-3</v>
      </c>
      <c r="AN124" s="33">
        <f t="shared" ca="1" si="118"/>
        <v>1.2515761684560677E-2</v>
      </c>
      <c r="AO124" s="33">
        <f t="shared" ca="1" si="118"/>
        <v>1.3523286636657727E-2</v>
      </c>
      <c r="AP124" s="33">
        <f t="shared" ca="1" si="118"/>
        <v>1.0471673228173675E-2</v>
      </c>
      <c r="AQ124" s="33">
        <f t="shared" ca="1" si="118"/>
        <v>1.0945802954603269E-2</v>
      </c>
      <c r="AR124" s="33">
        <f t="shared" ca="1" si="118"/>
        <v>9.4962275571149248E-3</v>
      </c>
      <c r="AS124" s="33">
        <f t="shared" ca="1" si="118"/>
        <v>1.0700936623589837E-2</v>
      </c>
      <c r="AT124" s="33">
        <f t="shared" ca="1" si="118"/>
        <v>1.2767049566676826E-2</v>
      </c>
      <c r="AU124" s="33">
        <f t="shared" ca="1" si="118"/>
        <v>1.4456297414938282E-2</v>
      </c>
      <c r="AV124" s="33">
        <f t="shared" ca="1" si="118"/>
        <v>1.1795526521925599E-2</v>
      </c>
      <c r="AW124" s="33">
        <f t="shared" ca="1" si="119"/>
        <v>1.445925134089221E-2</v>
      </c>
      <c r="AX124" s="33">
        <f t="shared" ca="1" si="119"/>
        <v>1.2537380586222297E-2</v>
      </c>
      <c r="AY124" s="33">
        <f t="shared" ca="1" si="119"/>
        <v>1.2255970913172739E-2</v>
      </c>
      <c r="AZ124" s="33">
        <f t="shared" ca="1" si="119"/>
        <v>1.0998547020655274E-2</v>
      </c>
      <c r="BA124" s="33">
        <f t="shared" ca="1" si="119"/>
        <v>1.0430901296184306E-2</v>
      </c>
      <c r="BB124" s="33">
        <f t="shared" ca="1" si="119"/>
        <v>1.4800145398190757E-2</v>
      </c>
      <c r="BC124" s="33">
        <f t="shared" ca="1" si="119"/>
        <v>1.1328340046183239E-2</v>
      </c>
      <c r="BD124" s="33">
        <f t="shared" ca="1" si="119"/>
        <v>1.202189504355305E-2</v>
      </c>
      <c r="BE124" s="33">
        <f t="shared" ca="1" si="119"/>
        <v>8.7820260495025011E-3</v>
      </c>
      <c r="BF124" s="33">
        <f t="shared" ca="1" si="119"/>
        <v>1.0315146584044945E-2</v>
      </c>
      <c r="BG124" s="33">
        <f t="shared" ca="1" si="120"/>
        <v>1.2950265176309891E-2</v>
      </c>
      <c r="BH124" s="33">
        <f t="shared" ca="1" si="120"/>
        <v>1.1007482712793348E-2</v>
      </c>
      <c r="BI124" s="33">
        <f t="shared" ca="1" si="120"/>
        <v>1.2816316214832035E-2</v>
      </c>
      <c r="BJ124" s="33">
        <f t="shared" ca="1" si="120"/>
        <v>1.3428136527063757E-2</v>
      </c>
      <c r="BK124" s="33">
        <f t="shared" ca="1" si="120"/>
        <v>1.238203420196478E-2</v>
      </c>
      <c r="BL124" s="33">
        <f t="shared" ca="1" si="120"/>
        <v>1.0786408207086517E-2</v>
      </c>
      <c r="BM124" s="33">
        <f t="shared" ca="1" si="120"/>
        <v>1.4523253946622862E-2</v>
      </c>
      <c r="BN124" s="33">
        <f t="shared" ca="1" si="120"/>
        <v>1.1184583243236838E-2</v>
      </c>
      <c r="BO124" s="33">
        <f t="shared" ca="1" si="120"/>
        <v>1.2687083213219909E-2</v>
      </c>
      <c r="BP124" s="33">
        <f t="shared" ca="1" si="120"/>
        <v>1.2935698133259146E-2</v>
      </c>
      <c r="BQ124" s="33">
        <f t="shared" ca="1" si="121"/>
        <v>1.2443938824976526E-2</v>
      </c>
      <c r="BR124" s="33">
        <f t="shared" ca="1" si="121"/>
        <v>9.8509043315772385E-3</v>
      </c>
      <c r="BS124" s="33">
        <f t="shared" ca="1" si="121"/>
        <v>1.007791060693506E-2</v>
      </c>
      <c r="BT124" s="33">
        <f t="shared" ca="1" si="121"/>
        <v>1.0445698612328348E-2</v>
      </c>
      <c r="BU124" s="33">
        <f t="shared" ca="1" si="121"/>
        <v>1.1380834603186467E-2</v>
      </c>
      <c r="BV124" s="33">
        <f t="shared" ca="1" si="121"/>
        <v>1.2010350360652766E-2</v>
      </c>
      <c r="BW124" s="33">
        <f t="shared" ca="1" si="121"/>
        <v>1.1314258819547996E-2</v>
      </c>
      <c r="BX124" s="33">
        <f t="shared" ca="1" si="121"/>
        <v>1.1807390323978447E-2</v>
      </c>
      <c r="BY124" s="33">
        <f t="shared" ca="1" si="121"/>
        <v>1.3189977188672019E-2</v>
      </c>
      <c r="BZ124" s="33">
        <f t="shared" ca="1" si="121"/>
        <v>1.0318300358186722E-2</v>
      </c>
      <c r="CA124" s="33">
        <f t="shared" ca="1" si="122"/>
        <v>1.3191281572901796E-2</v>
      </c>
      <c r="CB124" s="33">
        <f t="shared" ca="1" si="122"/>
        <v>1.2534818473904615E-2</v>
      </c>
      <c r="CC124" s="33">
        <f t="shared" ca="1" si="122"/>
        <v>1.099686612144328E-2</v>
      </c>
      <c r="CD124" s="33">
        <f t="shared" ca="1" si="122"/>
        <v>1.0995807523624501E-2</v>
      </c>
      <c r="CE124" s="33">
        <f t="shared" ca="1" si="122"/>
        <v>1.3527549908294814E-2</v>
      </c>
      <c r="CF124" s="33">
        <f t="shared" ca="1" si="122"/>
        <v>1.2345007990491482E-2</v>
      </c>
      <c r="CG124" s="33">
        <f t="shared" ca="1" si="122"/>
        <v>1.1250373802927311E-2</v>
      </c>
      <c r="CH124" s="33">
        <f t="shared" ca="1" si="122"/>
        <v>1.1999669660556002E-2</v>
      </c>
      <c r="CI124" s="33">
        <f t="shared" ca="1" si="122"/>
        <v>1.0735819777354789E-2</v>
      </c>
      <c r="CJ124" s="33">
        <f t="shared" ca="1" si="122"/>
        <v>1.1168598633700804E-2</v>
      </c>
      <c r="CK124" s="33">
        <f t="shared" ca="1" si="123"/>
        <v>1.0500205611694839E-2</v>
      </c>
      <c r="CL124" s="33">
        <f t="shared" ca="1" si="123"/>
        <v>1.1357849713689331E-2</v>
      </c>
      <c r="CM124" s="33">
        <f t="shared" ca="1" si="123"/>
        <v>1.0882268978954198E-2</v>
      </c>
      <c r="CN124" s="33">
        <f t="shared" ca="1" si="123"/>
        <v>1.1899418970114943E-2</v>
      </c>
      <c r="CO124" s="33">
        <f t="shared" ca="1" si="123"/>
        <v>1.0382151820059814E-2</v>
      </c>
      <c r="CP124" s="33">
        <f t="shared" ca="1" si="123"/>
        <v>1.439915736323925E-2</v>
      </c>
      <c r="CQ124" s="33">
        <f t="shared" ca="1" si="123"/>
        <v>1.0716408929194024E-2</v>
      </c>
      <c r="CR124" s="33">
        <f t="shared" ca="1" si="123"/>
        <v>1.2377664694526223E-2</v>
      </c>
      <c r="CS124" s="33">
        <f t="shared" ca="1" si="123"/>
        <v>1.1666270733312684E-2</v>
      </c>
      <c r="CT124" s="33">
        <f t="shared" ca="1" si="123"/>
        <v>1.2119582810010647E-2</v>
      </c>
      <c r="CU124" s="33">
        <f t="shared" ca="1" si="124"/>
        <v>1.0698451050706376E-2</v>
      </c>
      <c r="CV124" s="33">
        <f t="shared" ca="1" si="124"/>
        <v>1.0620539346722335E-2</v>
      </c>
      <c r="CW124" s="33">
        <f t="shared" ca="1" si="124"/>
        <v>8.9929819586648061E-3</v>
      </c>
      <c r="CX124" s="33">
        <f t="shared" ca="1" si="124"/>
        <v>1.0149593096882625E-2</v>
      </c>
      <c r="CY124" s="33">
        <f t="shared" ca="1" si="124"/>
        <v>1.3130811136592693E-2</v>
      </c>
      <c r="CZ124" s="33">
        <f t="shared" ca="1" si="124"/>
        <v>1.0311301671945494E-2</v>
      </c>
      <c r="DA124" s="33">
        <f t="shared" ca="1" si="124"/>
        <v>1.4391238073401558E-2</v>
      </c>
      <c r="DB124" s="33">
        <f t="shared" ca="1" si="124"/>
        <v>1.2820821141628325E-2</v>
      </c>
      <c r="DC124" s="33">
        <f t="shared" ca="1" si="124"/>
        <v>9.175106349545074E-3</v>
      </c>
      <c r="DD124" s="33">
        <f t="shared" ca="1" si="124"/>
        <v>1.0786301913882268E-2</v>
      </c>
      <c r="DE124" s="33">
        <f t="shared" ca="1" si="125"/>
        <v>9.1849033832144249E-3</v>
      </c>
      <c r="DF124" s="33">
        <f t="shared" ca="1" si="125"/>
        <v>8.1736778866739711E-3</v>
      </c>
      <c r="DG124" s="33">
        <f t="shared" ca="1" si="125"/>
        <v>9.9394432491983833E-3</v>
      </c>
      <c r="DH124" s="33">
        <f t="shared" ca="1" si="125"/>
        <v>1.1733642207366984E-2</v>
      </c>
      <c r="DI124" s="33">
        <f t="shared" ca="1" si="125"/>
        <v>9.3729553570887671E-3</v>
      </c>
      <c r="DJ124" s="33">
        <f t="shared" ca="1" si="125"/>
        <v>1.09864979587002E-2</v>
      </c>
      <c r="DK124" s="33">
        <f t="shared" ca="1" si="125"/>
        <v>9.4943691206670709E-3</v>
      </c>
      <c r="DL124" s="33">
        <f t="shared" ca="1" si="125"/>
        <v>9.7417585115822849E-3</v>
      </c>
      <c r="DM124" s="33">
        <f t="shared" ca="1" si="125"/>
        <v>1.2550929212890178E-2</v>
      </c>
      <c r="DN124" s="33">
        <f t="shared" ca="1" si="125"/>
        <v>1.0635156660541479E-2</v>
      </c>
      <c r="DO124" s="12"/>
      <c r="DP124" s="12"/>
      <c r="DQ124" s="12"/>
    </row>
    <row r="125" spans="6:121" x14ac:dyDescent="0.2">
      <c r="I125" s="32">
        <v>48214</v>
      </c>
      <c r="J125" s="33">
        <f t="shared" ca="1" si="105"/>
        <v>1.1554975867507087E-2</v>
      </c>
      <c r="K125" s="9">
        <v>3997.9944972931889</v>
      </c>
      <c r="L125" s="9">
        <f t="shared" ca="1" si="74"/>
        <v>680749.318944928</v>
      </c>
      <c r="R125" s="32">
        <v>48214</v>
      </c>
      <c r="S125" s="33">
        <f t="shared" ca="1" si="116"/>
        <v>1.0148971084219903E-2</v>
      </c>
      <c r="T125" s="33">
        <f t="shared" ca="1" si="116"/>
        <v>1.2431399462730372E-2</v>
      </c>
      <c r="U125" s="33">
        <f t="shared" ca="1" si="116"/>
        <v>1.1725192254008284E-2</v>
      </c>
      <c r="V125" s="33">
        <f t="shared" ca="1" si="116"/>
        <v>1.0840243627850766E-2</v>
      </c>
      <c r="W125" s="33">
        <f t="shared" ca="1" si="116"/>
        <v>1.1258798542306854E-2</v>
      </c>
      <c r="X125" s="33">
        <f t="shared" ca="1" si="116"/>
        <v>1.1866847864196936E-2</v>
      </c>
      <c r="Y125" s="33">
        <f t="shared" ca="1" si="116"/>
        <v>1.0268516176422977E-2</v>
      </c>
      <c r="Z125" s="33">
        <f t="shared" ca="1" si="116"/>
        <v>9.495091074519733E-3</v>
      </c>
      <c r="AA125" s="33">
        <f t="shared" ca="1" si="116"/>
        <v>1.0440042398071751E-2</v>
      </c>
      <c r="AB125" s="33">
        <f t="shared" ca="1" si="116"/>
        <v>1.3197725861666667E-2</v>
      </c>
      <c r="AC125" s="33">
        <f t="shared" ca="1" si="117"/>
        <v>9.9945489420493246E-3</v>
      </c>
      <c r="AD125" s="33">
        <f t="shared" ca="1" si="117"/>
        <v>1.2310238362038508E-2</v>
      </c>
      <c r="AE125" s="33">
        <f t="shared" ca="1" si="117"/>
        <v>1.2894096921913439E-2</v>
      </c>
      <c r="AF125" s="33">
        <f t="shared" ca="1" si="117"/>
        <v>1.1715448977248723E-2</v>
      </c>
      <c r="AG125" s="33">
        <f t="shared" ca="1" si="117"/>
        <v>1.1174507250098824E-2</v>
      </c>
      <c r="AH125" s="33">
        <f t="shared" ca="1" si="117"/>
        <v>1.2145378393388617E-2</v>
      </c>
      <c r="AI125" s="33">
        <f t="shared" ca="1" si="117"/>
        <v>1.0665324529387671E-2</v>
      </c>
      <c r="AJ125" s="33">
        <f t="shared" ca="1" si="117"/>
        <v>1.0865538253541992E-2</v>
      </c>
      <c r="AK125" s="33">
        <f t="shared" ca="1" si="117"/>
        <v>1.1181726068333798E-2</v>
      </c>
      <c r="AL125" s="33">
        <f t="shared" ca="1" si="117"/>
        <v>1.1239956618499048E-2</v>
      </c>
      <c r="AM125" s="33">
        <f t="shared" ca="1" si="118"/>
        <v>7.8680101457236692E-3</v>
      </c>
      <c r="AN125" s="33">
        <f t="shared" ca="1" si="118"/>
        <v>1.1414701977285148E-2</v>
      </c>
      <c r="AO125" s="33">
        <f t="shared" ca="1" si="118"/>
        <v>1.1275072327519365E-2</v>
      </c>
      <c r="AP125" s="33">
        <f t="shared" ca="1" si="118"/>
        <v>1.0660180249269182E-2</v>
      </c>
      <c r="AQ125" s="33">
        <f t="shared" ca="1" si="118"/>
        <v>1.2617841373909335E-2</v>
      </c>
      <c r="AR125" s="33">
        <f t="shared" ca="1" si="118"/>
        <v>1.0813757139806396E-2</v>
      </c>
      <c r="AS125" s="33">
        <f t="shared" ca="1" si="118"/>
        <v>9.4715635162320785E-3</v>
      </c>
      <c r="AT125" s="33">
        <f t="shared" ca="1" si="118"/>
        <v>1.1353266290486422E-2</v>
      </c>
      <c r="AU125" s="33">
        <f t="shared" ca="1" si="118"/>
        <v>1.4202286765248233E-2</v>
      </c>
      <c r="AV125" s="33">
        <f t="shared" ca="1" si="118"/>
        <v>9.6647430521462421E-3</v>
      </c>
      <c r="AW125" s="33">
        <f t="shared" ca="1" si="119"/>
        <v>1.1594558269648544E-2</v>
      </c>
      <c r="AX125" s="33">
        <f t="shared" ca="1" si="119"/>
        <v>1.1644129358194635E-2</v>
      </c>
      <c r="AY125" s="33">
        <f t="shared" ca="1" si="119"/>
        <v>1.0479516049769084E-2</v>
      </c>
      <c r="AZ125" s="33">
        <f t="shared" ca="1" si="119"/>
        <v>1.1339374114374714E-2</v>
      </c>
      <c r="BA125" s="33">
        <f t="shared" ca="1" si="119"/>
        <v>8.7673931610721106E-3</v>
      </c>
      <c r="BB125" s="33">
        <f t="shared" ca="1" si="119"/>
        <v>9.671360851339416E-3</v>
      </c>
      <c r="BC125" s="33">
        <f t="shared" ca="1" si="119"/>
        <v>1.1138657909801279E-2</v>
      </c>
      <c r="BD125" s="33">
        <f t="shared" ca="1" si="119"/>
        <v>9.7207506851490436E-3</v>
      </c>
      <c r="BE125" s="33">
        <f t="shared" ca="1" si="119"/>
        <v>1.0492146545620503E-2</v>
      </c>
      <c r="BF125" s="33">
        <f t="shared" ca="1" si="119"/>
        <v>9.6908736877787255E-3</v>
      </c>
      <c r="BG125" s="33">
        <f t="shared" ca="1" si="120"/>
        <v>9.9139818209376535E-3</v>
      </c>
      <c r="BH125" s="33">
        <f t="shared" ca="1" si="120"/>
        <v>1.0101966911776228E-2</v>
      </c>
      <c r="BI125" s="33">
        <f t="shared" ca="1" si="120"/>
        <v>1.1008592295548831E-2</v>
      </c>
      <c r="BJ125" s="33">
        <f t="shared" ca="1" si="120"/>
        <v>1.0038214092032574E-2</v>
      </c>
      <c r="BK125" s="33">
        <f t="shared" ca="1" si="120"/>
        <v>1.1705557442402596E-2</v>
      </c>
      <c r="BL125" s="33">
        <f t="shared" ca="1" si="120"/>
        <v>1.3018141381981806E-2</v>
      </c>
      <c r="BM125" s="33">
        <f t="shared" ca="1" si="120"/>
        <v>9.8601544412088085E-3</v>
      </c>
      <c r="BN125" s="33">
        <f t="shared" ca="1" si="120"/>
        <v>1.1937367962185514E-2</v>
      </c>
      <c r="BO125" s="33">
        <f t="shared" ca="1" si="120"/>
        <v>8.068237858548339E-3</v>
      </c>
      <c r="BP125" s="33">
        <f t="shared" ca="1" si="120"/>
        <v>8.7545342728503877E-3</v>
      </c>
      <c r="BQ125" s="33">
        <f t="shared" ca="1" si="121"/>
        <v>1.0955255309169624E-2</v>
      </c>
      <c r="BR125" s="33">
        <f t="shared" ca="1" si="121"/>
        <v>1.1966288826240772E-2</v>
      </c>
      <c r="BS125" s="33">
        <f t="shared" ca="1" si="121"/>
        <v>1.426939611099691E-2</v>
      </c>
      <c r="BT125" s="33">
        <f t="shared" ca="1" si="121"/>
        <v>1.1174155335706964E-2</v>
      </c>
      <c r="BU125" s="33">
        <f t="shared" ca="1" si="121"/>
        <v>1.1035521951949153E-2</v>
      </c>
      <c r="BV125" s="33">
        <f t="shared" ca="1" si="121"/>
        <v>1.0831251726216374E-2</v>
      </c>
      <c r="BW125" s="33">
        <f t="shared" ca="1" si="121"/>
        <v>8.231852150137017E-3</v>
      </c>
      <c r="BX125" s="33">
        <f t="shared" ca="1" si="121"/>
        <v>1.046829048082536E-2</v>
      </c>
      <c r="BY125" s="33">
        <f t="shared" ca="1" si="121"/>
        <v>9.0861647326340184E-3</v>
      </c>
      <c r="BZ125" s="33">
        <f t="shared" ca="1" si="121"/>
        <v>1.3083360660405541E-2</v>
      </c>
      <c r="CA125" s="33">
        <f t="shared" ca="1" si="122"/>
        <v>9.8823263836640869E-3</v>
      </c>
      <c r="CB125" s="33">
        <f t="shared" ca="1" si="122"/>
        <v>1.0991148086212129E-2</v>
      </c>
      <c r="CC125" s="33">
        <f t="shared" ca="1" si="122"/>
        <v>1.2544700778972557E-2</v>
      </c>
      <c r="CD125" s="33">
        <f t="shared" ca="1" si="122"/>
        <v>1.0512762424352005E-2</v>
      </c>
      <c r="CE125" s="33">
        <f t="shared" ca="1" si="122"/>
        <v>1.1171875900117135E-2</v>
      </c>
      <c r="CF125" s="33">
        <f t="shared" ca="1" si="122"/>
        <v>1.317570026907265E-2</v>
      </c>
      <c r="CG125" s="33">
        <f t="shared" ca="1" si="122"/>
        <v>9.5836000374667999E-3</v>
      </c>
      <c r="CH125" s="33">
        <f t="shared" ca="1" si="122"/>
        <v>8.6049586372281307E-3</v>
      </c>
      <c r="CI125" s="33">
        <f t="shared" ca="1" si="122"/>
        <v>1.0231022103715697E-2</v>
      </c>
      <c r="CJ125" s="33">
        <f t="shared" ca="1" si="122"/>
        <v>1.2711714306861849E-2</v>
      </c>
      <c r="CK125" s="33">
        <f t="shared" ca="1" si="123"/>
        <v>1.1090955317369347E-2</v>
      </c>
      <c r="CL125" s="33">
        <f t="shared" ca="1" si="123"/>
        <v>1.1072960117271527E-2</v>
      </c>
      <c r="CM125" s="33">
        <f t="shared" ca="1" si="123"/>
        <v>1.1390513441378456E-2</v>
      </c>
      <c r="CN125" s="33">
        <f t="shared" ca="1" si="123"/>
        <v>1.2186826247516949E-2</v>
      </c>
      <c r="CO125" s="33">
        <f t="shared" ca="1" si="123"/>
        <v>1.2234744655798513E-2</v>
      </c>
      <c r="CP125" s="33">
        <f t="shared" ca="1" si="123"/>
        <v>1.0427877957456299E-2</v>
      </c>
      <c r="CQ125" s="33">
        <f t="shared" ca="1" si="123"/>
        <v>1.3525785573472053E-2</v>
      </c>
      <c r="CR125" s="33">
        <f t="shared" ca="1" si="123"/>
        <v>1.0253994102722933E-2</v>
      </c>
      <c r="CS125" s="33">
        <f t="shared" ca="1" si="123"/>
        <v>1.2366346943309918E-2</v>
      </c>
      <c r="CT125" s="33">
        <f t="shared" ca="1" si="123"/>
        <v>1.1441425296570837E-2</v>
      </c>
      <c r="CU125" s="33">
        <f t="shared" ca="1" si="124"/>
        <v>1.1458240920254333E-2</v>
      </c>
      <c r="CV125" s="33">
        <f t="shared" ca="1" si="124"/>
        <v>9.3684361234367929E-3</v>
      </c>
      <c r="CW125" s="33">
        <f t="shared" ca="1" si="124"/>
        <v>1.1078634060076815E-2</v>
      </c>
      <c r="CX125" s="33">
        <f t="shared" ca="1" si="124"/>
        <v>1.2716017057196711E-2</v>
      </c>
      <c r="CY125" s="33">
        <f t="shared" ca="1" si="124"/>
        <v>1.3259551686554804E-2</v>
      </c>
      <c r="CZ125" s="33">
        <f t="shared" ca="1" si="124"/>
        <v>1.156232079697345E-2</v>
      </c>
      <c r="DA125" s="33">
        <f t="shared" ca="1" si="124"/>
        <v>1.1424787722841808E-2</v>
      </c>
      <c r="DB125" s="33">
        <f t="shared" ca="1" si="124"/>
        <v>1.088491103213751E-2</v>
      </c>
      <c r="DC125" s="33">
        <f t="shared" ca="1" si="124"/>
        <v>1.1526959190440722E-2</v>
      </c>
      <c r="DD125" s="33">
        <f t="shared" ca="1" si="124"/>
        <v>1.3218253454476437E-2</v>
      </c>
      <c r="DE125" s="33">
        <f t="shared" ca="1" si="125"/>
        <v>1.363401169115705E-2</v>
      </c>
      <c r="DF125" s="33">
        <f t="shared" ca="1" si="125"/>
        <v>1.0955055074037868E-2</v>
      </c>
      <c r="DG125" s="33">
        <f t="shared" ca="1" si="125"/>
        <v>1.2944176792223958E-2</v>
      </c>
      <c r="DH125" s="33">
        <f t="shared" ca="1" si="125"/>
        <v>9.7889502564095909E-3</v>
      </c>
      <c r="DI125" s="33">
        <f t="shared" ca="1" si="125"/>
        <v>1.2583018103295053E-2</v>
      </c>
      <c r="DJ125" s="33">
        <f t="shared" ca="1" si="125"/>
        <v>1.1695453744228024E-2</v>
      </c>
      <c r="DK125" s="33">
        <f t="shared" ca="1" si="125"/>
        <v>1.165568476407741E-2</v>
      </c>
      <c r="DL125" s="33">
        <f t="shared" ca="1" si="125"/>
        <v>9.5065401684434163E-3</v>
      </c>
      <c r="DM125" s="33">
        <f t="shared" ca="1" si="125"/>
        <v>1.009856679461215E-2</v>
      </c>
      <c r="DN125" s="33">
        <f t="shared" ca="1" si="125"/>
        <v>1.1376117543854274E-2</v>
      </c>
      <c r="DO125" s="12"/>
      <c r="DP125" s="12"/>
      <c r="DQ125" s="12"/>
    </row>
    <row r="126" spans="6:121" x14ac:dyDescent="0.2">
      <c r="I126" s="32">
        <v>48245</v>
      </c>
      <c r="J126" s="33">
        <f t="shared" ca="1" si="105"/>
        <v>9.3790676074614939E-3</v>
      </c>
      <c r="K126" s="9">
        <f>K125</f>
        <v>3997.9944972931889</v>
      </c>
      <c r="L126" s="9">
        <f ca="1">L125*EXP(J126)</f>
        <v>687164.14836613764</v>
      </c>
      <c r="R126" s="32">
        <v>48245</v>
      </c>
      <c r="S126" s="33">
        <f t="shared" ca="1" si="116"/>
        <v>1.1866196772722576E-2</v>
      </c>
      <c r="T126" s="33">
        <f t="shared" ca="1" si="116"/>
        <v>1.1807431028378198E-2</v>
      </c>
      <c r="U126" s="33">
        <f t="shared" ca="1" si="116"/>
        <v>9.5172855573362556E-3</v>
      </c>
      <c r="V126" s="33">
        <f t="shared" ca="1" si="116"/>
        <v>9.5489386274524163E-3</v>
      </c>
      <c r="W126" s="33">
        <f t="shared" ca="1" si="116"/>
        <v>1.0512259394972041E-2</v>
      </c>
      <c r="X126" s="33">
        <f t="shared" ca="1" si="116"/>
        <v>1.3185380083382076E-2</v>
      </c>
      <c r="Y126" s="33">
        <f t="shared" ca="1" si="116"/>
        <v>1.3019908843207624E-2</v>
      </c>
      <c r="Z126" s="33">
        <f t="shared" ca="1" si="116"/>
        <v>1.0400826783227034E-2</v>
      </c>
      <c r="AA126" s="33">
        <f t="shared" ca="1" si="116"/>
        <v>1.2595322032745849E-2</v>
      </c>
      <c r="AB126" s="33">
        <f t="shared" ca="1" si="116"/>
        <v>9.4479663307799003E-3</v>
      </c>
      <c r="AC126" s="33">
        <f t="shared" ca="1" si="117"/>
        <v>1.1483433443216472E-2</v>
      </c>
      <c r="AD126" s="33">
        <f t="shared" ca="1" si="117"/>
        <v>1.1588474013118103E-2</v>
      </c>
      <c r="AE126" s="33">
        <f t="shared" ca="1" si="117"/>
        <v>8.124149478798217E-3</v>
      </c>
      <c r="AF126" s="33">
        <f t="shared" ca="1" si="117"/>
        <v>1.2348796992187236E-2</v>
      </c>
      <c r="AG126" s="33">
        <f t="shared" ca="1" si="117"/>
        <v>1.2338827447314502E-2</v>
      </c>
      <c r="AH126" s="33">
        <f t="shared" ca="1" si="117"/>
        <v>9.8056052149411536E-3</v>
      </c>
      <c r="AI126" s="33">
        <f t="shared" ca="1" si="117"/>
        <v>1.1165773335920599E-2</v>
      </c>
      <c r="AJ126" s="33">
        <f t="shared" ca="1" si="117"/>
        <v>1.3694842361998642E-2</v>
      </c>
      <c r="AK126" s="33">
        <f t="shared" ca="1" si="117"/>
        <v>1.0526326809742127E-2</v>
      </c>
      <c r="AL126" s="33">
        <f t="shared" ca="1" si="117"/>
        <v>1.0920702676137112E-2</v>
      </c>
      <c r="AM126" s="33">
        <f t="shared" ca="1" si="118"/>
        <v>1.0437835164388155E-2</v>
      </c>
      <c r="AN126" s="33">
        <f t="shared" ca="1" si="118"/>
        <v>9.9540403770908906E-3</v>
      </c>
      <c r="AO126" s="33">
        <f t="shared" ca="1" si="118"/>
        <v>1.2930794145390591E-2</v>
      </c>
      <c r="AP126" s="33">
        <f t="shared" ca="1" si="118"/>
        <v>1.2069725060438999E-2</v>
      </c>
      <c r="AQ126" s="33">
        <f t="shared" ca="1" si="118"/>
        <v>1.1678119767382943E-2</v>
      </c>
      <c r="AR126" s="33">
        <f t="shared" ca="1" si="118"/>
        <v>1.1071900684435587E-2</v>
      </c>
      <c r="AS126" s="33">
        <f t="shared" ca="1" si="118"/>
        <v>8.9016474249583415E-3</v>
      </c>
      <c r="AT126" s="33">
        <f t="shared" ca="1" si="118"/>
        <v>1.0982224266013184E-2</v>
      </c>
      <c r="AU126" s="33">
        <f t="shared" ca="1" si="118"/>
        <v>9.1479410878973037E-3</v>
      </c>
      <c r="AV126" s="33">
        <f t="shared" ca="1" si="118"/>
        <v>1.1991773661231431E-2</v>
      </c>
      <c r="AW126" s="33">
        <f t="shared" ca="1" si="119"/>
        <v>1.0456980205316628E-2</v>
      </c>
      <c r="AX126" s="33">
        <f t="shared" ca="1" si="119"/>
        <v>1.1191849444027782E-2</v>
      </c>
      <c r="AY126" s="33">
        <f t="shared" ca="1" si="119"/>
        <v>8.6350103650482072E-3</v>
      </c>
      <c r="AZ126" s="33">
        <f t="shared" ca="1" si="119"/>
        <v>9.3696245602946596E-3</v>
      </c>
      <c r="BA126" s="33">
        <f t="shared" ca="1" si="119"/>
        <v>1.0713611559166449E-2</v>
      </c>
      <c r="BB126" s="33">
        <f t="shared" ca="1" si="119"/>
        <v>1.1795584556575521E-2</v>
      </c>
      <c r="BC126" s="33">
        <f t="shared" ca="1" si="119"/>
        <v>1.175503614159493E-2</v>
      </c>
      <c r="BD126" s="33">
        <f t="shared" ca="1" si="119"/>
        <v>9.1398658322128911E-3</v>
      </c>
      <c r="BE126" s="33">
        <f t="shared" ca="1" si="119"/>
        <v>1.2061664934834319E-2</v>
      </c>
      <c r="BF126" s="33">
        <f t="shared" ca="1" si="119"/>
        <v>1.1062326074843679E-2</v>
      </c>
      <c r="BG126" s="33">
        <f t="shared" ca="1" si="120"/>
        <v>1.1708834311580851E-2</v>
      </c>
      <c r="BH126" s="33">
        <f t="shared" ca="1" si="120"/>
        <v>1.139996113257203E-2</v>
      </c>
      <c r="BI126" s="33">
        <f t="shared" ca="1" si="120"/>
        <v>1.054189733987875E-2</v>
      </c>
      <c r="BJ126" s="33">
        <f t="shared" ca="1" si="120"/>
        <v>1.2538196755164986E-2</v>
      </c>
      <c r="BK126" s="33">
        <f t="shared" ca="1" si="120"/>
        <v>1.0664116106321205E-2</v>
      </c>
      <c r="BL126" s="33">
        <f t="shared" ca="1" si="120"/>
        <v>1.1797451817597473E-2</v>
      </c>
      <c r="BM126" s="33">
        <f t="shared" ca="1" si="120"/>
        <v>1.1876722937181342E-2</v>
      </c>
      <c r="BN126" s="33">
        <f t="shared" ca="1" si="120"/>
        <v>1.1104819551764771E-2</v>
      </c>
      <c r="BO126" s="33">
        <f t="shared" ca="1" si="120"/>
        <v>9.6036695373387382E-3</v>
      </c>
      <c r="BP126" s="33">
        <f t="shared" ca="1" si="120"/>
        <v>1.2189066286912877E-2</v>
      </c>
      <c r="BQ126" s="33">
        <f t="shared" ca="1" si="121"/>
        <v>1.3888579021748953E-2</v>
      </c>
      <c r="BR126" s="33">
        <f t="shared" ca="1" si="121"/>
        <v>1.2021112776563177E-2</v>
      </c>
      <c r="BS126" s="33">
        <f t="shared" ca="1" si="121"/>
        <v>1.012569340556185E-2</v>
      </c>
      <c r="BT126" s="33">
        <f t="shared" ca="1" si="121"/>
        <v>1.1021630749819338E-2</v>
      </c>
      <c r="BU126" s="33">
        <f t="shared" ca="1" si="121"/>
        <v>1.1095694344993495E-2</v>
      </c>
      <c r="BV126" s="33">
        <f t="shared" ca="1" si="121"/>
        <v>8.5497792570290842E-3</v>
      </c>
      <c r="BW126" s="33">
        <f t="shared" ca="1" si="121"/>
        <v>1.0812552098220875E-2</v>
      </c>
      <c r="BX126" s="33">
        <f t="shared" ca="1" si="121"/>
        <v>1.0296596790961614E-2</v>
      </c>
      <c r="BY126" s="33">
        <f t="shared" ca="1" si="121"/>
        <v>1.0329669582201358E-2</v>
      </c>
      <c r="BZ126" s="33">
        <f t="shared" ca="1" si="121"/>
        <v>1.2527691797209632E-2</v>
      </c>
      <c r="CA126" s="33">
        <f t="shared" ca="1" si="122"/>
        <v>1.0845448873516642E-2</v>
      </c>
      <c r="CB126" s="33">
        <f t="shared" ca="1" si="122"/>
        <v>1.0762697811889059E-2</v>
      </c>
      <c r="CC126" s="33">
        <f t="shared" ca="1" si="122"/>
        <v>1.0937741589312138E-2</v>
      </c>
      <c r="CD126" s="33">
        <f t="shared" ca="1" si="122"/>
        <v>1.1661681591451789E-2</v>
      </c>
      <c r="CE126" s="33">
        <f t="shared" ca="1" si="122"/>
        <v>1.3218101007438181E-2</v>
      </c>
      <c r="CF126" s="33">
        <f t="shared" ca="1" si="122"/>
        <v>1.2934894532363945E-2</v>
      </c>
      <c r="CG126" s="33">
        <f t="shared" ca="1" si="122"/>
        <v>7.4332965165210358E-3</v>
      </c>
      <c r="CH126" s="33">
        <f t="shared" ca="1" si="122"/>
        <v>9.7492498764455739E-3</v>
      </c>
      <c r="CI126" s="33">
        <f t="shared" ca="1" si="122"/>
        <v>1.1473388688422317E-2</v>
      </c>
      <c r="CJ126" s="33">
        <f t="shared" ca="1" si="122"/>
        <v>1.2909658695687408E-2</v>
      </c>
      <c r="CK126" s="33">
        <f t="shared" ca="1" si="123"/>
        <v>1.3929321093186103E-2</v>
      </c>
      <c r="CL126" s="33">
        <f t="shared" ca="1" si="123"/>
        <v>8.4634758301365253E-3</v>
      </c>
      <c r="CM126" s="33">
        <f t="shared" ca="1" si="123"/>
        <v>1.2424859294014429E-2</v>
      </c>
      <c r="CN126" s="33">
        <f t="shared" ca="1" si="123"/>
        <v>1.053842634205074E-2</v>
      </c>
      <c r="CO126" s="33">
        <f t="shared" ca="1" si="123"/>
        <v>1.2468032957257336E-2</v>
      </c>
      <c r="CP126" s="33">
        <f t="shared" ca="1" si="123"/>
        <v>1.2344213748900981E-2</v>
      </c>
      <c r="CQ126" s="33">
        <f t="shared" ca="1" si="123"/>
        <v>1.372903567967766E-2</v>
      </c>
      <c r="CR126" s="33">
        <f t="shared" ca="1" si="123"/>
        <v>1.069320319445788E-2</v>
      </c>
      <c r="CS126" s="33">
        <f t="shared" ca="1" si="123"/>
        <v>1.1664864015187475E-2</v>
      </c>
      <c r="CT126" s="33">
        <f t="shared" ca="1" si="123"/>
        <v>1.1092720774559054E-2</v>
      </c>
      <c r="CU126" s="33">
        <f t="shared" ca="1" si="124"/>
        <v>9.9496925444539433E-3</v>
      </c>
      <c r="CV126" s="33">
        <f t="shared" ca="1" si="124"/>
        <v>9.654878215053871E-3</v>
      </c>
      <c r="CW126" s="33">
        <f t="shared" ca="1" si="124"/>
        <v>1.1098217801207818E-2</v>
      </c>
      <c r="CX126" s="33">
        <f t="shared" ca="1" si="124"/>
        <v>1.0264049747258596E-2</v>
      </c>
      <c r="CY126" s="33">
        <f t="shared" ca="1" si="124"/>
        <v>1.2075913813711443E-2</v>
      </c>
      <c r="CZ126" s="33">
        <f t="shared" ca="1" si="124"/>
        <v>1.1825774034864867E-2</v>
      </c>
      <c r="DA126" s="33">
        <f t="shared" ca="1" si="124"/>
        <v>1.0579752571383647E-2</v>
      </c>
      <c r="DB126" s="33">
        <f t="shared" ca="1" si="124"/>
        <v>1.2231961637376592E-2</v>
      </c>
      <c r="DC126" s="33">
        <f t="shared" ca="1" si="124"/>
        <v>1.063524775455215E-2</v>
      </c>
      <c r="DD126" s="33">
        <f t="shared" ca="1" si="124"/>
        <v>1.1485511168804514E-2</v>
      </c>
      <c r="DE126" s="33">
        <f t="shared" ca="1" si="125"/>
        <v>1.1244454398749959E-2</v>
      </c>
      <c r="DF126" s="33">
        <f t="shared" ca="1" si="125"/>
        <v>1.0607484707671084E-2</v>
      </c>
      <c r="DG126" s="33">
        <f t="shared" ca="1" si="125"/>
        <v>1.2928407989678734E-2</v>
      </c>
      <c r="DH126" s="33">
        <f t="shared" ca="1" si="125"/>
        <v>8.6972554987096475E-3</v>
      </c>
      <c r="DI126" s="33">
        <f t="shared" ca="1" si="125"/>
        <v>1.0966525439083202E-2</v>
      </c>
      <c r="DJ126" s="33">
        <f t="shared" ca="1" si="125"/>
        <v>8.3464103349853679E-3</v>
      </c>
      <c r="DK126" s="33">
        <f t="shared" ca="1" si="125"/>
        <v>1.0500110044320367E-2</v>
      </c>
      <c r="DL126" s="33">
        <f t="shared" ca="1" si="125"/>
        <v>1.3309847032421638E-2</v>
      </c>
      <c r="DM126" s="33">
        <f t="shared" ca="1" si="125"/>
        <v>1.0885895304896712E-2</v>
      </c>
      <c r="DN126" s="33">
        <f t="shared" ca="1" si="125"/>
        <v>1.4496387432143609E-2</v>
      </c>
      <c r="DO126" s="12"/>
      <c r="DP126" s="12"/>
      <c r="DQ126" s="12"/>
    </row>
    <row r="127" spans="6:121" x14ac:dyDescent="0.2">
      <c r="F127" s="3"/>
    </row>
  </sheetData>
  <mergeCells count="1">
    <mergeCell ref="A7:D18"/>
  </mergeCells>
  <hyperlinks>
    <hyperlink ref="A56" location="Answers!A50" display="Back to answers" xr:uid="{284A3016-8FBB-1F40-A6DB-855C50273AF7}"/>
    <hyperlink ref="C2" location="'Task e simulation procedure'!R2" display="100 trajectories" xr:uid="{BC1FDC52-97C4-D843-A746-087ED6700094}"/>
    <hyperlink ref="C3" location="'Task e simulation procedure'!I1" display="Sample sim." xr:uid="{D3854A13-C52D-2545-9F4A-AC3B1C3A6653}"/>
    <hyperlink ref="C4" location="'Task e simulation procedure'!N3" display="100 A(120)" xr:uid="{0C52515D-B5CA-8A4C-B762-464E280E2EDF}"/>
    <hyperlink ref="A54" location="'Task e'!A1" display="Back to Task e" xr:uid="{93D47FEB-DB70-D04F-BD6C-8C2350BCB4BA}"/>
  </hyperlink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52D26-66AF-574A-A567-FD0F2964A824}">
  <sheetPr codeName="Sheet10">
    <outlinePr applyStyles="1" summaryBelow="0"/>
  </sheetPr>
  <dimension ref="A1:DJ303"/>
  <sheetViews>
    <sheetView showGridLines="0" showRowColHeaders="0" zoomScale="108" zoomScaleNormal="108" workbookViewId="0">
      <selection activeCell="A18" sqref="A18"/>
    </sheetView>
  </sheetViews>
  <sheetFormatPr baseColWidth="10" defaultRowHeight="16" outlineLevelRow="1" x14ac:dyDescent="0.2"/>
  <cols>
    <col min="3" max="3" width="14.5" bestFit="1" customWidth="1"/>
    <col min="6" max="6" width="14.5" customWidth="1"/>
    <col min="7" max="7" width="20.83203125" bestFit="1" customWidth="1"/>
    <col min="9" max="9" width="18.6640625" customWidth="1"/>
    <col min="11" max="11" width="10.6640625" customWidth="1"/>
    <col min="12" max="12" width="14.33203125" bestFit="1" customWidth="1"/>
    <col min="13" max="13" width="24.5" bestFit="1" customWidth="1"/>
    <col min="14" max="14" width="25.5" bestFit="1" customWidth="1"/>
    <col min="18" max="18" width="10.83203125" customWidth="1"/>
    <col min="21" max="21" width="10.83203125" customWidth="1"/>
    <col min="22" max="22" width="15.5" bestFit="1" customWidth="1"/>
    <col min="23" max="24" width="8" bestFit="1" customWidth="1"/>
    <col min="25" max="25" width="10.83203125" bestFit="1" customWidth="1"/>
    <col min="26" max="26" width="16.83203125" customWidth="1"/>
    <col min="27" max="27" width="16.5" customWidth="1"/>
    <col min="28" max="41" width="12.1640625" bestFit="1" customWidth="1"/>
    <col min="42" max="42" width="11.1640625" bestFit="1" customWidth="1"/>
    <col min="43" max="60" width="12.1640625" bestFit="1" customWidth="1"/>
    <col min="61" max="61" width="11.1640625" bestFit="1" customWidth="1"/>
    <col min="62" max="71" width="12.1640625" bestFit="1" customWidth="1"/>
    <col min="72" max="72" width="11.1640625" bestFit="1" customWidth="1"/>
    <col min="73" max="73" width="10.1640625" bestFit="1" customWidth="1"/>
    <col min="74" max="74" width="11.1640625" bestFit="1" customWidth="1"/>
    <col min="75" max="116" width="12.1640625" bestFit="1" customWidth="1"/>
    <col min="117" max="117" width="11.1640625" bestFit="1" customWidth="1"/>
    <col min="118" max="121" width="12.1640625" bestFit="1" customWidth="1"/>
    <col min="122" max="122" width="10.83203125" bestFit="1" customWidth="1"/>
    <col min="123" max="123" width="13.33203125" bestFit="1" customWidth="1"/>
    <col min="124" max="124" width="20.5" bestFit="1" customWidth="1"/>
    <col min="125" max="125" width="14.33203125" bestFit="1" customWidth="1"/>
    <col min="126" max="126" width="21.6640625" bestFit="1" customWidth="1"/>
    <col min="127" max="127" width="14.33203125" bestFit="1" customWidth="1"/>
    <col min="128" max="128" width="21.6640625" bestFit="1" customWidth="1"/>
    <col min="129" max="129" width="14.33203125" bestFit="1" customWidth="1"/>
    <col min="130" max="130" width="21.6640625" bestFit="1" customWidth="1"/>
    <col min="131" max="131" width="14.33203125" bestFit="1" customWidth="1"/>
    <col min="132" max="132" width="21.6640625" bestFit="1" customWidth="1"/>
    <col min="133" max="133" width="14.33203125" bestFit="1" customWidth="1"/>
    <col min="134" max="134" width="21.6640625" bestFit="1" customWidth="1"/>
    <col min="135" max="135" width="14.33203125" bestFit="1" customWidth="1"/>
    <col min="136" max="136" width="21.6640625" bestFit="1" customWidth="1"/>
    <col min="137" max="137" width="14.33203125" bestFit="1" customWidth="1"/>
    <col min="138" max="138" width="21.6640625" bestFit="1" customWidth="1"/>
    <col min="139" max="139" width="13.33203125" bestFit="1" customWidth="1"/>
    <col min="140" max="140" width="21.6640625" bestFit="1" customWidth="1"/>
    <col min="141" max="141" width="14.33203125" bestFit="1" customWidth="1"/>
    <col min="142" max="142" width="21.6640625" bestFit="1" customWidth="1"/>
    <col min="143" max="143" width="14.33203125" bestFit="1" customWidth="1"/>
    <col min="144" max="144" width="21.6640625" bestFit="1" customWidth="1"/>
    <col min="145" max="145" width="13.33203125" bestFit="1" customWidth="1"/>
    <col min="146" max="146" width="21.6640625" bestFit="1" customWidth="1"/>
    <col min="147" max="147" width="14.33203125" bestFit="1" customWidth="1"/>
    <col min="148" max="148" width="21.6640625" bestFit="1" customWidth="1"/>
    <col min="149" max="149" width="14.33203125" bestFit="1" customWidth="1"/>
    <col min="150" max="150" width="20.5" bestFit="1" customWidth="1"/>
    <col min="151" max="151" width="14.33203125" bestFit="1" customWidth="1"/>
    <col min="152" max="152" width="21.6640625" bestFit="1" customWidth="1"/>
    <col min="153" max="153" width="14.33203125" bestFit="1" customWidth="1"/>
    <col min="154" max="154" width="21.6640625" bestFit="1" customWidth="1"/>
    <col min="155" max="155" width="14.33203125" bestFit="1" customWidth="1"/>
    <col min="156" max="156" width="21.6640625" bestFit="1" customWidth="1"/>
    <col min="157" max="157" width="14.33203125" bestFit="1" customWidth="1"/>
    <col min="158" max="158" width="21.6640625" bestFit="1" customWidth="1"/>
    <col min="159" max="159" width="14.33203125" bestFit="1" customWidth="1"/>
    <col min="160" max="160" width="21.6640625" bestFit="1" customWidth="1"/>
    <col min="161" max="161" width="13.33203125" bestFit="1" customWidth="1"/>
    <col min="162" max="162" width="21.6640625" bestFit="1" customWidth="1"/>
    <col min="163" max="163" width="13.33203125" bestFit="1" customWidth="1"/>
    <col min="164" max="164" width="21.6640625" bestFit="1" customWidth="1"/>
    <col min="165" max="165" width="14.33203125" bestFit="1" customWidth="1"/>
    <col min="166" max="166" width="20.5" bestFit="1" customWidth="1"/>
    <col min="167" max="167" width="14.33203125" bestFit="1" customWidth="1"/>
    <col min="168" max="168" width="21.6640625" bestFit="1" customWidth="1"/>
    <col min="169" max="169" width="14.33203125" bestFit="1" customWidth="1"/>
    <col min="170" max="170" width="21.6640625" bestFit="1" customWidth="1"/>
    <col min="171" max="171" width="14.33203125" bestFit="1" customWidth="1"/>
    <col min="172" max="172" width="21.6640625" bestFit="1" customWidth="1"/>
    <col min="173" max="173" width="14.33203125" bestFit="1" customWidth="1"/>
    <col min="174" max="174" width="21.6640625" bestFit="1" customWidth="1"/>
    <col min="175" max="175" width="14.33203125" bestFit="1" customWidth="1"/>
    <col min="176" max="176" width="21.6640625" bestFit="1" customWidth="1"/>
    <col min="177" max="177" width="14.33203125" bestFit="1" customWidth="1"/>
    <col min="178" max="178" width="21.6640625" bestFit="1" customWidth="1"/>
    <col min="179" max="179" width="14.33203125" bestFit="1" customWidth="1"/>
    <col min="180" max="180" width="21.6640625" bestFit="1" customWidth="1"/>
    <col min="181" max="181" width="14.33203125" bestFit="1" customWidth="1"/>
    <col min="182" max="182" width="21.6640625" bestFit="1" customWidth="1"/>
    <col min="183" max="183" width="14.33203125" bestFit="1" customWidth="1"/>
    <col min="184" max="184" width="20.5" bestFit="1" customWidth="1"/>
    <col min="185" max="185" width="14.33203125" bestFit="1" customWidth="1"/>
    <col min="186" max="186" width="21.6640625" bestFit="1" customWidth="1"/>
    <col min="187" max="187" width="14.33203125" bestFit="1" customWidth="1"/>
    <col min="188" max="188" width="21.6640625" bestFit="1" customWidth="1"/>
    <col min="189" max="189" width="13.33203125" bestFit="1" customWidth="1"/>
    <col min="190" max="190" width="21.6640625" bestFit="1" customWidth="1"/>
    <col min="191" max="191" width="14.33203125" bestFit="1" customWidth="1"/>
    <col min="192" max="192" width="21.6640625" bestFit="1" customWidth="1"/>
    <col min="193" max="193" width="14.33203125" bestFit="1" customWidth="1"/>
    <col min="194" max="194" width="21.6640625" bestFit="1" customWidth="1"/>
    <col min="195" max="195" width="14.33203125" bestFit="1" customWidth="1"/>
    <col min="196" max="196" width="20.5" bestFit="1" customWidth="1"/>
    <col min="197" max="197" width="14.33203125" bestFit="1" customWidth="1"/>
    <col min="198" max="198" width="21.6640625" bestFit="1" customWidth="1"/>
    <col min="199" max="199" width="13.33203125" bestFit="1" customWidth="1"/>
    <col min="200" max="200" width="21.6640625" bestFit="1" customWidth="1"/>
    <col min="201" max="201" width="14.33203125" bestFit="1" customWidth="1"/>
    <col min="202" max="202" width="21.6640625" bestFit="1" customWidth="1"/>
    <col min="203" max="203" width="13.33203125" bestFit="1" customWidth="1"/>
    <col min="204" max="204" width="21.6640625" bestFit="1" customWidth="1"/>
    <col min="205" max="205" width="14.33203125" bestFit="1" customWidth="1"/>
    <col min="206" max="206" width="21.6640625" bestFit="1" customWidth="1"/>
    <col min="207" max="207" width="14.33203125" bestFit="1" customWidth="1"/>
    <col min="208" max="208" width="21.6640625" bestFit="1" customWidth="1"/>
    <col min="209" max="209" width="14.33203125" bestFit="1" customWidth="1"/>
    <col min="210" max="210" width="21.6640625" bestFit="1" customWidth="1"/>
    <col min="211" max="211" width="14.33203125" bestFit="1" customWidth="1"/>
    <col min="212" max="212" width="21.6640625" bestFit="1" customWidth="1"/>
    <col min="213" max="213" width="14.33203125" bestFit="1" customWidth="1"/>
    <col min="214" max="214" width="21.6640625" bestFit="1" customWidth="1"/>
    <col min="215" max="215" width="14.33203125" bestFit="1" customWidth="1"/>
    <col min="216" max="216" width="21.6640625" bestFit="1" customWidth="1"/>
    <col min="217" max="217" width="14.33203125" bestFit="1" customWidth="1"/>
    <col min="218" max="218" width="21.6640625" bestFit="1" customWidth="1"/>
    <col min="219" max="219" width="14.33203125" bestFit="1" customWidth="1"/>
    <col min="220" max="220" width="21.6640625" bestFit="1" customWidth="1"/>
  </cols>
  <sheetData>
    <row r="1" spans="1:114" x14ac:dyDescent="0.2">
      <c r="A1" s="6" t="s">
        <v>100</v>
      </c>
      <c r="B1" s="6"/>
      <c r="E1" s="7" t="s">
        <v>107</v>
      </c>
      <c r="F1" s="7"/>
      <c r="G1" s="7"/>
      <c r="H1" s="6" t="s">
        <v>57</v>
      </c>
      <c r="I1" s="9">
        <f ca="1">I123</f>
        <v>361930.4377132841</v>
      </c>
    </row>
    <row r="2" spans="1:114" ht="19" outlineLevel="1" x14ac:dyDescent="0.25">
      <c r="A2" t="s">
        <v>47</v>
      </c>
      <c r="B2">
        <v>4.4048999999999998E-2</v>
      </c>
      <c r="E2" s="6"/>
      <c r="F2" s="6"/>
      <c r="G2" s="6"/>
      <c r="H2" s="6" t="s">
        <v>182</v>
      </c>
      <c r="I2" s="72" t="s">
        <v>103</v>
      </c>
      <c r="K2" s="7" t="s">
        <v>52</v>
      </c>
      <c r="L2" s="7"/>
      <c r="N2" s="35" t="s">
        <v>113</v>
      </c>
      <c r="O2" s="35"/>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row>
    <row r="3" spans="1:114" ht="14" customHeight="1" outlineLevel="1" x14ac:dyDescent="0.2">
      <c r="A3" t="s">
        <v>46</v>
      </c>
      <c r="B3">
        <v>7.9109999999999996E-3</v>
      </c>
      <c r="E3" s="6" t="s">
        <v>5</v>
      </c>
      <c r="F3" s="6" t="s">
        <v>56</v>
      </c>
      <c r="G3" s="6" t="s">
        <v>49</v>
      </c>
      <c r="H3" s="6" t="s">
        <v>183</v>
      </c>
      <c r="I3" s="72"/>
      <c r="K3" s="6" t="s">
        <v>54</v>
      </c>
      <c r="L3" s="9">
        <f ca="1">AVERAGE(L5:L104)</f>
        <v>362409.08516249777</v>
      </c>
      <c r="N3" s="6"/>
      <c r="O3" s="6" t="s">
        <v>38</v>
      </c>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row>
    <row r="4" spans="1:114" outlineLevel="1" x14ac:dyDescent="0.2">
      <c r="A4" t="s">
        <v>45</v>
      </c>
      <c r="B4">
        <v>6.4770000000000001E-3</v>
      </c>
      <c r="E4" s="32">
        <v>44593</v>
      </c>
      <c r="F4" s="34" cm="1">
        <f t="array" ref="F4:F123">0.3*Table3[Monthly salary]</f>
        <v>1875</v>
      </c>
      <c r="G4" s="5">
        <f t="shared" ref="G4:G35" ca="1" si="0">_xlfn.NORM.INV(RAND(),0,Deltat)</f>
        <v>-2.3720224745813139E-2</v>
      </c>
      <c r="H4" s="5">
        <f>B6</f>
        <v>6.3870000000000003E-3</v>
      </c>
      <c r="I4" s="9">
        <f>EXP(B6*Deltat)*F4+F4</f>
        <v>3750.9982343815591</v>
      </c>
      <c r="K4" s="6" t="s">
        <v>38</v>
      </c>
      <c r="L4" s="6" t="s">
        <v>104</v>
      </c>
      <c r="N4" s="6" t="s">
        <v>5</v>
      </c>
      <c r="O4" s="6">
        <v>1</v>
      </c>
      <c r="P4" s="6">
        <v>2</v>
      </c>
      <c r="Q4" s="6">
        <v>3</v>
      </c>
      <c r="R4" s="6">
        <v>4</v>
      </c>
      <c r="S4" s="6">
        <v>5</v>
      </c>
      <c r="T4" s="6">
        <v>6</v>
      </c>
      <c r="U4" s="6">
        <v>7</v>
      </c>
      <c r="V4" s="6">
        <v>8</v>
      </c>
      <c r="W4" s="6">
        <v>9</v>
      </c>
      <c r="X4" s="6">
        <v>10</v>
      </c>
      <c r="Y4" s="6">
        <v>11</v>
      </c>
      <c r="Z4" s="6">
        <v>12</v>
      </c>
      <c r="AA4" s="6">
        <v>13</v>
      </c>
      <c r="AB4" s="6">
        <v>14</v>
      </c>
      <c r="AC4" s="6">
        <v>15</v>
      </c>
      <c r="AD4" s="6">
        <v>16</v>
      </c>
      <c r="AE4" s="6">
        <v>17</v>
      </c>
      <c r="AF4" s="6">
        <v>18</v>
      </c>
      <c r="AG4" s="6">
        <v>19</v>
      </c>
      <c r="AH4" s="6">
        <v>20</v>
      </c>
      <c r="AI4" s="6">
        <v>21</v>
      </c>
      <c r="AJ4" s="6">
        <v>22</v>
      </c>
      <c r="AK4" s="6">
        <v>23</v>
      </c>
      <c r="AL4" s="6">
        <v>24</v>
      </c>
      <c r="AM4" s="6">
        <v>25</v>
      </c>
      <c r="AN4" s="6">
        <v>26</v>
      </c>
      <c r="AO4" s="6">
        <v>27</v>
      </c>
      <c r="AP4" s="6">
        <v>28</v>
      </c>
      <c r="AQ4" s="6">
        <v>29</v>
      </c>
      <c r="AR4" s="6">
        <v>30</v>
      </c>
      <c r="AS4" s="6">
        <v>31</v>
      </c>
      <c r="AT4" s="6">
        <v>32</v>
      </c>
      <c r="AU4" s="6">
        <v>33</v>
      </c>
      <c r="AV4" s="6">
        <v>34</v>
      </c>
      <c r="AW4" s="6">
        <v>35</v>
      </c>
      <c r="AX4" s="6">
        <v>36</v>
      </c>
      <c r="AY4" s="6">
        <v>37</v>
      </c>
      <c r="AZ4" s="6">
        <v>38</v>
      </c>
      <c r="BA4" s="6">
        <v>39</v>
      </c>
      <c r="BB4" s="6">
        <v>40</v>
      </c>
      <c r="BC4" s="6">
        <v>41</v>
      </c>
      <c r="BD4" s="6">
        <v>42</v>
      </c>
      <c r="BE4" s="6">
        <v>43</v>
      </c>
      <c r="BF4" s="6">
        <v>44</v>
      </c>
      <c r="BG4" s="6">
        <v>45</v>
      </c>
      <c r="BH4" s="6">
        <v>46</v>
      </c>
      <c r="BI4" s="6">
        <v>47</v>
      </c>
      <c r="BJ4" s="6">
        <v>48</v>
      </c>
      <c r="BK4" s="6">
        <v>49</v>
      </c>
      <c r="BL4" s="6">
        <v>50</v>
      </c>
      <c r="BM4" s="6">
        <v>51</v>
      </c>
      <c r="BN4" s="6">
        <v>52</v>
      </c>
      <c r="BO4" s="6">
        <v>53</v>
      </c>
      <c r="BP4" s="6">
        <v>54</v>
      </c>
      <c r="BQ4" s="6">
        <v>55</v>
      </c>
      <c r="BR4" s="6">
        <v>56</v>
      </c>
      <c r="BS4" s="6">
        <v>57</v>
      </c>
      <c r="BT4" s="6">
        <v>58</v>
      </c>
      <c r="BU4" s="6">
        <v>59</v>
      </c>
      <c r="BV4" s="6">
        <v>60</v>
      </c>
      <c r="BW4" s="6">
        <v>61</v>
      </c>
      <c r="BX4" s="6">
        <v>62</v>
      </c>
      <c r="BY4" s="6">
        <v>63</v>
      </c>
      <c r="BZ4" s="6">
        <v>64</v>
      </c>
      <c r="CA4" s="6">
        <v>65</v>
      </c>
      <c r="CB4" s="6">
        <v>66</v>
      </c>
      <c r="CC4" s="6">
        <v>67</v>
      </c>
      <c r="CD4" s="6">
        <v>68</v>
      </c>
      <c r="CE4" s="6">
        <v>69</v>
      </c>
      <c r="CF4" s="6">
        <v>70</v>
      </c>
      <c r="CG4" s="6">
        <v>71</v>
      </c>
      <c r="CH4" s="6">
        <v>72</v>
      </c>
      <c r="CI4" s="6">
        <v>73</v>
      </c>
      <c r="CJ4" s="6">
        <v>74</v>
      </c>
      <c r="CK4" s="6">
        <v>75</v>
      </c>
      <c r="CL4" s="6">
        <v>76</v>
      </c>
      <c r="CM4" s="6">
        <v>77</v>
      </c>
      <c r="CN4" s="6">
        <v>78</v>
      </c>
      <c r="CO4" s="6">
        <v>79</v>
      </c>
      <c r="CP4" s="6">
        <v>80</v>
      </c>
      <c r="CQ4" s="6">
        <v>81</v>
      </c>
      <c r="CR4" s="6">
        <v>82</v>
      </c>
      <c r="CS4" s="6">
        <v>83</v>
      </c>
      <c r="CT4" s="6">
        <v>84</v>
      </c>
      <c r="CU4" s="6">
        <v>85</v>
      </c>
      <c r="CV4" s="6">
        <v>86</v>
      </c>
      <c r="CW4" s="6">
        <v>87</v>
      </c>
      <c r="CX4" s="6">
        <v>88</v>
      </c>
      <c r="CY4" s="6">
        <v>89</v>
      </c>
      <c r="CZ4" s="6">
        <v>90</v>
      </c>
      <c r="DA4" s="6">
        <v>91</v>
      </c>
      <c r="DB4" s="6">
        <v>92</v>
      </c>
      <c r="DC4" s="6">
        <v>93</v>
      </c>
      <c r="DD4" s="6">
        <v>94</v>
      </c>
      <c r="DE4" s="6">
        <v>95</v>
      </c>
      <c r="DF4" s="6">
        <v>96</v>
      </c>
      <c r="DG4" s="6">
        <v>97</v>
      </c>
      <c r="DH4" s="6">
        <v>98</v>
      </c>
      <c r="DI4" s="6">
        <v>99</v>
      </c>
      <c r="DJ4" s="6">
        <v>100</v>
      </c>
    </row>
    <row r="5" spans="1:114" outlineLevel="1" x14ac:dyDescent="0.2">
      <c r="A5" t="s">
        <v>44</v>
      </c>
      <c r="B5">
        <f>1/12</f>
        <v>8.3333333333333329E-2</v>
      </c>
      <c r="E5" s="32">
        <v>44621</v>
      </c>
      <c r="F5" s="9">
        <v>1875</v>
      </c>
      <c r="G5" s="5">
        <f t="shared" ca="1" si="0"/>
        <v>9.2866865213039398E-3</v>
      </c>
      <c r="H5" s="5">
        <f t="shared" ref="H5:H36" ca="1" si="1">H4+Kappa*(Theta-H4)*Deltat+Sigma*SQRT(H4)*G4</f>
        <v>6.3803158406076609E-3</v>
      </c>
      <c r="I5" s="9">
        <f t="shared" ref="I5:I36" ca="1" si="2">EXP(H5*Deltat)*I4+F5</f>
        <v>5627.9931441287335</v>
      </c>
      <c r="K5" s="6">
        <v>1</v>
      </c>
      <c r="L5" s="9">
        <f ca="1">$I$1</f>
        <v>361930.4377132841</v>
      </c>
      <c r="N5" s="32">
        <v>44593</v>
      </c>
      <c r="O5" s="5">
        <f>$B$6</f>
        <v>6.3870000000000003E-3</v>
      </c>
      <c r="P5" s="5">
        <f t="shared" ref="P5:CA5" si="3">$B$6</f>
        <v>6.3870000000000003E-3</v>
      </c>
      <c r="Q5" s="5">
        <f t="shared" si="3"/>
        <v>6.3870000000000003E-3</v>
      </c>
      <c r="R5" s="5">
        <f t="shared" si="3"/>
        <v>6.3870000000000003E-3</v>
      </c>
      <c r="S5" s="5">
        <f t="shared" si="3"/>
        <v>6.3870000000000003E-3</v>
      </c>
      <c r="T5" s="5">
        <f t="shared" si="3"/>
        <v>6.3870000000000003E-3</v>
      </c>
      <c r="U5" s="5">
        <f t="shared" si="3"/>
        <v>6.3870000000000003E-3</v>
      </c>
      <c r="V5" s="5">
        <f t="shared" si="3"/>
        <v>6.3870000000000003E-3</v>
      </c>
      <c r="W5" s="5">
        <f t="shared" si="3"/>
        <v>6.3870000000000003E-3</v>
      </c>
      <c r="X5" s="5">
        <f t="shared" si="3"/>
        <v>6.3870000000000003E-3</v>
      </c>
      <c r="Y5" s="5">
        <f t="shared" si="3"/>
        <v>6.3870000000000003E-3</v>
      </c>
      <c r="Z5" s="5">
        <f t="shared" si="3"/>
        <v>6.3870000000000003E-3</v>
      </c>
      <c r="AA5" s="5">
        <f t="shared" si="3"/>
        <v>6.3870000000000003E-3</v>
      </c>
      <c r="AB5" s="5">
        <f t="shared" si="3"/>
        <v>6.3870000000000003E-3</v>
      </c>
      <c r="AC5" s="5">
        <f t="shared" si="3"/>
        <v>6.3870000000000003E-3</v>
      </c>
      <c r="AD5" s="5">
        <f t="shared" si="3"/>
        <v>6.3870000000000003E-3</v>
      </c>
      <c r="AE5" s="5">
        <f t="shared" si="3"/>
        <v>6.3870000000000003E-3</v>
      </c>
      <c r="AF5" s="5">
        <f t="shared" si="3"/>
        <v>6.3870000000000003E-3</v>
      </c>
      <c r="AG5" s="5">
        <f t="shared" si="3"/>
        <v>6.3870000000000003E-3</v>
      </c>
      <c r="AH5" s="5">
        <f t="shared" si="3"/>
        <v>6.3870000000000003E-3</v>
      </c>
      <c r="AI5" s="5">
        <f t="shared" si="3"/>
        <v>6.3870000000000003E-3</v>
      </c>
      <c r="AJ5" s="5">
        <f t="shared" si="3"/>
        <v>6.3870000000000003E-3</v>
      </c>
      <c r="AK5" s="5">
        <f t="shared" si="3"/>
        <v>6.3870000000000003E-3</v>
      </c>
      <c r="AL5" s="5">
        <f t="shared" si="3"/>
        <v>6.3870000000000003E-3</v>
      </c>
      <c r="AM5" s="5">
        <f t="shared" si="3"/>
        <v>6.3870000000000003E-3</v>
      </c>
      <c r="AN5" s="5">
        <f t="shared" si="3"/>
        <v>6.3870000000000003E-3</v>
      </c>
      <c r="AO5" s="5">
        <f t="shared" si="3"/>
        <v>6.3870000000000003E-3</v>
      </c>
      <c r="AP5" s="5">
        <f t="shared" si="3"/>
        <v>6.3870000000000003E-3</v>
      </c>
      <c r="AQ5" s="5">
        <f t="shared" si="3"/>
        <v>6.3870000000000003E-3</v>
      </c>
      <c r="AR5" s="5">
        <f t="shared" si="3"/>
        <v>6.3870000000000003E-3</v>
      </c>
      <c r="AS5" s="5">
        <f t="shared" si="3"/>
        <v>6.3870000000000003E-3</v>
      </c>
      <c r="AT5" s="5">
        <f t="shared" si="3"/>
        <v>6.3870000000000003E-3</v>
      </c>
      <c r="AU5" s="5">
        <f t="shared" si="3"/>
        <v>6.3870000000000003E-3</v>
      </c>
      <c r="AV5" s="5">
        <f t="shared" si="3"/>
        <v>6.3870000000000003E-3</v>
      </c>
      <c r="AW5" s="5">
        <f t="shared" si="3"/>
        <v>6.3870000000000003E-3</v>
      </c>
      <c r="AX5" s="5">
        <f t="shared" si="3"/>
        <v>6.3870000000000003E-3</v>
      </c>
      <c r="AY5" s="5">
        <f t="shared" si="3"/>
        <v>6.3870000000000003E-3</v>
      </c>
      <c r="AZ5" s="5">
        <f t="shared" si="3"/>
        <v>6.3870000000000003E-3</v>
      </c>
      <c r="BA5" s="5">
        <f t="shared" si="3"/>
        <v>6.3870000000000003E-3</v>
      </c>
      <c r="BB5" s="5">
        <f t="shared" si="3"/>
        <v>6.3870000000000003E-3</v>
      </c>
      <c r="BC5" s="5">
        <f t="shared" si="3"/>
        <v>6.3870000000000003E-3</v>
      </c>
      <c r="BD5" s="5">
        <f t="shared" si="3"/>
        <v>6.3870000000000003E-3</v>
      </c>
      <c r="BE5" s="5">
        <f t="shared" si="3"/>
        <v>6.3870000000000003E-3</v>
      </c>
      <c r="BF5" s="5">
        <f t="shared" si="3"/>
        <v>6.3870000000000003E-3</v>
      </c>
      <c r="BG5" s="5">
        <f t="shared" si="3"/>
        <v>6.3870000000000003E-3</v>
      </c>
      <c r="BH5" s="5">
        <f t="shared" si="3"/>
        <v>6.3870000000000003E-3</v>
      </c>
      <c r="BI5" s="5">
        <f t="shared" si="3"/>
        <v>6.3870000000000003E-3</v>
      </c>
      <c r="BJ5" s="5">
        <f t="shared" si="3"/>
        <v>6.3870000000000003E-3</v>
      </c>
      <c r="BK5" s="5">
        <f t="shared" si="3"/>
        <v>6.3870000000000003E-3</v>
      </c>
      <c r="BL5" s="5">
        <f t="shared" si="3"/>
        <v>6.3870000000000003E-3</v>
      </c>
      <c r="BM5" s="5">
        <f t="shared" si="3"/>
        <v>6.3870000000000003E-3</v>
      </c>
      <c r="BN5" s="5">
        <f t="shared" si="3"/>
        <v>6.3870000000000003E-3</v>
      </c>
      <c r="BO5" s="5">
        <f t="shared" si="3"/>
        <v>6.3870000000000003E-3</v>
      </c>
      <c r="BP5" s="5">
        <f t="shared" si="3"/>
        <v>6.3870000000000003E-3</v>
      </c>
      <c r="BQ5" s="5">
        <f t="shared" si="3"/>
        <v>6.3870000000000003E-3</v>
      </c>
      <c r="BR5" s="5">
        <f t="shared" si="3"/>
        <v>6.3870000000000003E-3</v>
      </c>
      <c r="BS5" s="5">
        <f t="shared" si="3"/>
        <v>6.3870000000000003E-3</v>
      </c>
      <c r="BT5" s="5">
        <f t="shared" si="3"/>
        <v>6.3870000000000003E-3</v>
      </c>
      <c r="BU5" s="5">
        <f t="shared" si="3"/>
        <v>6.3870000000000003E-3</v>
      </c>
      <c r="BV5" s="5">
        <f t="shared" si="3"/>
        <v>6.3870000000000003E-3</v>
      </c>
      <c r="BW5" s="5">
        <f t="shared" si="3"/>
        <v>6.3870000000000003E-3</v>
      </c>
      <c r="BX5" s="5">
        <f t="shared" si="3"/>
        <v>6.3870000000000003E-3</v>
      </c>
      <c r="BY5" s="5">
        <f t="shared" si="3"/>
        <v>6.3870000000000003E-3</v>
      </c>
      <c r="BZ5" s="5">
        <f t="shared" si="3"/>
        <v>6.3870000000000003E-3</v>
      </c>
      <c r="CA5" s="5">
        <f t="shared" si="3"/>
        <v>6.3870000000000003E-3</v>
      </c>
      <c r="CB5" s="5">
        <f t="shared" ref="CB5:DJ5" si="4">$B$6</f>
        <v>6.3870000000000003E-3</v>
      </c>
      <c r="CC5" s="5">
        <f t="shared" si="4"/>
        <v>6.3870000000000003E-3</v>
      </c>
      <c r="CD5" s="5">
        <f t="shared" si="4"/>
        <v>6.3870000000000003E-3</v>
      </c>
      <c r="CE5" s="5">
        <f t="shared" si="4"/>
        <v>6.3870000000000003E-3</v>
      </c>
      <c r="CF5" s="5">
        <f t="shared" si="4"/>
        <v>6.3870000000000003E-3</v>
      </c>
      <c r="CG5" s="5">
        <f t="shared" si="4"/>
        <v>6.3870000000000003E-3</v>
      </c>
      <c r="CH5" s="5">
        <f t="shared" si="4"/>
        <v>6.3870000000000003E-3</v>
      </c>
      <c r="CI5" s="5">
        <f t="shared" si="4"/>
        <v>6.3870000000000003E-3</v>
      </c>
      <c r="CJ5" s="5">
        <f t="shared" si="4"/>
        <v>6.3870000000000003E-3</v>
      </c>
      <c r="CK5" s="5">
        <f t="shared" si="4"/>
        <v>6.3870000000000003E-3</v>
      </c>
      <c r="CL5" s="5">
        <f t="shared" si="4"/>
        <v>6.3870000000000003E-3</v>
      </c>
      <c r="CM5" s="5">
        <f t="shared" si="4"/>
        <v>6.3870000000000003E-3</v>
      </c>
      <c r="CN5" s="5">
        <f t="shared" si="4"/>
        <v>6.3870000000000003E-3</v>
      </c>
      <c r="CO5" s="5">
        <f t="shared" si="4"/>
        <v>6.3870000000000003E-3</v>
      </c>
      <c r="CP5" s="5">
        <f t="shared" si="4"/>
        <v>6.3870000000000003E-3</v>
      </c>
      <c r="CQ5" s="5">
        <f t="shared" si="4"/>
        <v>6.3870000000000003E-3</v>
      </c>
      <c r="CR5" s="5">
        <f t="shared" si="4"/>
        <v>6.3870000000000003E-3</v>
      </c>
      <c r="CS5" s="5">
        <f t="shared" si="4"/>
        <v>6.3870000000000003E-3</v>
      </c>
      <c r="CT5" s="5">
        <f t="shared" si="4"/>
        <v>6.3870000000000003E-3</v>
      </c>
      <c r="CU5" s="5">
        <f t="shared" si="4"/>
        <v>6.3870000000000003E-3</v>
      </c>
      <c r="CV5" s="5">
        <f t="shared" si="4"/>
        <v>6.3870000000000003E-3</v>
      </c>
      <c r="CW5" s="5">
        <f t="shared" si="4"/>
        <v>6.3870000000000003E-3</v>
      </c>
      <c r="CX5" s="5">
        <f t="shared" si="4"/>
        <v>6.3870000000000003E-3</v>
      </c>
      <c r="CY5" s="5">
        <f t="shared" si="4"/>
        <v>6.3870000000000003E-3</v>
      </c>
      <c r="CZ5" s="5">
        <f t="shared" si="4"/>
        <v>6.3870000000000003E-3</v>
      </c>
      <c r="DA5" s="5">
        <f t="shared" si="4"/>
        <v>6.3870000000000003E-3</v>
      </c>
      <c r="DB5" s="5">
        <f t="shared" si="4"/>
        <v>6.3870000000000003E-3</v>
      </c>
      <c r="DC5" s="5">
        <f t="shared" si="4"/>
        <v>6.3870000000000003E-3</v>
      </c>
      <c r="DD5" s="5">
        <f t="shared" si="4"/>
        <v>6.3870000000000003E-3</v>
      </c>
      <c r="DE5" s="5">
        <f t="shared" si="4"/>
        <v>6.3870000000000003E-3</v>
      </c>
      <c r="DF5" s="5">
        <f t="shared" si="4"/>
        <v>6.3870000000000003E-3</v>
      </c>
      <c r="DG5" s="5">
        <f t="shared" si="4"/>
        <v>6.3870000000000003E-3</v>
      </c>
      <c r="DH5" s="5">
        <f t="shared" si="4"/>
        <v>6.3870000000000003E-3</v>
      </c>
      <c r="DI5" s="5">
        <f t="shared" si="4"/>
        <v>6.3870000000000003E-3</v>
      </c>
      <c r="DJ5" s="5">
        <f t="shared" si="4"/>
        <v>6.3870000000000003E-3</v>
      </c>
    </row>
    <row r="6" spans="1:114" outlineLevel="1" x14ac:dyDescent="0.2">
      <c r="A6" t="s">
        <v>48</v>
      </c>
      <c r="B6">
        <v>6.3870000000000003E-3</v>
      </c>
      <c r="E6" s="32">
        <v>44652</v>
      </c>
      <c r="F6" s="9">
        <v>1875</v>
      </c>
      <c r="G6" s="5">
        <f t="shared" ca="1" si="0"/>
        <v>0.21063109209818456</v>
      </c>
      <c r="H6" s="5">
        <f t="shared" ca="1" si="1"/>
        <v>6.3907391832774057E-3</v>
      </c>
      <c r="I6" s="9">
        <f t="shared" ca="1" si="2"/>
        <v>7505.9911954071476</v>
      </c>
      <c r="K6" s="6">
        <v>2</v>
      </c>
      <c r="L6" s="5">
        <f t="dataTable" ref="L6:L104" dt2D="0" dtr="0" r1="L2" ca="1"/>
        <v>362158.28543363727</v>
      </c>
      <c r="N6" s="32">
        <v>44621</v>
      </c>
      <c r="O6" s="5">
        <f t="shared" ref="O6:O37" ca="1" si="5">O5+Kappa*(Theta-O5)*Deltat+Sigma*SQRT(O5)*_xlfn.NORM.INV(RAND(),0,Deltat)</f>
        <v>6.4646267254265298E-3</v>
      </c>
      <c r="P6" s="5">
        <f t="shared" ref="P6:P37" ca="1" si="6">P5+Kappa*(Theta-P5)*Deltat+Sigma*SQRT(P5)*_xlfn.NORM.INV(RAND(),0,Deltat)</f>
        <v>6.4336240482610833E-3</v>
      </c>
      <c r="Q6" s="5">
        <f t="shared" ref="Q6:Q37" ca="1" si="7">Q5+Kappa*(Theta-Q5)*Deltat+Sigma*SQRT(Q5)*_xlfn.NORM.INV(RAND(),0,Deltat)</f>
        <v>6.4379783631594578E-3</v>
      </c>
      <c r="R6" s="5">
        <f t="shared" ref="R6:R37" ca="1" si="8">R5+Kappa*(Theta-R5)*Deltat+Sigma*SQRT(R5)*_xlfn.NORM.INV(RAND(),0,Deltat)</f>
        <v>6.425768526372104E-3</v>
      </c>
      <c r="S6" s="5">
        <f t="shared" ref="S6:S37" ca="1" si="9">S5+Kappa*(Theta-S5)*Deltat+Sigma*SQRT(S5)*_xlfn.NORM.INV(RAND(),0,Deltat)</f>
        <v>6.3793696096408579E-3</v>
      </c>
      <c r="T6" s="5">
        <f t="shared" ref="T6:T37" ca="1" si="10">T5+Kappa*(Theta-T5)*Deltat+Sigma*SQRT(T5)*_xlfn.NORM.INV(RAND(),0,Deltat)</f>
        <v>6.3823089124268335E-3</v>
      </c>
      <c r="U6" s="5">
        <f t="shared" ref="U6:U37" ca="1" si="11">U5+Kappa*(Theta-U5)*Deltat+Sigma*SQRT(U5)*_xlfn.NORM.INV(RAND(),0,Deltat)</f>
        <v>6.3847735915618089E-3</v>
      </c>
      <c r="V6" s="5">
        <f t="shared" ref="V6:V37" ca="1" si="12">V5+Kappa*(Theta-V5)*Deltat+Sigma*SQRT(V5)*_xlfn.NORM.INV(RAND(),0,Deltat)</f>
        <v>6.445645641219383E-3</v>
      </c>
      <c r="W6" s="5">
        <f t="shared" ref="W6:W37" ca="1" si="13">W5+Kappa*(Theta-W5)*Deltat+Sigma*SQRT(W5)*_xlfn.NORM.INV(RAND(),0,Deltat)</f>
        <v>6.3910072497929873E-3</v>
      </c>
      <c r="X6" s="5">
        <f t="shared" ref="X6:X37" ca="1" si="14">X5+Kappa*(Theta-X5)*Deltat+Sigma*SQRT(X5)*_xlfn.NORM.INV(RAND(),0,Deltat)</f>
        <v>6.4037616491305288E-3</v>
      </c>
      <c r="Y6" s="5">
        <f t="shared" ref="Y6:Y37" ca="1" si="15">Y5+Kappa*(Theta-Y5)*Deltat+Sigma*SQRT(Y5)*_xlfn.NORM.INV(RAND(),0,Deltat)</f>
        <v>6.3944134678165562E-3</v>
      </c>
      <c r="Z6" s="5">
        <f t="shared" ref="Z6:Z37" ca="1" si="16">Z5+Kappa*(Theta-Z5)*Deltat+Sigma*SQRT(Z5)*_xlfn.NORM.INV(RAND(),0,Deltat)</f>
        <v>6.4471546238913224E-3</v>
      </c>
      <c r="AA6" s="5">
        <f t="shared" ref="AA6:AA37" ca="1" si="17">AA5+Kappa*(Theta-AA5)*Deltat+Sigma*SQRT(AA5)*_xlfn.NORM.INV(RAND(),0,Deltat)</f>
        <v>6.4553270632834283E-3</v>
      </c>
      <c r="AB6" s="5">
        <f t="shared" ref="AB6:AB37" ca="1" si="18">AB5+Kappa*(Theta-AB5)*Deltat+Sigma*SQRT(AB5)*_xlfn.NORM.INV(RAND(),0,Deltat)</f>
        <v>6.4729843260229111E-3</v>
      </c>
      <c r="AC6" s="5">
        <f t="shared" ref="AC6:AC37" ca="1" si="19">AC5+Kappa*(Theta-AC5)*Deltat+Sigma*SQRT(AC5)*_xlfn.NORM.INV(RAND(),0,Deltat)</f>
        <v>6.3882329313956782E-3</v>
      </c>
      <c r="AD6" s="5">
        <f t="shared" ref="AD6:AD37" ca="1" si="20">AD5+Kappa*(Theta-AD5)*Deltat+Sigma*SQRT(AD5)*_xlfn.NORM.INV(RAND(),0,Deltat)</f>
        <v>6.4156667389050504E-3</v>
      </c>
      <c r="AE6" s="5">
        <f t="shared" ref="AE6:AE37" ca="1" si="21">AE5+Kappa*(Theta-AE5)*Deltat+Sigma*SQRT(AE5)*_xlfn.NORM.INV(RAND(),0,Deltat)</f>
        <v>6.4049827423977796E-3</v>
      </c>
      <c r="AF6" s="5">
        <f t="shared" ref="AF6:AF37" ca="1" si="22">AF5+Kappa*(Theta-AF5)*Deltat+Sigma*SQRT(AF5)*_xlfn.NORM.INV(RAND(),0,Deltat)</f>
        <v>6.4361754889539812E-3</v>
      </c>
      <c r="AG6" s="5">
        <f t="shared" ref="AG6:AG37" ca="1" si="23">AG5+Kappa*(Theta-AG5)*Deltat+Sigma*SQRT(AG5)*_xlfn.NORM.INV(RAND(),0,Deltat)</f>
        <v>6.3320876845289944E-3</v>
      </c>
      <c r="AH6" s="5">
        <f t="shared" ref="AH6:AH37" ca="1" si="24">AH5+Kappa*(Theta-AH5)*Deltat+Sigma*SQRT(AH5)*_xlfn.NORM.INV(RAND(),0,Deltat)</f>
        <v>6.3744687764841776E-3</v>
      </c>
      <c r="AI6" s="5">
        <f t="shared" ref="AI6:AI37" ca="1" si="25">AI5+Kappa*(Theta-AI5)*Deltat+Sigma*SQRT(AI5)*_xlfn.NORM.INV(RAND(),0,Deltat)</f>
        <v>6.4041893528481381E-3</v>
      </c>
      <c r="AJ6" s="5">
        <f t="shared" ref="AJ6:AJ37" ca="1" si="26">AJ5+Kappa*(Theta-AJ5)*Deltat+Sigma*SQRT(AJ5)*_xlfn.NORM.INV(RAND(),0,Deltat)</f>
        <v>6.4142218646977122E-3</v>
      </c>
      <c r="AK6" s="5">
        <f t="shared" ref="AK6:AK37" ca="1" si="27">AK5+Kappa*(Theta-AK5)*Deltat+Sigma*SQRT(AK5)*_xlfn.NORM.INV(RAND(),0,Deltat)</f>
        <v>6.4105275127394196E-3</v>
      </c>
      <c r="AL6" s="5">
        <f t="shared" ref="AL6:AL37" ca="1" si="28">AL5+Kappa*(Theta-AL5)*Deltat+Sigma*SQRT(AL5)*_xlfn.NORM.INV(RAND(),0,Deltat)</f>
        <v>6.3634929404118769E-3</v>
      </c>
      <c r="AM6" s="5">
        <f t="shared" ref="AM6:AM37" ca="1" si="29">AM5+Kappa*(Theta-AM5)*Deltat+Sigma*SQRT(AM5)*_xlfn.NORM.INV(RAND(),0,Deltat)</f>
        <v>6.334765008520437E-3</v>
      </c>
      <c r="AN6" s="5">
        <f t="shared" ref="AN6:AN37" ca="1" si="30">AN5+Kappa*(Theta-AN5)*Deltat+Sigma*SQRT(AN5)*_xlfn.NORM.INV(RAND(),0,Deltat)</f>
        <v>6.4183642041594283E-3</v>
      </c>
      <c r="AO6" s="5">
        <f t="shared" ref="AO6:AO37" ca="1" si="31">AO5+Kappa*(Theta-AO5)*Deltat+Sigma*SQRT(AO5)*_xlfn.NORM.INV(RAND(),0,Deltat)</f>
        <v>6.4420376306860497E-3</v>
      </c>
      <c r="AP6" s="5">
        <f t="shared" ref="AP6:AP37" ca="1" si="32">AP5+Kappa*(Theta-AP5)*Deltat+Sigma*SQRT(AP5)*_xlfn.NORM.INV(RAND(),0,Deltat)</f>
        <v>6.3654174490395243E-3</v>
      </c>
      <c r="AQ6" s="5">
        <f t="shared" ref="AQ6:AQ37" ca="1" si="33">AQ5+Kappa*(Theta-AQ5)*Deltat+Sigma*SQRT(AQ5)*_xlfn.NORM.INV(RAND(),0,Deltat)</f>
        <v>6.3688024820460635E-3</v>
      </c>
      <c r="AR6" s="5">
        <f t="shared" ref="AR6:AR37" ca="1" si="34">AR5+Kappa*(Theta-AR5)*Deltat+Sigma*SQRT(AR5)*_xlfn.NORM.INV(RAND(),0,Deltat)</f>
        <v>6.4235939843123729E-3</v>
      </c>
      <c r="AS6" s="5">
        <f t="shared" ref="AS6:AS37" ca="1" si="35">AS5+Kappa*(Theta-AS5)*Deltat+Sigma*SQRT(AS5)*_xlfn.NORM.INV(RAND(),0,Deltat)</f>
        <v>6.4233121588084651E-3</v>
      </c>
      <c r="AT6" s="5">
        <f t="shared" ref="AT6:AT37" ca="1" si="36">AT5+Kappa*(Theta-AT5)*Deltat+Sigma*SQRT(AT5)*_xlfn.NORM.INV(RAND(),0,Deltat)</f>
        <v>6.3762787204739036E-3</v>
      </c>
      <c r="AU6" s="5">
        <f t="shared" ref="AU6:AU37" ca="1" si="37">AU5+Kappa*(Theta-AU5)*Deltat+Sigma*SQRT(AU5)*_xlfn.NORM.INV(RAND(),0,Deltat)</f>
        <v>6.3550839049642954E-3</v>
      </c>
      <c r="AV6" s="5">
        <f t="shared" ref="AV6:AV37" ca="1" si="38">AV5+Kappa*(Theta-AV5)*Deltat+Sigma*SQRT(AV5)*_xlfn.NORM.INV(RAND(),0,Deltat)</f>
        <v>6.3347923168578461E-3</v>
      </c>
      <c r="AW6" s="5">
        <f t="shared" ref="AW6:AW37" ca="1" si="39">AW5+Kappa*(Theta-AW5)*Deltat+Sigma*SQRT(AW5)*_xlfn.NORM.INV(RAND(),0,Deltat)</f>
        <v>6.4127794622098029E-3</v>
      </c>
      <c r="AX6" s="5">
        <f t="shared" ref="AX6:AX37" ca="1" si="40">AX5+Kappa*(Theta-AX5)*Deltat+Sigma*SQRT(AX5)*_xlfn.NORM.INV(RAND(),0,Deltat)</f>
        <v>6.3761519857346667E-3</v>
      </c>
      <c r="AY6" s="5">
        <f t="shared" ref="AY6:AY37" ca="1" si="41">AY5+Kappa*(Theta-AY5)*Deltat+Sigma*SQRT(AY5)*_xlfn.NORM.INV(RAND(),0,Deltat)</f>
        <v>6.3237573539673322E-3</v>
      </c>
      <c r="AZ6" s="5">
        <f t="shared" ref="AZ6:AZ37" ca="1" si="42">AZ5+Kappa*(Theta-AZ5)*Deltat+Sigma*SQRT(AZ5)*_xlfn.NORM.INV(RAND(),0,Deltat)</f>
        <v>6.3739987031745573E-3</v>
      </c>
      <c r="BA6" s="5">
        <f t="shared" ref="BA6:BA37" ca="1" si="43">BA5+Kappa*(Theta-BA5)*Deltat+Sigma*SQRT(BA5)*_xlfn.NORM.INV(RAND(),0,Deltat)</f>
        <v>6.4591627227596413E-3</v>
      </c>
      <c r="BB6" s="5">
        <f t="shared" ref="BB6:BB37" ca="1" si="44">BB5+Kappa*(Theta-BB5)*Deltat+Sigma*SQRT(BB5)*_xlfn.NORM.INV(RAND(),0,Deltat)</f>
        <v>6.3705517243188049E-3</v>
      </c>
      <c r="BC6" s="5">
        <f t="shared" ref="BC6:BC37" ca="1" si="45">BC5+Kappa*(Theta-BC5)*Deltat+Sigma*SQRT(BC5)*_xlfn.NORM.INV(RAND(),0,Deltat)</f>
        <v>6.3498959513784174E-3</v>
      </c>
      <c r="BD6" s="5">
        <f t="shared" ref="BD6:BD37" ca="1" si="46">BD5+Kappa*(Theta-BD5)*Deltat+Sigma*SQRT(BD5)*_xlfn.NORM.INV(RAND(),0,Deltat)</f>
        <v>6.4474739919441193E-3</v>
      </c>
      <c r="BE6" s="5">
        <f t="shared" ref="BE6:BE37" ca="1" si="47">BE5+Kappa*(Theta-BE5)*Deltat+Sigma*SQRT(BE5)*_xlfn.NORM.INV(RAND(),0,Deltat)</f>
        <v>6.3775524675162547E-3</v>
      </c>
      <c r="BF6" s="5">
        <f t="shared" ref="BF6:BF37" ca="1" si="48">BF5+Kappa*(Theta-BF5)*Deltat+Sigma*SQRT(BF5)*_xlfn.NORM.INV(RAND(),0,Deltat)</f>
        <v>6.3791069742426144E-3</v>
      </c>
      <c r="BG6" s="5">
        <f t="shared" ref="BG6:BG37" ca="1" si="49">BG5+Kappa*(Theta-BG5)*Deltat+Sigma*SQRT(BG5)*_xlfn.NORM.INV(RAND(),0,Deltat)</f>
        <v>6.441047349469509E-3</v>
      </c>
      <c r="BH6" s="5">
        <f t="shared" ref="BH6:BH37" ca="1" si="50">BH5+Kappa*(Theta-BH5)*Deltat+Sigma*SQRT(BH5)*_xlfn.NORM.INV(RAND(),0,Deltat)</f>
        <v>6.4020104398786783E-3</v>
      </c>
      <c r="BI6" s="5">
        <f t="shared" ref="BI6:BI37" ca="1" si="51">BI5+Kappa*(Theta-BI5)*Deltat+Sigma*SQRT(BI5)*_xlfn.NORM.INV(RAND(),0,Deltat)</f>
        <v>6.3871290175984644E-3</v>
      </c>
      <c r="BJ6" s="5">
        <f t="shared" ref="BJ6:BJ37" ca="1" si="52">BJ5+Kappa*(Theta-BJ5)*Deltat+Sigma*SQRT(BJ5)*_xlfn.NORM.INV(RAND(),0,Deltat)</f>
        <v>6.3350288661398468E-3</v>
      </c>
      <c r="BK6" s="5">
        <f t="shared" ref="BK6:BK37" ca="1" si="53">BK5+Kappa*(Theta-BK5)*Deltat+Sigma*SQRT(BK5)*_xlfn.NORM.INV(RAND(),0,Deltat)</f>
        <v>6.3834655190620473E-3</v>
      </c>
      <c r="BL6" s="5">
        <f t="shared" ref="BL6:BL37" ca="1" si="54">BL5+Kappa*(Theta-BL5)*Deltat+Sigma*SQRT(BL5)*_xlfn.NORM.INV(RAND(),0,Deltat)</f>
        <v>6.41833021610693E-3</v>
      </c>
      <c r="BM6" s="5">
        <f t="shared" ref="BM6:BM37" ca="1" si="55">BM5+Kappa*(Theta-BM5)*Deltat+Sigma*SQRT(BM5)*_xlfn.NORM.INV(RAND(),0,Deltat)</f>
        <v>6.4455498313635449E-3</v>
      </c>
      <c r="BN6" s="5">
        <f t="shared" ref="BN6:BN37" ca="1" si="56">BN5+Kappa*(Theta-BN5)*Deltat+Sigma*SQRT(BN5)*_xlfn.NORM.INV(RAND(),0,Deltat)</f>
        <v>6.3776778095978532E-3</v>
      </c>
      <c r="BO6" s="5">
        <f t="shared" ref="BO6:BO37" ca="1" si="57">BO5+Kappa*(Theta-BO5)*Deltat+Sigma*SQRT(BO5)*_xlfn.NORM.INV(RAND(),0,Deltat)</f>
        <v>6.3939879635445847E-3</v>
      </c>
      <c r="BP6" s="5">
        <f t="shared" ref="BP6:BP37" ca="1" si="58">BP5+Kappa*(Theta-BP5)*Deltat+Sigma*SQRT(BP5)*_xlfn.NORM.INV(RAND(),0,Deltat)</f>
        <v>6.4033906336895107E-3</v>
      </c>
      <c r="BQ6" s="5">
        <f t="shared" ref="BQ6:BQ37" ca="1" si="59">BQ5+Kappa*(Theta-BQ5)*Deltat+Sigma*SQRT(BQ5)*_xlfn.NORM.INV(RAND(),0,Deltat)</f>
        <v>6.3862507031874618E-3</v>
      </c>
      <c r="BR6" s="5">
        <f t="shared" ref="BR6:BR37" ca="1" si="60">BR5+Kappa*(Theta-BR5)*Deltat+Sigma*SQRT(BR5)*_xlfn.NORM.INV(RAND(),0,Deltat)</f>
        <v>6.4007959314626101E-3</v>
      </c>
      <c r="BS6" s="5">
        <f t="shared" ref="BS6:BS37" ca="1" si="61">BS5+Kappa*(Theta-BS5)*Deltat+Sigma*SQRT(BS5)*_xlfn.NORM.INV(RAND(),0,Deltat)</f>
        <v>6.3812604931552316E-3</v>
      </c>
      <c r="BT6" s="5">
        <f t="shared" ref="BT6:BT37" ca="1" si="62">BT5+Kappa*(Theta-BT5)*Deltat+Sigma*SQRT(BT5)*_xlfn.NORM.INV(RAND(),0,Deltat)</f>
        <v>6.3513433911053293E-3</v>
      </c>
      <c r="BU6" s="5">
        <f t="shared" ref="BU6:BU37" ca="1" si="63">BU5+Kappa*(Theta-BU5)*Deltat+Sigma*SQRT(BU5)*_xlfn.NORM.INV(RAND(),0,Deltat)</f>
        <v>6.3024192927648255E-3</v>
      </c>
      <c r="BV6" s="5">
        <f t="shared" ref="BV6:BV37" ca="1" si="64">BV5+Kappa*(Theta-BV5)*Deltat+Sigma*SQRT(BV5)*_xlfn.NORM.INV(RAND(),0,Deltat)</f>
        <v>6.3760510576358481E-3</v>
      </c>
      <c r="BW6" s="5">
        <f t="shared" ref="BW6:BW37" ca="1" si="65">BW5+Kappa*(Theta-BW5)*Deltat+Sigma*SQRT(BW5)*_xlfn.NORM.INV(RAND(),0,Deltat)</f>
        <v>6.4368762009133244E-3</v>
      </c>
      <c r="BX6" s="5">
        <f t="shared" ref="BX6:BX37" ca="1" si="66">BX5+Kappa*(Theta-BX5)*Deltat+Sigma*SQRT(BX5)*_xlfn.NORM.INV(RAND(),0,Deltat)</f>
        <v>6.3607112586951441E-3</v>
      </c>
      <c r="BY6" s="5">
        <f t="shared" ref="BY6:BY37" ca="1" si="67">BY5+Kappa*(Theta-BY5)*Deltat+Sigma*SQRT(BY5)*_xlfn.NORM.INV(RAND(),0,Deltat)</f>
        <v>6.3593722366493263E-3</v>
      </c>
      <c r="BZ6" s="5">
        <f t="shared" ref="BZ6:BZ37" ca="1" si="68">BZ5+Kappa*(Theta-BZ5)*Deltat+Sigma*SQRT(BZ5)*_xlfn.NORM.INV(RAND(),0,Deltat)</f>
        <v>6.4142442151524899E-3</v>
      </c>
      <c r="CA6" s="5">
        <f t="shared" ref="CA6:CA37" ca="1" si="69">CA5+Kappa*(Theta-CA5)*Deltat+Sigma*SQRT(CA5)*_xlfn.NORM.INV(RAND(),0,Deltat)</f>
        <v>6.3964017595886467E-3</v>
      </c>
      <c r="CB6" s="5">
        <f t="shared" ref="CB6:CB37" ca="1" si="70">CB5+Kappa*(Theta-CB5)*Deltat+Sigma*SQRT(CB5)*_xlfn.NORM.INV(RAND(),0,Deltat)</f>
        <v>6.3909637050958562E-3</v>
      </c>
      <c r="CC6" s="5">
        <f t="shared" ref="CC6:CC37" ca="1" si="71">CC5+Kappa*(Theta-CC5)*Deltat+Sigma*SQRT(CC5)*_xlfn.NORM.INV(RAND(),0,Deltat)</f>
        <v>6.3925116039786414E-3</v>
      </c>
      <c r="CD6" s="5">
        <f t="shared" ref="CD6:CD37" ca="1" si="72">CD5+Kappa*(Theta-CD5)*Deltat+Sigma*SQRT(CD5)*_xlfn.NORM.INV(RAND(),0,Deltat)</f>
        <v>6.4010928941513889E-3</v>
      </c>
      <c r="CE6" s="5">
        <f t="shared" ref="CE6:CE37" ca="1" si="73">CE5+Kappa*(Theta-CE5)*Deltat+Sigma*SQRT(CE5)*_xlfn.NORM.INV(RAND(),0,Deltat)</f>
        <v>6.4525374025084809E-3</v>
      </c>
      <c r="CF6" s="5">
        <f t="shared" ref="CF6:CF37" ca="1" si="74">CF5+Kappa*(Theta-CF5)*Deltat+Sigma*SQRT(CF5)*_xlfn.NORM.INV(RAND(),0,Deltat)</f>
        <v>6.3764394761106659E-3</v>
      </c>
      <c r="CG6" s="5">
        <f t="shared" ref="CG6:CG37" ca="1" si="75">CG5+Kappa*(Theta-CG5)*Deltat+Sigma*SQRT(CG5)*_xlfn.NORM.INV(RAND(),0,Deltat)</f>
        <v>6.3878573159675944E-3</v>
      </c>
      <c r="CH6" s="5">
        <f t="shared" ref="CH6:CH37" ca="1" si="76">CH5+Kappa*(Theta-CH5)*Deltat+Sigma*SQRT(CH5)*_xlfn.NORM.INV(RAND(),0,Deltat)</f>
        <v>6.3853282541510258E-3</v>
      </c>
      <c r="CI6" s="5">
        <f t="shared" ref="CI6:CI37" ca="1" si="77">CI5+Kappa*(Theta-CI5)*Deltat+Sigma*SQRT(CI5)*_xlfn.NORM.INV(RAND(),0,Deltat)</f>
        <v>6.4123546909746381E-3</v>
      </c>
      <c r="CJ6" s="5">
        <f t="shared" ref="CJ6:CJ37" ca="1" si="78">CJ5+Kappa*(Theta-CJ5)*Deltat+Sigma*SQRT(CJ5)*_xlfn.NORM.INV(RAND(),0,Deltat)</f>
        <v>6.3434973110599461E-3</v>
      </c>
      <c r="CK6" s="5">
        <f t="shared" ref="CK6:CK37" ca="1" si="79">CK5+Kappa*(Theta-CK5)*Deltat+Sigma*SQRT(CK5)*_xlfn.NORM.INV(RAND(),0,Deltat)</f>
        <v>6.4378965953070001E-3</v>
      </c>
      <c r="CL6" s="5">
        <f t="shared" ref="CL6:CL37" ca="1" si="80">CL5+Kappa*(Theta-CL5)*Deltat+Sigma*SQRT(CL5)*_xlfn.NORM.INV(RAND(),0,Deltat)</f>
        <v>6.4263962330678437E-3</v>
      </c>
      <c r="CM6" s="5">
        <f t="shared" ref="CM6:CM37" ca="1" si="81">CM5+Kappa*(Theta-CM5)*Deltat+Sigma*SQRT(CM5)*_xlfn.NORM.INV(RAND(),0,Deltat)</f>
        <v>6.4403158574308636E-3</v>
      </c>
      <c r="CN6" s="5">
        <f t="shared" ref="CN6:CN37" ca="1" si="82">CN5+Kappa*(Theta-CN5)*Deltat+Sigma*SQRT(CN5)*_xlfn.NORM.INV(RAND(),0,Deltat)</f>
        <v>6.3616804568193104E-3</v>
      </c>
      <c r="CO6" s="5">
        <f t="shared" ref="CO6:CO37" ca="1" si="83">CO5+Kappa*(Theta-CO5)*Deltat+Sigma*SQRT(CO5)*_xlfn.NORM.INV(RAND(),0,Deltat)</f>
        <v>6.3634540778497615E-3</v>
      </c>
      <c r="CP6" s="5">
        <f t="shared" ref="CP6:CP37" ca="1" si="84">CP5+Kappa*(Theta-CP5)*Deltat+Sigma*SQRT(CP5)*_xlfn.NORM.INV(RAND(),0,Deltat)</f>
        <v>6.4026758890827224E-3</v>
      </c>
      <c r="CQ6" s="5">
        <f t="shared" ref="CQ6:CQ37" ca="1" si="85">CQ5+Kappa*(Theta-CQ5)*Deltat+Sigma*SQRT(CQ5)*_xlfn.NORM.INV(RAND(),0,Deltat)</f>
        <v>6.3762497522944816E-3</v>
      </c>
      <c r="CR6" s="5">
        <f t="shared" ref="CR6:CR37" ca="1" si="86">CR5+Kappa*(Theta-CR5)*Deltat+Sigma*SQRT(CR5)*_xlfn.NORM.INV(RAND(),0,Deltat)</f>
        <v>6.3534264447280544E-3</v>
      </c>
      <c r="CS6" s="5">
        <f t="shared" ref="CS6:CS37" ca="1" si="87">CS5+Kappa*(Theta-CS5)*Deltat+Sigma*SQRT(CS5)*_xlfn.NORM.INV(RAND(),0,Deltat)</f>
        <v>6.362794633173993E-3</v>
      </c>
      <c r="CT6" s="5">
        <f t="shared" ref="CT6:CT37" ca="1" si="88">CT5+Kappa*(Theta-CT5)*Deltat+Sigma*SQRT(CT5)*_xlfn.NORM.INV(RAND(),0,Deltat)</f>
        <v>6.3859597261472752E-3</v>
      </c>
      <c r="CU6" s="5">
        <f t="shared" ref="CU6:CU37" ca="1" si="89">CU5+Kappa*(Theta-CU5)*Deltat+Sigma*SQRT(CU5)*_xlfn.NORM.INV(RAND(),0,Deltat)</f>
        <v>6.4432174470581407E-3</v>
      </c>
      <c r="CV6" s="5">
        <f t="shared" ref="CV6:CV37" ca="1" si="90">CV5+Kappa*(Theta-CV5)*Deltat+Sigma*SQRT(CV5)*_xlfn.NORM.INV(RAND(),0,Deltat)</f>
        <v>6.4165454429098347E-3</v>
      </c>
      <c r="CW6" s="5">
        <f t="shared" ref="CW6:CW37" ca="1" si="91">CW5+Kappa*(Theta-CW5)*Deltat+Sigma*SQRT(CW5)*_xlfn.NORM.INV(RAND(),0,Deltat)</f>
        <v>6.3491207318182941E-3</v>
      </c>
      <c r="CX6" s="5">
        <f t="shared" ref="CX6:CX37" ca="1" si="92">CX5+Kappa*(Theta-CX5)*Deltat+Sigma*SQRT(CX5)*_xlfn.NORM.INV(RAND(),0,Deltat)</f>
        <v>6.357084444818294E-3</v>
      </c>
      <c r="CY6" s="5">
        <f t="shared" ref="CY6:CY37" ca="1" si="93">CY5+Kappa*(Theta-CY5)*Deltat+Sigma*SQRT(CY5)*_xlfn.NORM.INV(RAND(),0,Deltat)</f>
        <v>6.4027817215364449E-3</v>
      </c>
      <c r="CZ6" s="5">
        <f t="shared" ref="CZ6:CZ37" ca="1" si="94">CZ5+Kappa*(Theta-CZ5)*Deltat+Sigma*SQRT(CZ5)*_xlfn.NORM.INV(RAND(),0,Deltat)</f>
        <v>6.3969479597241058E-3</v>
      </c>
      <c r="DA6" s="5">
        <f t="shared" ref="DA6:DA37" ca="1" si="95">DA5+Kappa*(Theta-DA5)*Deltat+Sigma*SQRT(DA5)*_xlfn.NORM.INV(RAND(),0,Deltat)</f>
        <v>6.3571964537612723E-3</v>
      </c>
      <c r="DB6" s="5">
        <f t="shared" ref="DB6:DB37" ca="1" si="96">DB5+Kappa*(Theta-DB5)*Deltat+Sigma*SQRT(DB5)*_xlfn.NORM.INV(RAND(),0,Deltat)</f>
        <v>6.4180980537963013E-3</v>
      </c>
      <c r="DC6" s="5">
        <f t="shared" ref="DC6:DC37" ca="1" si="97">DC5+Kappa*(Theta-DC5)*Deltat+Sigma*SQRT(DC5)*_xlfn.NORM.INV(RAND(),0,Deltat)</f>
        <v>6.3456037838247239E-3</v>
      </c>
      <c r="DD6" s="5">
        <f t="shared" ref="DD6:DD37" ca="1" si="98">DD5+Kappa*(Theta-DD5)*Deltat+Sigma*SQRT(DD5)*_xlfn.NORM.INV(RAND(),0,Deltat)</f>
        <v>6.3050827057937291E-3</v>
      </c>
      <c r="DE6" s="5">
        <f t="shared" ref="DE6:DE37" ca="1" si="99">DE5+Kappa*(Theta-DE5)*Deltat+Sigma*SQRT(DE5)*_xlfn.NORM.INV(RAND(),0,Deltat)</f>
        <v>6.3839860364792436E-3</v>
      </c>
      <c r="DF6" s="5">
        <f t="shared" ref="DF6:DF37" ca="1" si="100">DF5+Kappa*(Theta-DF5)*Deltat+Sigma*SQRT(DF5)*_xlfn.NORM.INV(RAND(),0,Deltat)</f>
        <v>6.4229587283616586E-3</v>
      </c>
      <c r="DG6" s="5">
        <f t="shared" ref="DG6:DG37" ca="1" si="101">DG5+Kappa*(Theta-DG5)*Deltat+Sigma*SQRT(DG5)*_xlfn.NORM.INV(RAND(),0,Deltat)</f>
        <v>6.3602397087775264E-3</v>
      </c>
      <c r="DH6" s="5">
        <f t="shared" ref="DH6:DH37" ca="1" si="102">DH5+Kappa*(Theta-DH5)*Deltat+Sigma*SQRT(DH5)*_xlfn.NORM.INV(RAND(),0,Deltat)</f>
        <v>6.318715380478534E-3</v>
      </c>
      <c r="DI6" s="5">
        <f t="shared" ref="DI6:DI37" ca="1" si="103">DI5+Kappa*(Theta-DI5)*Deltat+Sigma*SQRT(DI5)*_xlfn.NORM.INV(RAND(),0,Deltat)</f>
        <v>6.3169447311991955E-3</v>
      </c>
      <c r="DJ6" s="5">
        <f t="shared" ref="DJ6:DJ37" ca="1" si="104">DJ5+Kappa*(Theta-DJ5)*Deltat+Sigma*SQRT(DJ5)*_xlfn.NORM.INV(RAND(),0,Deltat)</f>
        <v>6.393952716832187E-3</v>
      </c>
    </row>
    <row r="7" spans="1:114" outlineLevel="1" x14ac:dyDescent="0.2">
      <c r="E7" s="32">
        <v>44682</v>
      </c>
      <c r="F7" s="9">
        <v>1875</v>
      </c>
      <c r="G7" s="5">
        <f t="shared" ca="1" si="0"/>
        <v>-0.10828984734708405</v>
      </c>
      <c r="H7" s="5">
        <f t="shared" ca="1" si="1"/>
        <v>6.5053812953947271E-3</v>
      </c>
      <c r="I7" s="9">
        <f t="shared" ca="1" si="2"/>
        <v>9385.0614097969883</v>
      </c>
      <c r="K7" s="6">
        <v>3</v>
      </c>
      <c r="L7" s="5">
        <v>361606.78282773588</v>
      </c>
      <c r="N7" s="32">
        <v>44652</v>
      </c>
      <c r="O7" s="5">
        <f t="shared" ca="1" si="5"/>
        <v>6.4606548594339612E-3</v>
      </c>
      <c r="P7" s="5">
        <f t="shared" ca="1" si="6"/>
        <v>6.4942132741005508E-3</v>
      </c>
      <c r="Q7" s="5">
        <f t="shared" ca="1" si="7"/>
        <v>6.4427485707477727E-3</v>
      </c>
      <c r="R7" s="5">
        <f t="shared" ca="1" si="8"/>
        <v>6.4648797658807475E-3</v>
      </c>
      <c r="S7" s="5">
        <f t="shared" ca="1" si="9"/>
        <v>6.3939277617937381E-3</v>
      </c>
      <c r="T7" s="5">
        <f t="shared" ca="1" si="10"/>
        <v>6.3574928352606993E-3</v>
      </c>
      <c r="U7" s="5">
        <f t="shared" ca="1" si="11"/>
        <v>6.4096366258064742E-3</v>
      </c>
      <c r="V7" s="5">
        <f t="shared" ca="1" si="12"/>
        <v>6.4675088389968662E-3</v>
      </c>
      <c r="W7" s="5">
        <f t="shared" ca="1" si="13"/>
        <v>6.4056262039591007E-3</v>
      </c>
      <c r="X7" s="5">
        <f t="shared" ca="1" si="14"/>
        <v>6.3793940332413012E-3</v>
      </c>
      <c r="Y7" s="5">
        <f t="shared" ca="1" si="15"/>
        <v>6.3625573067451913E-3</v>
      </c>
      <c r="Z7" s="5">
        <f t="shared" ca="1" si="16"/>
        <v>6.3673793324287532E-3</v>
      </c>
      <c r="AA7" s="5">
        <f t="shared" ca="1" si="17"/>
        <v>6.4978164265251026E-3</v>
      </c>
      <c r="AB7" s="5">
        <f t="shared" ca="1" si="18"/>
        <v>6.4382656423451088E-3</v>
      </c>
      <c r="AC7" s="5">
        <f t="shared" ca="1" si="19"/>
        <v>6.4712245121944867E-3</v>
      </c>
      <c r="AD7" s="5">
        <f t="shared" ca="1" si="20"/>
        <v>6.3683030346967972E-3</v>
      </c>
      <c r="AE7" s="5">
        <f t="shared" ca="1" si="21"/>
        <v>6.4450301432558638E-3</v>
      </c>
      <c r="AF7" s="5">
        <f t="shared" ca="1" si="22"/>
        <v>6.3972064554641923E-3</v>
      </c>
      <c r="AG7" s="5">
        <f t="shared" ca="1" si="23"/>
        <v>6.3486096422651029E-3</v>
      </c>
      <c r="AH7" s="5">
        <f t="shared" ca="1" si="24"/>
        <v>6.3640434508186227E-3</v>
      </c>
      <c r="AI7" s="5">
        <f t="shared" ca="1" si="25"/>
        <v>6.476442036609428E-3</v>
      </c>
      <c r="AJ7" s="5">
        <f t="shared" ca="1" si="26"/>
        <v>6.4498303580957494E-3</v>
      </c>
      <c r="AK7" s="5">
        <f t="shared" ca="1" si="27"/>
        <v>6.4795430264978715E-3</v>
      </c>
      <c r="AL7" s="5">
        <f t="shared" ca="1" si="28"/>
        <v>6.2848907975976741E-3</v>
      </c>
      <c r="AM7" s="5">
        <f t="shared" ca="1" si="29"/>
        <v>6.332549361349445E-3</v>
      </c>
      <c r="AN7" s="5">
        <f t="shared" ca="1" si="30"/>
        <v>6.4571619410170849E-3</v>
      </c>
      <c r="AO7" s="5">
        <f t="shared" ca="1" si="31"/>
        <v>6.4279053045064628E-3</v>
      </c>
      <c r="AP7" s="5">
        <f t="shared" ca="1" si="32"/>
        <v>6.3795589538638234E-3</v>
      </c>
      <c r="AQ7" s="5">
        <f t="shared" ca="1" si="33"/>
        <v>6.3347675361606817E-3</v>
      </c>
      <c r="AR7" s="5">
        <f t="shared" ca="1" si="34"/>
        <v>6.3849363055206373E-3</v>
      </c>
      <c r="AS7" s="5">
        <f t="shared" ca="1" si="35"/>
        <v>6.4626813075156636E-3</v>
      </c>
      <c r="AT7" s="5">
        <f t="shared" ca="1" si="36"/>
        <v>6.307039812307071E-3</v>
      </c>
      <c r="AU7" s="5">
        <f t="shared" ca="1" si="37"/>
        <v>6.3105445565183379E-3</v>
      </c>
      <c r="AV7" s="5">
        <f t="shared" ca="1" si="38"/>
        <v>6.3701596709812057E-3</v>
      </c>
      <c r="AW7" s="5">
        <f t="shared" ca="1" si="39"/>
        <v>6.5024075843618913E-3</v>
      </c>
      <c r="AX7" s="5">
        <f t="shared" ca="1" si="40"/>
        <v>6.3982409573549144E-3</v>
      </c>
      <c r="AY7" s="5">
        <f t="shared" ca="1" si="41"/>
        <v>6.3214176743014872E-3</v>
      </c>
      <c r="AZ7" s="5">
        <f t="shared" ca="1" si="42"/>
        <v>6.3837107723311894E-3</v>
      </c>
      <c r="BA7" s="5">
        <f t="shared" ca="1" si="43"/>
        <v>6.4973533525583237E-3</v>
      </c>
      <c r="BB7" s="5">
        <f t="shared" ca="1" si="44"/>
        <v>6.3841015633154174E-3</v>
      </c>
      <c r="BC7" s="5">
        <f t="shared" ca="1" si="45"/>
        <v>6.4652252173431997E-3</v>
      </c>
      <c r="BD7" s="5">
        <f t="shared" ca="1" si="46"/>
        <v>6.4164560060995749E-3</v>
      </c>
      <c r="BE7" s="5">
        <f t="shared" ca="1" si="47"/>
        <v>6.4226327047272342E-3</v>
      </c>
      <c r="BF7" s="5">
        <f t="shared" ca="1" si="48"/>
        <v>6.3692731501510018E-3</v>
      </c>
      <c r="BG7" s="5">
        <f t="shared" ca="1" si="49"/>
        <v>6.4972797345691034E-3</v>
      </c>
      <c r="BH7" s="5">
        <f t="shared" ca="1" si="50"/>
        <v>6.4081513408421114E-3</v>
      </c>
      <c r="BI7" s="5">
        <f t="shared" ca="1" si="51"/>
        <v>6.4841055497062081E-3</v>
      </c>
      <c r="BJ7" s="5">
        <f t="shared" ca="1" si="52"/>
        <v>6.2623385118961254E-3</v>
      </c>
      <c r="BK7" s="5">
        <f t="shared" ca="1" si="53"/>
        <v>6.3972605301539373E-3</v>
      </c>
      <c r="BL7" s="5">
        <f t="shared" ca="1" si="54"/>
        <v>6.4254970147354408E-3</v>
      </c>
      <c r="BM7" s="5">
        <f t="shared" ca="1" si="55"/>
        <v>6.4566053110570827E-3</v>
      </c>
      <c r="BN7" s="5">
        <f t="shared" ca="1" si="56"/>
        <v>6.380015531043043E-3</v>
      </c>
      <c r="BO7" s="5">
        <f t="shared" ca="1" si="57"/>
        <v>6.3773181785552434E-3</v>
      </c>
      <c r="BP7" s="5">
        <f t="shared" ca="1" si="58"/>
        <v>6.4659937867518336E-3</v>
      </c>
      <c r="BQ7" s="5">
        <f t="shared" ca="1" si="59"/>
        <v>6.3740719439699962E-3</v>
      </c>
      <c r="BR7" s="5">
        <f t="shared" ca="1" si="60"/>
        <v>6.4935891758388636E-3</v>
      </c>
      <c r="BS7" s="5">
        <f t="shared" ca="1" si="61"/>
        <v>6.3378957649837444E-3</v>
      </c>
      <c r="BT7" s="5">
        <f t="shared" ca="1" si="62"/>
        <v>6.3981631188939261E-3</v>
      </c>
      <c r="BU7" s="5">
        <f t="shared" ca="1" si="63"/>
        <v>6.3374560957077351E-3</v>
      </c>
      <c r="BV7" s="5">
        <f t="shared" ca="1" si="64"/>
        <v>6.5071156143287319E-3</v>
      </c>
      <c r="BW7" s="5">
        <f t="shared" ca="1" si="65"/>
        <v>6.4912670696251592E-3</v>
      </c>
      <c r="BX7" s="5">
        <f t="shared" ca="1" si="66"/>
        <v>6.3567675245015829E-3</v>
      </c>
      <c r="BY7" s="5">
        <f t="shared" ca="1" si="67"/>
        <v>6.3571946051474218E-3</v>
      </c>
      <c r="BZ7" s="5">
        <f t="shared" ca="1" si="68"/>
        <v>6.4384917706948016E-3</v>
      </c>
      <c r="CA7" s="5">
        <f t="shared" ca="1" si="69"/>
        <v>6.3078627435288019E-3</v>
      </c>
      <c r="CB7" s="5">
        <f t="shared" ca="1" si="70"/>
        <v>6.3536013294244031E-3</v>
      </c>
      <c r="CC7" s="5">
        <f t="shared" ca="1" si="71"/>
        <v>6.4016254669612693E-3</v>
      </c>
      <c r="CD7" s="5">
        <f t="shared" ca="1" si="72"/>
        <v>6.434944272429792E-3</v>
      </c>
      <c r="CE7" s="5">
        <f t="shared" ca="1" si="73"/>
        <v>6.4640212928821824E-3</v>
      </c>
      <c r="CF7" s="5">
        <f t="shared" ca="1" si="74"/>
        <v>6.412024215476415E-3</v>
      </c>
      <c r="CG7" s="5">
        <f t="shared" ca="1" si="75"/>
        <v>6.4080614530118282E-3</v>
      </c>
      <c r="CH7" s="5">
        <f t="shared" ca="1" si="76"/>
        <v>6.4033301942212125E-3</v>
      </c>
      <c r="CI7" s="5">
        <f t="shared" ca="1" si="77"/>
        <v>6.4437630684984577E-3</v>
      </c>
      <c r="CJ7" s="5">
        <f t="shared" ca="1" si="78"/>
        <v>6.3474220127248057E-3</v>
      </c>
      <c r="CK7" s="5">
        <f t="shared" ca="1" si="79"/>
        <v>6.4965518463715958E-3</v>
      </c>
      <c r="CL7" s="5">
        <f t="shared" ca="1" si="80"/>
        <v>6.4677363459966202E-3</v>
      </c>
      <c r="CM7" s="5">
        <f t="shared" ca="1" si="81"/>
        <v>6.406246146600068E-3</v>
      </c>
      <c r="CN7" s="5">
        <f t="shared" ca="1" si="82"/>
        <v>6.468435781703483E-3</v>
      </c>
      <c r="CO7" s="5">
        <f t="shared" ca="1" si="83"/>
        <v>6.3704060111014404E-3</v>
      </c>
      <c r="CP7" s="5">
        <f t="shared" ca="1" si="84"/>
        <v>6.4045229102184823E-3</v>
      </c>
      <c r="CQ7" s="5">
        <f t="shared" ca="1" si="85"/>
        <v>6.3498800345737167E-3</v>
      </c>
      <c r="CR7" s="5">
        <f t="shared" ca="1" si="86"/>
        <v>6.3283772437313628E-3</v>
      </c>
      <c r="CS7" s="5">
        <f t="shared" ca="1" si="87"/>
        <v>6.4429123090746845E-3</v>
      </c>
      <c r="CT7" s="5">
        <f t="shared" ca="1" si="88"/>
        <v>6.3996268626420093E-3</v>
      </c>
      <c r="CU7" s="5">
        <f t="shared" ca="1" si="89"/>
        <v>6.3138312646439029E-3</v>
      </c>
      <c r="CV7" s="5">
        <f t="shared" ca="1" si="90"/>
        <v>6.522565394583602E-3</v>
      </c>
      <c r="CW7" s="5">
        <f t="shared" ca="1" si="91"/>
        <v>6.2832949963312658E-3</v>
      </c>
      <c r="CX7" s="5">
        <f t="shared" ca="1" si="92"/>
        <v>6.4034819800146145E-3</v>
      </c>
      <c r="CY7" s="5">
        <f t="shared" ca="1" si="93"/>
        <v>6.3794677802786678E-3</v>
      </c>
      <c r="CZ7" s="5">
        <f t="shared" ca="1" si="94"/>
        <v>6.3638115669034665E-3</v>
      </c>
      <c r="DA7" s="5">
        <f t="shared" ca="1" si="95"/>
        <v>6.3485590944062989E-3</v>
      </c>
      <c r="DB7" s="5">
        <f t="shared" ca="1" si="96"/>
        <v>6.4682414227496404E-3</v>
      </c>
      <c r="DC7" s="5">
        <f t="shared" ca="1" si="97"/>
        <v>6.3734243365996179E-3</v>
      </c>
      <c r="DD7" s="5">
        <f t="shared" ca="1" si="98"/>
        <v>6.2713216195795897E-3</v>
      </c>
      <c r="DE7" s="5">
        <f t="shared" ca="1" si="99"/>
        <v>6.4400238076388694E-3</v>
      </c>
      <c r="DF7" s="5">
        <f t="shared" ca="1" si="100"/>
        <v>6.4484301813213319E-3</v>
      </c>
      <c r="DG7" s="5">
        <f t="shared" ca="1" si="101"/>
        <v>6.4725914456925573E-3</v>
      </c>
      <c r="DH7" s="5">
        <f t="shared" ca="1" si="102"/>
        <v>6.3495166589580257E-3</v>
      </c>
      <c r="DI7" s="5">
        <f t="shared" ca="1" si="103"/>
        <v>6.3419904960494711E-3</v>
      </c>
      <c r="DJ7" s="5">
        <f t="shared" ca="1" si="104"/>
        <v>6.4296268809935211E-3</v>
      </c>
    </row>
    <row r="8" spans="1:114" outlineLevel="1" x14ac:dyDescent="0.2">
      <c r="A8" s="6" t="s">
        <v>10</v>
      </c>
      <c r="B8" s="6"/>
      <c r="E8" s="32">
        <v>44713</v>
      </c>
      <c r="F8" s="9">
        <v>1875</v>
      </c>
      <c r="G8" s="5">
        <f t="shared" ca="1" si="0"/>
        <v>-9.1839976556318259E-2</v>
      </c>
      <c r="H8" s="5">
        <f t="shared" ca="1" si="1"/>
        <v>6.4539694282304766E-3</v>
      </c>
      <c r="I8" s="9">
        <f t="shared" ca="1" si="2"/>
        <v>11265.110342362708</v>
      </c>
      <c r="K8" s="6">
        <v>4</v>
      </c>
      <c r="L8" s="5">
        <v>361718.42229486216</v>
      </c>
      <c r="N8" s="32">
        <v>44682</v>
      </c>
      <c r="O8" s="5">
        <f t="shared" ca="1" si="5"/>
        <v>6.5187312642038366E-3</v>
      </c>
      <c r="P8" s="5">
        <f t="shared" ca="1" si="6"/>
        <v>6.5507663812005351E-3</v>
      </c>
      <c r="Q8" s="5">
        <f t="shared" ca="1" si="7"/>
        <v>6.5160214612460755E-3</v>
      </c>
      <c r="R8" s="5">
        <f t="shared" ca="1" si="8"/>
        <v>6.5113011605338741E-3</v>
      </c>
      <c r="S8" s="5">
        <f t="shared" ca="1" si="9"/>
        <v>6.4645245192857786E-3</v>
      </c>
      <c r="T8" s="5">
        <f t="shared" ca="1" si="10"/>
        <v>6.3024910922624029E-3</v>
      </c>
      <c r="U8" s="5">
        <f t="shared" ca="1" si="11"/>
        <v>6.4412454670141261E-3</v>
      </c>
      <c r="V8" s="5">
        <f t="shared" ca="1" si="12"/>
        <v>6.497580402898875E-3</v>
      </c>
      <c r="W8" s="5">
        <f t="shared" ca="1" si="13"/>
        <v>6.477565659297484E-3</v>
      </c>
      <c r="X8" s="5">
        <f t="shared" ca="1" si="14"/>
        <v>6.3480528081513981E-3</v>
      </c>
      <c r="Y8" s="5">
        <f t="shared" ca="1" si="15"/>
        <v>6.3491630319508071E-3</v>
      </c>
      <c r="Z8" s="5">
        <f t="shared" ca="1" si="16"/>
        <v>6.3744341309936474E-3</v>
      </c>
      <c r="AA8" s="5">
        <f t="shared" ca="1" si="17"/>
        <v>6.4592128767470584E-3</v>
      </c>
      <c r="AB8" s="5">
        <f t="shared" ca="1" si="18"/>
        <v>6.4604477682282191E-3</v>
      </c>
      <c r="AC8" s="5">
        <f t="shared" ca="1" si="19"/>
        <v>6.5151448562421679E-3</v>
      </c>
      <c r="AD8" s="5">
        <f t="shared" ca="1" si="20"/>
        <v>6.4188577026356294E-3</v>
      </c>
      <c r="AE8" s="5">
        <f t="shared" ca="1" si="21"/>
        <v>6.3884557396992813E-3</v>
      </c>
      <c r="AF8" s="5">
        <f t="shared" ca="1" si="22"/>
        <v>6.3764240684386934E-3</v>
      </c>
      <c r="AG8" s="5">
        <f t="shared" ca="1" si="23"/>
        <v>6.3410987639835195E-3</v>
      </c>
      <c r="AH8" s="5">
        <f t="shared" ca="1" si="24"/>
        <v>6.3885640746005586E-3</v>
      </c>
      <c r="AI8" s="5">
        <f t="shared" ca="1" si="25"/>
        <v>6.5088194972108635E-3</v>
      </c>
      <c r="AJ8" s="5">
        <f t="shared" ca="1" si="26"/>
        <v>6.4698558571741564E-3</v>
      </c>
      <c r="AK8" s="5">
        <f t="shared" ca="1" si="27"/>
        <v>6.4422919343781349E-3</v>
      </c>
      <c r="AL8" s="5">
        <f t="shared" ca="1" si="28"/>
        <v>6.2859113623246077E-3</v>
      </c>
      <c r="AM8" s="5">
        <f t="shared" ca="1" si="29"/>
        <v>6.4219209528439741E-3</v>
      </c>
      <c r="AN8" s="5">
        <f t="shared" ca="1" si="30"/>
        <v>6.4712276869428346E-3</v>
      </c>
      <c r="AO8" s="5">
        <f t="shared" ca="1" si="31"/>
        <v>6.4898905272930373E-3</v>
      </c>
      <c r="AP8" s="5">
        <f t="shared" ca="1" si="32"/>
        <v>6.343045218467961E-3</v>
      </c>
      <c r="AQ8" s="5">
        <f t="shared" ca="1" si="33"/>
        <v>6.4022703329983483E-3</v>
      </c>
      <c r="AR8" s="5">
        <f t="shared" ca="1" si="34"/>
        <v>6.3965998889387405E-3</v>
      </c>
      <c r="AS8" s="5">
        <f t="shared" ca="1" si="35"/>
        <v>6.4779768580777563E-3</v>
      </c>
      <c r="AT8" s="5">
        <f t="shared" ca="1" si="36"/>
        <v>6.2243951738413612E-3</v>
      </c>
      <c r="AU8" s="5">
        <f t="shared" ca="1" si="37"/>
        <v>6.295151193521282E-3</v>
      </c>
      <c r="AV8" s="5">
        <f t="shared" ca="1" si="38"/>
        <v>6.4507495633444652E-3</v>
      </c>
      <c r="AW8" s="5">
        <f t="shared" ca="1" si="39"/>
        <v>6.4705380085735712E-3</v>
      </c>
      <c r="AX8" s="5">
        <f t="shared" ca="1" si="40"/>
        <v>6.3802880772748077E-3</v>
      </c>
      <c r="AY8" s="5">
        <f t="shared" ca="1" si="41"/>
        <v>6.3603019040014306E-3</v>
      </c>
      <c r="AZ8" s="5">
        <f t="shared" ca="1" si="42"/>
        <v>6.3256326850551778E-3</v>
      </c>
      <c r="BA8" s="5">
        <f t="shared" ca="1" si="43"/>
        <v>6.4757710003744886E-3</v>
      </c>
      <c r="BB8" s="5">
        <f t="shared" ca="1" si="44"/>
        <v>6.4306118824712715E-3</v>
      </c>
      <c r="BC8" s="5">
        <f t="shared" ca="1" si="45"/>
        <v>6.3557137121023604E-3</v>
      </c>
      <c r="BD8" s="5">
        <f t="shared" ca="1" si="46"/>
        <v>6.3700866906124367E-3</v>
      </c>
      <c r="BE8" s="5">
        <f t="shared" ca="1" si="47"/>
        <v>6.378271290539991E-3</v>
      </c>
      <c r="BF8" s="5">
        <f t="shared" ca="1" si="48"/>
        <v>6.3528338756857891E-3</v>
      </c>
      <c r="BG8" s="5">
        <f t="shared" ca="1" si="49"/>
        <v>6.4145537422728776E-3</v>
      </c>
      <c r="BH8" s="5">
        <f t="shared" ca="1" si="50"/>
        <v>6.3939899337646135E-3</v>
      </c>
      <c r="BI8" s="5">
        <f t="shared" ca="1" si="51"/>
        <v>6.5349746024917013E-3</v>
      </c>
      <c r="BJ8" s="5">
        <f t="shared" ca="1" si="52"/>
        <v>6.2606820952301745E-3</v>
      </c>
      <c r="BK8" s="5">
        <f t="shared" ca="1" si="53"/>
        <v>6.4510310473252048E-3</v>
      </c>
      <c r="BL8" s="5">
        <f t="shared" ca="1" si="54"/>
        <v>6.392821832187633E-3</v>
      </c>
      <c r="BM8" s="5">
        <f t="shared" ca="1" si="55"/>
        <v>6.4439437523546002E-3</v>
      </c>
      <c r="BN8" s="5">
        <f t="shared" ca="1" si="56"/>
        <v>6.3327984551029386E-3</v>
      </c>
      <c r="BO8" s="5">
        <f t="shared" ca="1" si="57"/>
        <v>6.3860041372738067E-3</v>
      </c>
      <c r="BP8" s="5">
        <f t="shared" ca="1" si="58"/>
        <v>6.5003213447324525E-3</v>
      </c>
      <c r="BQ8" s="5">
        <f t="shared" ca="1" si="59"/>
        <v>6.3236189758210529E-3</v>
      </c>
      <c r="BR8" s="5">
        <f t="shared" ca="1" si="60"/>
        <v>6.4291097113517923E-3</v>
      </c>
      <c r="BS8" s="5">
        <f t="shared" ca="1" si="61"/>
        <v>6.3874344339108569E-3</v>
      </c>
      <c r="BT8" s="5">
        <f t="shared" ca="1" si="62"/>
        <v>6.395428020073886E-3</v>
      </c>
      <c r="BU8" s="5">
        <f t="shared" ca="1" si="63"/>
        <v>6.3374527992203448E-3</v>
      </c>
      <c r="BV8" s="5">
        <f t="shared" ca="1" si="64"/>
        <v>6.5784537434497702E-3</v>
      </c>
      <c r="BW8" s="5">
        <f t="shared" ca="1" si="65"/>
        <v>6.5011855658877616E-3</v>
      </c>
      <c r="BX8" s="5">
        <f t="shared" ca="1" si="66"/>
        <v>6.2776047118730215E-3</v>
      </c>
      <c r="BY8" s="5">
        <f t="shared" ca="1" si="67"/>
        <v>6.3941614830423004E-3</v>
      </c>
      <c r="BZ8" s="5">
        <f t="shared" ca="1" si="68"/>
        <v>6.4816510405636511E-3</v>
      </c>
      <c r="CA8" s="5">
        <f t="shared" ca="1" si="69"/>
        <v>6.3237873257616433E-3</v>
      </c>
      <c r="CB8" s="5">
        <f t="shared" ca="1" si="70"/>
        <v>6.3704640864614042E-3</v>
      </c>
      <c r="CC8" s="5">
        <f t="shared" ca="1" si="71"/>
        <v>6.4676636369006236E-3</v>
      </c>
      <c r="CD8" s="5">
        <f t="shared" ca="1" si="72"/>
        <v>6.4710974318313574E-3</v>
      </c>
      <c r="CE8" s="5">
        <f t="shared" ca="1" si="73"/>
        <v>6.4261054730744066E-3</v>
      </c>
      <c r="CF8" s="5">
        <f t="shared" ca="1" si="74"/>
        <v>6.326037408591236E-3</v>
      </c>
      <c r="CG8" s="5">
        <f t="shared" ca="1" si="75"/>
        <v>6.3838286841201462E-3</v>
      </c>
      <c r="CH8" s="5">
        <f t="shared" ca="1" si="76"/>
        <v>6.4508629529563682E-3</v>
      </c>
      <c r="CI8" s="5">
        <f t="shared" ca="1" si="77"/>
        <v>6.5127919223450202E-3</v>
      </c>
      <c r="CJ8" s="5">
        <f t="shared" ca="1" si="78"/>
        <v>6.4253876790628332E-3</v>
      </c>
      <c r="CK8" s="5">
        <f t="shared" ca="1" si="79"/>
        <v>6.5387314671276446E-3</v>
      </c>
      <c r="CL8" s="5">
        <f t="shared" ca="1" si="80"/>
        <v>6.4380166602330743E-3</v>
      </c>
      <c r="CM8" s="5">
        <f t="shared" ca="1" si="81"/>
        <v>6.4436316444065576E-3</v>
      </c>
      <c r="CN8" s="5">
        <f t="shared" ca="1" si="82"/>
        <v>6.5059054216312475E-3</v>
      </c>
      <c r="CO8" s="5">
        <f t="shared" ca="1" si="83"/>
        <v>6.4291396316073892E-3</v>
      </c>
      <c r="CP8" s="5">
        <f t="shared" ca="1" si="84"/>
        <v>6.4461796979277189E-3</v>
      </c>
      <c r="CQ8" s="5">
        <f t="shared" ca="1" si="85"/>
        <v>6.3172678083230653E-3</v>
      </c>
      <c r="CR8" s="5">
        <f t="shared" ca="1" si="86"/>
        <v>6.3475010328500475E-3</v>
      </c>
      <c r="CS8" s="5">
        <f t="shared" ca="1" si="87"/>
        <v>6.4441068468825326E-3</v>
      </c>
      <c r="CT8" s="5">
        <f t="shared" ca="1" si="88"/>
        <v>6.4573492542336656E-3</v>
      </c>
      <c r="CU8" s="5">
        <f t="shared" ca="1" si="89"/>
        <v>6.3240670511136065E-3</v>
      </c>
      <c r="CV8" s="5">
        <f t="shared" ca="1" si="90"/>
        <v>6.547064345512687E-3</v>
      </c>
      <c r="CW8" s="5">
        <f t="shared" ca="1" si="91"/>
        <v>6.2548850160803245E-3</v>
      </c>
      <c r="CX8" s="5">
        <f t="shared" ca="1" si="92"/>
        <v>6.424576800993077E-3</v>
      </c>
      <c r="CY8" s="5">
        <f t="shared" ca="1" si="93"/>
        <v>6.3634154130538488E-3</v>
      </c>
      <c r="CZ8" s="5">
        <f t="shared" ca="1" si="94"/>
        <v>6.3877575653376213E-3</v>
      </c>
      <c r="DA8" s="5">
        <f t="shared" ca="1" si="95"/>
        <v>6.3242459136540015E-3</v>
      </c>
      <c r="DB8" s="5">
        <f t="shared" ca="1" si="96"/>
        <v>6.4614576268238353E-3</v>
      </c>
      <c r="DC8" s="5">
        <f t="shared" ca="1" si="97"/>
        <v>6.307833662865984E-3</v>
      </c>
      <c r="DD8" s="5">
        <f t="shared" ca="1" si="98"/>
        <v>6.2304765881925463E-3</v>
      </c>
      <c r="DE8" s="5">
        <f t="shared" ca="1" si="99"/>
        <v>6.492379667881654E-3</v>
      </c>
      <c r="DF8" s="5">
        <f t="shared" ca="1" si="100"/>
        <v>6.4811916481450895E-3</v>
      </c>
      <c r="DG8" s="5">
        <f t="shared" ca="1" si="101"/>
        <v>6.4185515985358179E-3</v>
      </c>
      <c r="DH8" s="5">
        <f t="shared" ca="1" si="102"/>
        <v>6.3107840267742519E-3</v>
      </c>
      <c r="DI8" s="5">
        <f t="shared" ca="1" si="103"/>
        <v>6.3775289615039506E-3</v>
      </c>
      <c r="DJ8" s="5">
        <f t="shared" ca="1" si="104"/>
        <v>6.4561193512068992E-3</v>
      </c>
    </row>
    <row r="9" spans="1:114" ht="16" customHeight="1" outlineLevel="1" x14ac:dyDescent="0.2">
      <c r="A9" s="61" t="s">
        <v>101</v>
      </c>
      <c r="B9" s="61"/>
      <c r="C9" s="61"/>
      <c r="D9" s="61"/>
      <c r="E9" s="32">
        <v>44743</v>
      </c>
      <c r="F9" s="9">
        <v>1875</v>
      </c>
      <c r="G9" s="5">
        <f t="shared" ca="1" si="0"/>
        <v>2.5355142703862542E-3</v>
      </c>
      <c r="H9" s="5">
        <f t="shared" ca="1" si="1"/>
        <v>6.4115297947950336E-3</v>
      </c>
      <c r="I9" s="9">
        <f t="shared" ca="1" si="2"/>
        <v>13146.130833126124</v>
      </c>
      <c r="K9" s="6">
        <v>5</v>
      </c>
      <c r="L9" s="5">
        <v>362092.38409212307</v>
      </c>
      <c r="N9" s="32">
        <v>44713</v>
      </c>
      <c r="O9" s="5">
        <f t="shared" ca="1" si="5"/>
        <v>6.5446021461498622E-3</v>
      </c>
      <c r="P9" s="5">
        <f t="shared" ca="1" si="6"/>
        <v>6.6188981924029952E-3</v>
      </c>
      <c r="Q9" s="5">
        <f t="shared" ca="1" si="7"/>
        <v>6.5675109479023403E-3</v>
      </c>
      <c r="R9" s="5">
        <f t="shared" ca="1" si="8"/>
        <v>6.5194381339458811E-3</v>
      </c>
      <c r="S9" s="5">
        <f t="shared" ca="1" si="9"/>
        <v>6.4543264805973569E-3</v>
      </c>
      <c r="T9" s="5">
        <f t="shared" ca="1" si="10"/>
        <v>6.3351337291261576E-3</v>
      </c>
      <c r="U9" s="5">
        <f t="shared" ca="1" si="11"/>
        <v>6.3899813133767303E-3</v>
      </c>
      <c r="V9" s="5">
        <f t="shared" ca="1" si="12"/>
        <v>6.50621095947894E-3</v>
      </c>
      <c r="W9" s="5">
        <f t="shared" ca="1" si="13"/>
        <v>6.462105946426289E-3</v>
      </c>
      <c r="X9" s="5">
        <f t="shared" ca="1" si="14"/>
        <v>6.3230443738287786E-3</v>
      </c>
      <c r="Y9" s="5">
        <f t="shared" ca="1" si="15"/>
        <v>6.4135101758905745E-3</v>
      </c>
      <c r="Z9" s="5">
        <f t="shared" ca="1" si="16"/>
        <v>6.3654964606019281E-3</v>
      </c>
      <c r="AA9" s="5">
        <f t="shared" ca="1" si="17"/>
        <v>6.4340317486612066E-3</v>
      </c>
      <c r="AB9" s="5">
        <f t="shared" ca="1" si="18"/>
        <v>6.4766645480845812E-3</v>
      </c>
      <c r="AC9" s="5">
        <f t="shared" ca="1" si="19"/>
        <v>6.605662814085065E-3</v>
      </c>
      <c r="AD9" s="5">
        <f t="shared" ca="1" si="20"/>
        <v>6.4250043096922508E-3</v>
      </c>
      <c r="AE9" s="5">
        <f t="shared" ca="1" si="21"/>
        <v>6.4196940401065623E-3</v>
      </c>
      <c r="AF9" s="5">
        <f t="shared" ca="1" si="22"/>
        <v>6.4523410606012223E-3</v>
      </c>
      <c r="AG9" s="5">
        <f t="shared" ca="1" si="23"/>
        <v>6.3745309530348739E-3</v>
      </c>
      <c r="AH9" s="5">
        <f t="shared" ca="1" si="24"/>
        <v>6.3817804990950128E-3</v>
      </c>
      <c r="AI9" s="5">
        <f t="shared" ca="1" si="25"/>
        <v>6.5168199686849518E-3</v>
      </c>
      <c r="AJ9" s="5">
        <f t="shared" ca="1" si="26"/>
        <v>6.4689146907206257E-3</v>
      </c>
      <c r="AK9" s="5">
        <f t="shared" ca="1" si="27"/>
        <v>6.4181937678992225E-3</v>
      </c>
      <c r="AL9" s="5">
        <f t="shared" ca="1" si="28"/>
        <v>6.2156416162898126E-3</v>
      </c>
      <c r="AM9" s="5">
        <f t="shared" ca="1" si="29"/>
        <v>6.443039783797456E-3</v>
      </c>
      <c r="AN9" s="5">
        <f t="shared" ca="1" si="30"/>
        <v>6.4658630250124189E-3</v>
      </c>
      <c r="AO9" s="5">
        <f t="shared" ca="1" si="31"/>
        <v>6.4400521514547376E-3</v>
      </c>
      <c r="AP9" s="5">
        <f t="shared" ca="1" si="32"/>
        <v>6.3585516404553498E-3</v>
      </c>
      <c r="AQ9" s="5">
        <f t="shared" ca="1" si="33"/>
        <v>6.4014412298695946E-3</v>
      </c>
      <c r="AR9" s="5">
        <f t="shared" ca="1" si="34"/>
        <v>6.3713104880339126E-3</v>
      </c>
      <c r="AS9" s="5">
        <f t="shared" ca="1" si="35"/>
        <v>6.5160646237365167E-3</v>
      </c>
      <c r="AT9" s="5">
        <f t="shared" ca="1" si="36"/>
        <v>6.2294956861368225E-3</v>
      </c>
      <c r="AU9" s="5">
        <f t="shared" ca="1" si="37"/>
        <v>6.3364675803162102E-3</v>
      </c>
      <c r="AV9" s="5">
        <f t="shared" ca="1" si="38"/>
        <v>6.4708916556708556E-3</v>
      </c>
      <c r="AW9" s="5">
        <f t="shared" ca="1" si="39"/>
        <v>6.4904037532967709E-3</v>
      </c>
      <c r="AX9" s="5">
        <f t="shared" ca="1" si="40"/>
        <v>6.4576077040370107E-3</v>
      </c>
      <c r="AY9" s="5">
        <f t="shared" ca="1" si="41"/>
        <v>6.3550667149606908E-3</v>
      </c>
      <c r="AZ9" s="5">
        <f t="shared" ca="1" si="42"/>
        <v>6.4457108906546476E-3</v>
      </c>
      <c r="BA9" s="5">
        <f t="shared" ca="1" si="43"/>
        <v>6.4544642886454557E-3</v>
      </c>
      <c r="BB9" s="5">
        <f t="shared" ca="1" si="44"/>
        <v>6.4364140476089087E-3</v>
      </c>
      <c r="BC9" s="5">
        <f t="shared" ca="1" si="45"/>
        <v>6.4039597903837566E-3</v>
      </c>
      <c r="BD9" s="5">
        <f t="shared" ca="1" si="46"/>
        <v>6.362432525894442E-3</v>
      </c>
      <c r="BE9" s="5">
        <f t="shared" ca="1" si="47"/>
        <v>6.3680619553436145E-3</v>
      </c>
      <c r="BF9" s="5">
        <f t="shared" ca="1" si="48"/>
        <v>6.3250404527143908E-3</v>
      </c>
      <c r="BG9" s="5">
        <f t="shared" ca="1" si="49"/>
        <v>6.426792691509392E-3</v>
      </c>
      <c r="BH9" s="5">
        <f t="shared" ca="1" si="50"/>
        <v>6.364686760165183E-3</v>
      </c>
      <c r="BI9" s="5">
        <f t="shared" ca="1" si="51"/>
        <v>6.5920146110538952E-3</v>
      </c>
      <c r="BJ9" s="5">
        <f t="shared" ca="1" si="52"/>
        <v>6.2897825724603767E-3</v>
      </c>
      <c r="BK9" s="5">
        <f t="shared" ca="1" si="53"/>
        <v>6.5092883749501432E-3</v>
      </c>
      <c r="BL9" s="5">
        <f t="shared" ca="1" si="54"/>
        <v>6.3754452657741323E-3</v>
      </c>
      <c r="BM9" s="5">
        <f t="shared" ca="1" si="55"/>
        <v>6.4538700816833515E-3</v>
      </c>
      <c r="BN9" s="5">
        <f t="shared" ca="1" si="56"/>
        <v>6.3809484929163518E-3</v>
      </c>
      <c r="BO9" s="5">
        <f t="shared" ca="1" si="57"/>
        <v>6.3892935313977807E-3</v>
      </c>
      <c r="BP9" s="5">
        <f t="shared" ca="1" si="58"/>
        <v>6.4078209443444705E-3</v>
      </c>
      <c r="BQ9" s="5">
        <f t="shared" ca="1" si="59"/>
        <v>6.3557014100898007E-3</v>
      </c>
      <c r="BR9" s="5">
        <f t="shared" ca="1" si="60"/>
        <v>6.4037626259180686E-3</v>
      </c>
      <c r="BS9" s="5">
        <f t="shared" ca="1" si="61"/>
        <v>6.511267123966445E-3</v>
      </c>
      <c r="BT9" s="5">
        <f t="shared" ca="1" si="62"/>
        <v>6.4098545901231721E-3</v>
      </c>
      <c r="BU9" s="5">
        <f t="shared" ca="1" si="63"/>
        <v>6.3283147497429195E-3</v>
      </c>
      <c r="BV9" s="5">
        <f t="shared" ca="1" si="64"/>
        <v>6.573789553342908E-3</v>
      </c>
      <c r="BW9" s="5">
        <f t="shared" ca="1" si="65"/>
        <v>6.5558049156899251E-3</v>
      </c>
      <c r="BX9" s="5">
        <f t="shared" ca="1" si="66"/>
        <v>6.2514185785082091E-3</v>
      </c>
      <c r="BY9" s="5">
        <f t="shared" ca="1" si="67"/>
        <v>6.4000239152525876E-3</v>
      </c>
      <c r="BZ9" s="5">
        <f t="shared" ca="1" si="68"/>
        <v>6.4666887316638484E-3</v>
      </c>
      <c r="CA9" s="5">
        <f t="shared" ca="1" si="69"/>
        <v>6.3272906979957655E-3</v>
      </c>
      <c r="CB9" s="5">
        <f t="shared" ca="1" si="70"/>
        <v>6.3392338104975698E-3</v>
      </c>
      <c r="CC9" s="5">
        <f t="shared" ca="1" si="71"/>
        <v>6.4847860840192319E-3</v>
      </c>
      <c r="CD9" s="5">
        <f t="shared" ca="1" si="72"/>
        <v>6.4700724563087003E-3</v>
      </c>
      <c r="CE9" s="5">
        <f t="shared" ca="1" si="73"/>
        <v>6.4507523946716666E-3</v>
      </c>
      <c r="CF9" s="5">
        <f t="shared" ca="1" si="74"/>
        <v>6.2868097300303027E-3</v>
      </c>
      <c r="CG9" s="5">
        <f t="shared" ca="1" si="75"/>
        <v>6.3933176317379544E-3</v>
      </c>
      <c r="CH9" s="5">
        <f t="shared" ca="1" si="76"/>
        <v>6.4302598590517575E-3</v>
      </c>
      <c r="CI9" s="5">
        <f t="shared" ca="1" si="77"/>
        <v>6.5181116885137912E-3</v>
      </c>
      <c r="CJ9" s="5">
        <f t="shared" ca="1" si="78"/>
        <v>6.3848902786028169E-3</v>
      </c>
      <c r="CK9" s="5">
        <f t="shared" ca="1" si="79"/>
        <v>6.4111292154517127E-3</v>
      </c>
      <c r="CL9" s="5">
        <f t="shared" ca="1" si="80"/>
        <v>6.4382609850092134E-3</v>
      </c>
      <c r="CM9" s="5">
        <f t="shared" ca="1" si="81"/>
        <v>6.4378999080383558E-3</v>
      </c>
      <c r="CN9" s="5">
        <f t="shared" ca="1" si="82"/>
        <v>6.5193482552842446E-3</v>
      </c>
      <c r="CO9" s="5">
        <f t="shared" ca="1" si="83"/>
        <v>6.4895180996972883E-3</v>
      </c>
      <c r="CP9" s="5">
        <f t="shared" ca="1" si="84"/>
        <v>6.4689677553494166E-3</v>
      </c>
      <c r="CQ9" s="5">
        <f t="shared" ca="1" si="85"/>
        <v>6.2900838938950779E-3</v>
      </c>
      <c r="CR9" s="5">
        <f t="shared" ca="1" si="86"/>
        <v>6.3302547625659266E-3</v>
      </c>
      <c r="CS9" s="5">
        <f t="shared" ca="1" si="87"/>
        <v>6.443649129744153E-3</v>
      </c>
      <c r="CT9" s="5">
        <f t="shared" ca="1" si="88"/>
        <v>6.4164891525712092E-3</v>
      </c>
      <c r="CU9" s="5">
        <f t="shared" ca="1" si="89"/>
        <v>6.2818505843067552E-3</v>
      </c>
      <c r="CV9" s="5">
        <f t="shared" ca="1" si="90"/>
        <v>6.5757356640340683E-3</v>
      </c>
      <c r="CW9" s="5">
        <f t="shared" ca="1" si="91"/>
        <v>6.2864357812040476E-3</v>
      </c>
      <c r="CX9" s="5">
        <f t="shared" ca="1" si="92"/>
        <v>6.3423157308287242E-3</v>
      </c>
      <c r="CY9" s="5">
        <f t="shared" ca="1" si="93"/>
        <v>6.3835255237015918E-3</v>
      </c>
      <c r="CZ9" s="5">
        <f t="shared" ca="1" si="94"/>
        <v>6.3537111765032015E-3</v>
      </c>
      <c r="DA9" s="5">
        <f t="shared" ca="1" si="95"/>
        <v>6.3033539581279106E-3</v>
      </c>
      <c r="DB9" s="5">
        <f t="shared" ca="1" si="96"/>
        <v>6.4091862170631425E-3</v>
      </c>
      <c r="DC9" s="5">
        <f t="shared" ca="1" si="97"/>
        <v>6.3303507031804845E-3</v>
      </c>
      <c r="DD9" s="5">
        <f t="shared" ca="1" si="98"/>
        <v>6.1359313857223983E-3</v>
      </c>
      <c r="DE9" s="5">
        <f t="shared" ca="1" si="99"/>
        <v>6.4902844542871043E-3</v>
      </c>
      <c r="DF9" s="5">
        <f t="shared" ca="1" si="100"/>
        <v>6.5073958279562496E-3</v>
      </c>
      <c r="DG9" s="5">
        <f t="shared" ca="1" si="101"/>
        <v>6.3662244811951143E-3</v>
      </c>
      <c r="DH9" s="5">
        <f t="shared" ca="1" si="102"/>
        <v>6.3037143272235696E-3</v>
      </c>
      <c r="DI9" s="5">
        <f t="shared" ca="1" si="103"/>
        <v>6.3406994639113902E-3</v>
      </c>
      <c r="DJ9" s="5">
        <f t="shared" ca="1" si="104"/>
        <v>6.4775835224794975E-3</v>
      </c>
    </row>
    <row r="10" spans="1:114" outlineLevel="1" x14ac:dyDescent="0.2">
      <c r="A10" s="61"/>
      <c r="B10" s="61"/>
      <c r="C10" s="61"/>
      <c r="D10" s="61"/>
      <c r="E10" s="32">
        <v>44774</v>
      </c>
      <c r="F10" s="9">
        <v>1875</v>
      </c>
      <c r="G10" s="5">
        <f t="shared" ca="1" si="0"/>
        <v>-3.5193442186529323E-3</v>
      </c>
      <c r="H10" s="5">
        <f t="shared" ca="1" si="1"/>
        <v>6.4183489600198301E-3</v>
      </c>
      <c r="I10" s="9">
        <f t="shared" ca="1" si="2"/>
        <v>15028.164085132948</v>
      </c>
      <c r="K10" s="6">
        <v>6</v>
      </c>
      <c r="L10" s="5">
        <v>362393.9203165287</v>
      </c>
      <c r="N10" s="32">
        <v>44743</v>
      </c>
      <c r="O10" s="5">
        <f t="shared" ca="1" si="5"/>
        <v>6.6438682094538074E-3</v>
      </c>
      <c r="P10" s="5">
        <f t="shared" ca="1" si="6"/>
        <v>6.6115789767808878E-3</v>
      </c>
      <c r="Q10" s="5">
        <f t="shared" ca="1" si="7"/>
        <v>6.5138746137407269E-3</v>
      </c>
      <c r="R10" s="5">
        <f t="shared" ca="1" si="8"/>
        <v>6.5880343069290009E-3</v>
      </c>
      <c r="S10" s="5">
        <f t="shared" ca="1" si="9"/>
        <v>6.4639969345969784E-3</v>
      </c>
      <c r="T10" s="5">
        <f t="shared" ca="1" si="10"/>
        <v>6.2236775311908235E-3</v>
      </c>
      <c r="U10" s="5">
        <f t="shared" ca="1" si="11"/>
        <v>6.3631224468608761E-3</v>
      </c>
      <c r="V10" s="5">
        <f t="shared" ca="1" si="12"/>
        <v>6.4170350041189723E-3</v>
      </c>
      <c r="W10" s="5">
        <f t="shared" ca="1" si="13"/>
        <v>6.5017207989265793E-3</v>
      </c>
      <c r="X10" s="5">
        <f t="shared" ca="1" si="14"/>
        <v>6.3647302757191678E-3</v>
      </c>
      <c r="Y10" s="5">
        <f t="shared" ca="1" si="15"/>
        <v>6.4575006507671135E-3</v>
      </c>
      <c r="Z10" s="5">
        <f t="shared" ca="1" si="16"/>
        <v>6.3942372392404752E-3</v>
      </c>
      <c r="AA10" s="5">
        <f t="shared" ca="1" si="17"/>
        <v>6.5138823340205078E-3</v>
      </c>
      <c r="AB10" s="5">
        <f t="shared" ca="1" si="18"/>
        <v>6.4885616309696753E-3</v>
      </c>
      <c r="AC10" s="5">
        <f t="shared" ca="1" si="19"/>
        <v>6.6808788086434485E-3</v>
      </c>
      <c r="AD10" s="5">
        <f t="shared" ca="1" si="20"/>
        <v>6.4375566568328994E-3</v>
      </c>
      <c r="AE10" s="5">
        <f t="shared" ca="1" si="21"/>
        <v>6.4371494013060072E-3</v>
      </c>
      <c r="AF10" s="5">
        <f t="shared" ca="1" si="22"/>
        <v>6.4683505080374935E-3</v>
      </c>
      <c r="AG10" s="5">
        <f t="shared" ca="1" si="23"/>
        <v>6.3308887932895883E-3</v>
      </c>
      <c r="AH10" s="5">
        <f t="shared" ca="1" si="24"/>
        <v>6.3996679587216389E-3</v>
      </c>
      <c r="AI10" s="5">
        <f t="shared" ca="1" si="25"/>
        <v>6.5519455011991672E-3</v>
      </c>
      <c r="AJ10" s="5">
        <f t="shared" ca="1" si="26"/>
        <v>6.4862151431234593E-3</v>
      </c>
      <c r="AK10" s="5">
        <f t="shared" ca="1" si="27"/>
        <v>6.421707485251906E-3</v>
      </c>
      <c r="AL10" s="5">
        <f t="shared" ca="1" si="28"/>
        <v>6.1715410411951801E-3</v>
      </c>
      <c r="AM10" s="5">
        <f t="shared" ca="1" si="29"/>
        <v>6.5137566110663042E-3</v>
      </c>
      <c r="AN10" s="5">
        <f t="shared" ca="1" si="30"/>
        <v>6.4324467170481384E-3</v>
      </c>
      <c r="AO10" s="5">
        <f t="shared" ca="1" si="31"/>
        <v>6.4126665768878171E-3</v>
      </c>
      <c r="AP10" s="5">
        <f t="shared" ca="1" si="32"/>
        <v>6.373724335971491E-3</v>
      </c>
      <c r="AQ10" s="5">
        <f t="shared" ca="1" si="33"/>
        <v>6.4002284492303222E-3</v>
      </c>
      <c r="AR10" s="5">
        <f t="shared" ca="1" si="34"/>
        <v>6.3909222760307445E-3</v>
      </c>
      <c r="AS10" s="5">
        <f t="shared" ca="1" si="35"/>
        <v>6.5315575934356968E-3</v>
      </c>
      <c r="AT10" s="5">
        <f t="shared" ca="1" si="36"/>
        <v>6.2997627478283465E-3</v>
      </c>
      <c r="AU10" s="5">
        <f t="shared" ca="1" si="37"/>
        <v>6.2819206285569633E-3</v>
      </c>
      <c r="AV10" s="5">
        <f t="shared" ca="1" si="38"/>
        <v>6.5260792336586868E-3</v>
      </c>
      <c r="AW10" s="5">
        <f t="shared" ca="1" si="39"/>
        <v>6.5104831774804002E-3</v>
      </c>
      <c r="AX10" s="5">
        <f t="shared" ca="1" si="40"/>
        <v>6.5142022650108112E-3</v>
      </c>
      <c r="AY10" s="5">
        <f t="shared" ca="1" si="41"/>
        <v>6.3885758775655659E-3</v>
      </c>
      <c r="AZ10" s="5">
        <f t="shared" ca="1" si="42"/>
        <v>6.4323930275381087E-3</v>
      </c>
      <c r="BA10" s="5">
        <f t="shared" ca="1" si="43"/>
        <v>6.4338916781711509E-3</v>
      </c>
      <c r="BB10" s="5">
        <f t="shared" ca="1" si="44"/>
        <v>6.5198204029167728E-3</v>
      </c>
      <c r="BC10" s="5">
        <f t="shared" ca="1" si="45"/>
        <v>6.3815982529254233E-3</v>
      </c>
      <c r="BD10" s="5">
        <f t="shared" ca="1" si="46"/>
        <v>6.4183823052989366E-3</v>
      </c>
      <c r="BE10" s="5">
        <f t="shared" ca="1" si="47"/>
        <v>6.3825384686236573E-3</v>
      </c>
      <c r="BF10" s="5">
        <f t="shared" ca="1" si="48"/>
        <v>6.3782508009560309E-3</v>
      </c>
      <c r="BG10" s="5">
        <f t="shared" ca="1" si="49"/>
        <v>6.3563729983563428E-3</v>
      </c>
      <c r="BH10" s="5">
        <f t="shared" ca="1" si="50"/>
        <v>6.3146413893871911E-3</v>
      </c>
      <c r="BI10" s="5">
        <f t="shared" ca="1" si="51"/>
        <v>6.6227357564724179E-3</v>
      </c>
      <c r="BJ10" s="5">
        <f t="shared" ca="1" si="52"/>
        <v>6.3371970216679176E-3</v>
      </c>
      <c r="BK10" s="5">
        <f t="shared" ca="1" si="53"/>
        <v>6.475393907833563E-3</v>
      </c>
      <c r="BL10" s="5">
        <f t="shared" ca="1" si="54"/>
        <v>6.4048926612151665E-3</v>
      </c>
      <c r="BM10" s="5">
        <f t="shared" ca="1" si="55"/>
        <v>6.4397582960451834E-3</v>
      </c>
      <c r="BN10" s="5">
        <f t="shared" ca="1" si="56"/>
        <v>6.3562494388596834E-3</v>
      </c>
      <c r="BO10" s="5">
        <f t="shared" ca="1" si="57"/>
        <v>6.3792670964116904E-3</v>
      </c>
      <c r="BP10" s="5">
        <f t="shared" ca="1" si="58"/>
        <v>6.4540916054866221E-3</v>
      </c>
      <c r="BQ10" s="5">
        <f t="shared" ca="1" si="59"/>
        <v>6.3464042509968595E-3</v>
      </c>
      <c r="BR10" s="5">
        <f t="shared" ca="1" si="60"/>
        <v>6.3706674678245733E-3</v>
      </c>
      <c r="BS10" s="5">
        <f t="shared" ca="1" si="61"/>
        <v>6.4988295455682254E-3</v>
      </c>
      <c r="BT10" s="5">
        <f t="shared" ca="1" si="62"/>
        <v>6.3864643425180405E-3</v>
      </c>
      <c r="BU10" s="5">
        <f t="shared" ca="1" si="63"/>
        <v>6.3232639135561899E-3</v>
      </c>
      <c r="BV10" s="5">
        <f t="shared" ca="1" si="64"/>
        <v>6.6493466739581744E-3</v>
      </c>
      <c r="BW10" s="5">
        <f t="shared" ca="1" si="65"/>
        <v>6.6312864768867299E-3</v>
      </c>
      <c r="BX10" s="5">
        <f t="shared" ca="1" si="66"/>
        <v>6.2305207646582844E-3</v>
      </c>
      <c r="BY10" s="5">
        <f t="shared" ca="1" si="67"/>
        <v>6.3782228592373317E-3</v>
      </c>
      <c r="BZ10" s="5">
        <f t="shared" ca="1" si="68"/>
        <v>6.4307909063633711E-3</v>
      </c>
      <c r="CA10" s="5">
        <f t="shared" ca="1" si="69"/>
        <v>6.2988504929929875E-3</v>
      </c>
      <c r="CB10" s="5">
        <f t="shared" ca="1" si="70"/>
        <v>6.3605445002340236E-3</v>
      </c>
      <c r="CC10" s="5">
        <f t="shared" ca="1" si="71"/>
        <v>6.4445690308024802E-3</v>
      </c>
      <c r="CD10" s="5">
        <f t="shared" ca="1" si="72"/>
        <v>6.4814860025702659E-3</v>
      </c>
      <c r="CE10" s="5">
        <f t="shared" ca="1" si="73"/>
        <v>6.4591846778654892E-3</v>
      </c>
      <c r="CF10" s="5">
        <f t="shared" ca="1" si="74"/>
        <v>6.3154807113800547E-3</v>
      </c>
      <c r="CG10" s="5">
        <f t="shared" ca="1" si="75"/>
        <v>6.4475457502234717E-3</v>
      </c>
      <c r="CH10" s="5">
        <f t="shared" ca="1" si="76"/>
        <v>6.4511806521838936E-3</v>
      </c>
      <c r="CI10" s="5">
        <f t="shared" ca="1" si="77"/>
        <v>6.4691797628862388E-3</v>
      </c>
      <c r="CJ10" s="5">
        <f t="shared" ca="1" si="78"/>
        <v>6.3942242061521036E-3</v>
      </c>
      <c r="CK10" s="5">
        <f t="shared" ca="1" si="79"/>
        <v>6.3243844471063317E-3</v>
      </c>
      <c r="CL10" s="5">
        <f t="shared" ca="1" si="80"/>
        <v>6.4461849791982283E-3</v>
      </c>
      <c r="CM10" s="5">
        <f t="shared" ca="1" si="81"/>
        <v>6.4842007676985417E-3</v>
      </c>
      <c r="CN10" s="5">
        <f t="shared" ca="1" si="82"/>
        <v>6.4749250191782686E-3</v>
      </c>
      <c r="CO10" s="5">
        <f t="shared" ca="1" si="83"/>
        <v>6.5112510763424437E-3</v>
      </c>
      <c r="CP10" s="5">
        <f t="shared" ca="1" si="84"/>
        <v>6.4657427373273485E-3</v>
      </c>
      <c r="CQ10" s="5">
        <f t="shared" ca="1" si="85"/>
        <v>6.2750612595606561E-3</v>
      </c>
      <c r="CR10" s="5">
        <f t="shared" ca="1" si="86"/>
        <v>6.3960920378905604E-3</v>
      </c>
      <c r="CS10" s="5">
        <f t="shared" ca="1" si="87"/>
        <v>6.5202411294494377E-3</v>
      </c>
      <c r="CT10" s="5">
        <f t="shared" ca="1" si="88"/>
        <v>6.4274241371457454E-3</v>
      </c>
      <c r="CU10" s="5">
        <f t="shared" ca="1" si="89"/>
        <v>6.2601550985665446E-3</v>
      </c>
      <c r="CV10" s="5">
        <f t="shared" ca="1" si="90"/>
        <v>6.6213131723079181E-3</v>
      </c>
      <c r="CW10" s="5">
        <f t="shared" ca="1" si="91"/>
        <v>6.2757723061176128E-3</v>
      </c>
      <c r="CX10" s="5">
        <f t="shared" ca="1" si="92"/>
        <v>6.4579456348312671E-3</v>
      </c>
      <c r="CY10" s="5">
        <f t="shared" ca="1" si="93"/>
        <v>6.3543528805530746E-3</v>
      </c>
      <c r="CZ10" s="5">
        <f t="shared" ca="1" si="94"/>
        <v>6.31279887601456E-3</v>
      </c>
      <c r="DA10" s="5">
        <f t="shared" ca="1" si="95"/>
        <v>6.3303333518781304E-3</v>
      </c>
      <c r="DB10" s="5">
        <f t="shared" ca="1" si="96"/>
        <v>6.4488068153561572E-3</v>
      </c>
      <c r="DC10" s="5">
        <f t="shared" ca="1" si="97"/>
        <v>6.3073279855413774E-3</v>
      </c>
      <c r="DD10" s="5">
        <f t="shared" ca="1" si="98"/>
        <v>6.1437646607522076E-3</v>
      </c>
      <c r="DE10" s="5">
        <f t="shared" ca="1" si="99"/>
        <v>6.5135612168759202E-3</v>
      </c>
      <c r="DF10" s="5">
        <f t="shared" ca="1" si="100"/>
        <v>6.5330910125639208E-3</v>
      </c>
      <c r="DG10" s="5">
        <f t="shared" ca="1" si="101"/>
        <v>6.3532073312756801E-3</v>
      </c>
      <c r="DH10" s="5">
        <f t="shared" ca="1" si="102"/>
        <v>6.3187662401547988E-3</v>
      </c>
      <c r="DI10" s="5">
        <f t="shared" ca="1" si="103"/>
        <v>6.3253335781063673E-3</v>
      </c>
      <c r="DJ10" s="5">
        <f t="shared" ca="1" si="104"/>
        <v>6.4333992728744689E-3</v>
      </c>
    </row>
    <row r="11" spans="1:114" outlineLevel="1" x14ac:dyDescent="0.2">
      <c r="A11" s="61"/>
      <c r="B11" s="61"/>
      <c r="C11" s="61"/>
      <c r="D11" s="61"/>
      <c r="E11" s="32">
        <v>44805</v>
      </c>
      <c r="F11" s="9">
        <v>1875</v>
      </c>
      <c r="G11" s="5">
        <f t="shared" ca="1" si="0"/>
        <v>-0.13528638965084794</v>
      </c>
      <c r="H11" s="5">
        <f t="shared" ca="1" si="1"/>
        <v>6.422001913165911E-3</v>
      </c>
      <c r="I11" s="9">
        <f t="shared" ca="1" si="2"/>
        <v>16911.208812452045</v>
      </c>
      <c r="K11" s="6">
        <v>7</v>
      </c>
      <c r="L11" s="5">
        <v>362033.78222970857</v>
      </c>
      <c r="N11" s="32">
        <v>44774</v>
      </c>
      <c r="O11" s="5">
        <f t="shared" ca="1" si="5"/>
        <v>6.6530769011847691E-3</v>
      </c>
      <c r="P11" s="5">
        <f t="shared" ca="1" si="6"/>
        <v>6.6101349060032179E-3</v>
      </c>
      <c r="Q11" s="5">
        <f t="shared" ca="1" si="7"/>
        <v>6.5372917280122371E-3</v>
      </c>
      <c r="R11" s="5">
        <f t="shared" ca="1" si="8"/>
        <v>6.5918451345688906E-3</v>
      </c>
      <c r="S11" s="5">
        <f t="shared" ca="1" si="9"/>
        <v>6.4018242082138225E-3</v>
      </c>
      <c r="T11" s="5">
        <f t="shared" ca="1" si="10"/>
        <v>6.1825948950313802E-3</v>
      </c>
      <c r="U11" s="5">
        <f t="shared" ca="1" si="11"/>
        <v>6.3846405417409E-3</v>
      </c>
      <c r="V11" s="5">
        <f t="shared" ca="1" si="12"/>
        <v>6.4148236629642998E-3</v>
      </c>
      <c r="W11" s="5">
        <f t="shared" ca="1" si="13"/>
        <v>6.4235548681115034E-3</v>
      </c>
      <c r="X11" s="5">
        <f t="shared" ca="1" si="14"/>
        <v>6.3874142667367604E-3</v>
      </c>
      <c r="Y11" s="5">
        <f t="shared" ca="1" si="15"/>
        <v>6.481746737237319E-3</v>
      </c>
      <c r="Z11" s="5">
        <f t="shared" ca="1" si="16"/>
        <v>6.4251925448925197E-3</v>
      </c>
      <c r="AA11" s="5">
        <f t="shared" ca="1" si="17"/>
        <v>6.4985368773664591E-3</v>
      </c>
      <c r="AB11" s="5">
        <f t="shared" ca="1" si="18"/>
        <v>6.4955461284658443E-3</v>
      </c>
      <c r="AC11" s="5">
        <f t="shared" ca="1" si="19"/>
        <v>6.7102526141443646E-3</v>
      </c>
      <c r="AD11" s="5">
        <f t="shared" ca="1" si="20"/>
        <v>6.4951444117702459E-3</v>
      </c>
      <c r="AE11" s="5">
        <f t="shared" ca="1" si="21"/>
        <v>6.4220690705936714E-3</v>
      </c>
      <c r="AF11" s="5">
        <f t="shared" ca="1" si="22"/>
        <v>6.5053706289135357E-3</v>
      </c>
      <c r="AG11" s="5">
        <f t="shared" ca="1" si="23"/>
        <v>6.3008158620751998E-3</v>
      </c>
      <c r="AH11" s="5">
        <f t="shared" ca="1" si="24"/>
        <v>6.3825043228440577E-3</v>
      </c>
      <c r="AI11" s="5">
        <f t="shared" ca="1" si="25"/>
        <v>6.5200728023657442E-3</v>
      </c>
      <c r="AJ11" s="5">
        <f t="shared" ca="1" si="26"/>
        <v>6.5001001048000471E-3</v>
      </c>
      <c r="AK11" s="5">
        <f t="shared" ca="1" si="27"/>
        <v>6.4380075968519567E-3</v>
      </c>
      <c r="AL11" s="5">
        <f t="shared" ca="1" si="28"/>
        <v>6.1744144574501624E-3</v>
      </c>
      <c r="AM11" s="5">
        <f t="shared" ca="1" si="29"/>
        <v>6.5232639245937016E-3</v>
      </c>
      <c r="AN11" s="5">
        <f t="shared" ca="1" si="30"/>
        <v>6.4328998663341031E-3</v>
      </c>
      <c r="AO11" s="5">
        <f t="shared" ca="1" si="31"/>
        <v>6.4242916291053949E-3</v>
      </c>
      <c r="AP11" s="5">
        <f t="shared" ca="1" si="32"/>
        <v>6.4070415793653183E-3</v>
      </c>
      <c r="AQ11" s="5">
        <f t="shared" ca="1" si="33"/>
        <v>6.3619656525138162E-3</v>
      </c>
      <c r="AR11" s="5">
        <f t="shared" ca="1" si="34"/>
        <v>6.3903234923626583E-3</v>
      </c>
      <c r="AS11" s="5">
        <f t="shared" ca="1" si="35"/>
        <v>6.4995003680701933E-3</v>
      </c>
      <c r="AT11" s="5">
        <f t="shared" ca="1" si="36"/>
        <v>6.3202802298247427E-3</v>
      </c>
      <c r="AU11" s="5">
        <f t="shared" ca="1" si="37"/>
        <v>6.2786060412085756E-3</v>
      </c>
      <c r="AV11" s="5">
        <f t="shared" ca="1" si="38"/>
        <v>6.5291603047639406E-3</v>
      </c>
      <c r="AW11" s="5">
        <f t="shared" ca="1" si="39"/>
        <v>6.5150930534844239E-3</v>
      </c>
      <c r="AX11" s="5">
        <f t="shared" ca="1" si="40"/>
        <v>6.5046464444364557E-3</v>
      </c>
      <c r="AY11" s="5">
        <f t="shared" ca="1" si="41"/>
        <v>6.4569057952735083E-3</v>
      </c>
      <c r="AZ11" s="5">
        <f t="shared" ca="1" si="42"/>
        <v>6.3615419784446778E-3</v>
      </c>
      <c r="BA11" s="5">
        <f t="shared" ca="1" si="43"/>
        <v>6.4316772810234677E-3</v>
      </c>
      <c r="BB11" s="5">
        <f t="shared" ca="1" si="44"/>
        <v>6.4745625150661396E-3</v>
      </c>
      <c r="BC11" s="5">
        <f t="shared" ca="1" si="45"/>
        <v>6.3883982023318292E-3</v>
      </c>
      <c r="BD11" s="5">
        <f t="shared" ca="1" si="46"/>
        <v>6.4408606645369295E-3</v>
      </c>
      <c r="BE11" s="5">
        <f t="shared" ca="1" si="47"/>
        <v>6.4022816922215042E-3</v>
      </c>
      <c r="BF11" s="5">
        <f t="shared" ca="1" si="48"/>
        <v>6.3907881767195822E-3</v>
      </c>
      <c r="BG11" s="5">
        <f t="shared" ca="1" si="49"/>
        <v>6.3923109065072469E-3</v>
      </c>
      <c r="BH11" s="5">
        <f t="shared" ca="1" si="50"/>
        <v>6.2954214002005392E-3</v>
      </c>
      <c r="BI11" s="5">
        <f t="shared" ca="1" si="51"/>
        <v>6.634067179532438E-3</v>
      </c>
      <c r="BJ11" s="5">
        <f t="shared" ca="1" si="52"/>
        <v>6.3052106759756881E-3</v>
      </c>
      <c r="BK11" s="5">
        <f t="shared" ca="1" si="53"/>
        <v>6.4576269542463991E-3</v>
      </c>
      <c r="BL11" s="5">
        <f t="shared" ca="1" si="54"/>
        <v>6.4147274832794914E-3</v>
      </c>
      <c r="BM11" s="5">
        <f t="shared" ca="1" si="55"/>
        <v>6.4439981623462435E-3</v>
      </c>
      <c r="BN11" s="5">
        <f t="shared" ca="1" si="56"/>
        <v>6.3575823487351784E-3</v>
      </c>
      <c r="BO11" s="5">
        <f t="shared" ca="1" si="57"/>
        <v>6.3817113251322492E-3</v>
      </c>
      <c r="BP11" s="5">
        <f t="shared" ca="1" si="58"/>
        <v>6.5397363611367056E-3</v>
      </c>
      <c r="BQ11" s="5">
        <f t="shared" ca="1" si="59"/>
        <v>6.3930137721669687E-3</v>
      </c>
      <c r="BR11" s="5">
        <f t="shared" ca="1" si="60"/>
        <v>6.3202996692369676E-3</v>
      </c>
      <c r="BS11" s="5">
        <f t="shared" ca="1" si="61"/>
        <v>6.49385233742855E-3</v>
      </c>
      <c r="BT11" s="5">
        <f t="shared" ca="1" si="62"/>
        <v>6.3635445500516488E-3</v>
      </c>
      <c r="BU11" s="5">
        <f t="shared" ca="1" si="63"/>
        <v>6.3910314225800787E-3</v>
      </c>
      <c r="BV11" s="5">
        <f t="shared" ca="1" si="64"/>
        <v>6.7186326734277792E-3</v>
      </c>
      <c r="BW11" s="5">
        <f t="shared" ca="1" si="65"/>
        <v>6.7491353456627119E-3</v>
      </c>
      <c r="BX11" s="5">
        <f t="shared" ca="1" si="66"/>
        <v>6.2071226327855365E-3</v>
      </c>
      <c r="BY11" s="5">
        <f t="shared" ca="1" si="67"/>
        <v>6.3325284384203456E-3</v>
      </c>
      <c r="BZ11" s="5">
        <f t="shared" ca="1" si="68"/>
        <v>6.4062910269695331E-3</v>
      </c>
      <c r="CA11" s="5">
        <f t="shared" ca="1" si="69"/>
        <v>6.408535126368662E-3</v>
      </c>
      <c r="CB11" s="5">
        <f t="shared" ca="1" si="70"/>
        <v>6.2979338719586385E-3</v>
      </c>
      <c r="CC11" s="5">
        <f t="shared" ca="1" si="71"/>
        <v>6.4568462483690471E-3</v>
      </c>
      <c r="CD11" s="5">
        <f t="shared" ca="1" si="72"/>
        <v>6.4370394599213374E-3</v>
      </c>
      <c r="CE11" s="5">
        <f t="shared" ca="1" si="73"/>
        <v>6.5024943029182245E-3</v>
      </c>
      <c r="CF11" s="5">
        <f t="shared" ca="1" si="74"/>
        <v>6.2769600507375945E-3</v>
      </c>
      <c r="CG11" s="5">
        <f t="shared" ca="1" si="75"/>
        <v>6.4234312485560562E-3</v>
      </c>
      <c r="CH11" s="5">
        <f t="shared" ca="1" si="76"/>
        <v>6.4544799889335773E-3</v>
      </c>
      <c r="CI11" s="5">
        <f t="shared" ca="1" si="77"/>
        <v>6.4822723049288026E-3</v>
      </c>
      <c r="CJ11" s="5">
        <f t="shared" ca="1" si="78"/>
        <v>6.3809120544138006E-3</v>
      </c>
      <c r="CK11" s="5">
        <f t="shared" ca="1" si="79"/>
        <v>6.3745245705880086E-3</v>
      </c>
      <c r="CL11" s="5">
        <f t="shared" ca="1" si="80"/>
        <v>6.3877423243335826E-3</v>
      </c>
      <c r="CM11" s="5">
        <f t="shared" ca="1" si="81"/>
        <v>6.4997945372592073E-3</v>
      </c>
      <c r="CN11" s="5">
        <f t="shared" ca="1" si="82"/>
        <v>6.434856392353183E-3</v>
      </c>
      <c r="CO11" s="5">
        <f t="shared" ca="1" si="83"/>
        <v>6.4938559296232072E-3</v>
      </c>
      <c r="CP11" s="5">
        <f t="shared" ca="1" si="84"/>
        <v>6.5836129547482457E-3</v>
      </c>
      <c r="CQ11" s="5">
        <f t="shared" ca="1" si="85"/>
        <v>6.3057165327441234E-3</v>
      </c>
      <c r="CR11" s="5">
        <f t="shared" ca="1" si="86"/>
        <v>6.3869006520426352E-3</v>
      </c>
      <c r="CS11" s="5">
        <f t="shared" ca="1" si="87"/>
        <v>6.5240385590399786E-3</v>
      </c>
      <c r="CT11" s="5">
        <f t="shared" ca="1" si="88"/>
        <v>6.4739200202467637E-3</v>
      </c>
      <c r="CU11" s="5">
        <f t="shared" ca="1" si="89"/>
        <v>6.2492447153541424E-3</v>
      </c>
      <c r="CV11" s="5">
        <f t="shared" ca="1" si="90"/>
        <v>6.573464736880196E-3</v>
      </c>
      <c r="CW11" s="5">
        <f t="shared" ca="1" si="91"/>
        <v>6.4046608644795708E-3</v>
      </c>
      <c r="CX11" s="5">
        <f t="shared" ca="1" si="92"/>
        <v>6.4048557755836981E-3</v>
      </c>
      <c r="CY11" s="5">
        <f t="shared" ca="1" si="93"/>
        <v>6.3871504090011674E-3</v>
      </c>
      <c r="CZ11" s="5">
        <f t="shared" ca="1" si="94"/>
        <v>6.3466584481968501E-3</v>
      </c>
      <c r="DA11" s="5">
        <f t="shared" ca="1" si="95"/>
        <v>6.3389773831422072E-3</v>
      </c>
      <c r="DB11" s="5">
        <f t="shared" ca="1" si="96"/>
        <v>6.4686084706118566E-3</v>
      </c>
      <c r="DC11" s="5">
        <f t="shared" ca="1" si="97"/>
        <v>6.3822917292751203E-3</v>
      </c>
      <c r="DD11" s="5">
        <f t="shared" ca="1" si="98"/>
        <v>6.1945638300865058E-3</v>
      </c>
      <c r="DE11" s="5">
        <f t="shared" ca="1" si="99"/>
        <v>6.5536892728567707E-3</v>
      </c>
      <c r="DF11" s="5">
        <f t="shared" ca="1" si="100"/>
        <v>6.5471992714352329E-3</v>
      </c>
      <c r="DG11" s="5">
        <f t="shared" ca="1" si="101"/>
        <v>6.3090016434530416E-3</v>
      </c>
      <c r="DH11" s="5">
        <f t="shared" ca="1" si="102"/>
        <v>6.2764155485668565E-3</v>
      </c>
      <c r="DI11" s="5">
        <f t="shared" ca="1" si="103"/>
        <v>6.3734228249116634E-3</v>
      </c>
      <c r="DJ11" s="5">
        <f t="shared" ca="1" si="104"/>
        <v>6.4928251395025274E-3</v>
      </c>
    </row>
    <row r="12" spans="1:114" outlineLevel="1" x14ac:dyDescent="0.2">
      <c r="A12" s="61"/>
      <c r="B12" s="61"/>
      <c r="C12" s="61"/>
      <c r="D12" s="61"/>
      <c r="E12" s="32">
        <v>44835</v>
      </c>
      <c r="F12" s="9">
        <v>1875</v>
      </c>
      <c r="G12" s="5">
        <f t="shared" ca="1" si="0"/>
        <v>0.21375341858686794</v>
      </c>
      <c r="H12" s="5">
        <f t="shared" ca="1" si="1"/>
        <v>6.3572472657681947E-3</v>
      </c>
      <c r="I12" s="9">
        <f t="shared" ca="1" si="2"/>
        <v>18795.170247326827</v>
      </c>
      <c r="K12" s="6">
        <v>8</v>
      </c>
      <c r="L12" s="5">
        <v>362585.91689503123</v>
      </c>
      <c r="N12" s="32">
        <v>44805</v>
      </c>
      <c r="O12" s="5">
        <f t="shared" ca="1" si="5"/>
        <v>6.6440382019706248E-3</v>
      </c>
      <c r="P12" s="5">
        <f t="shared" ca="1" si="6"/>
        <v>6.588933808801452E-3</v>
      </c>
      <c r="Q12" s="5">
        <f t="shared" ca="1" si="7"/>
        <v>6.5358615158206245E-3</v>
      </c>
      <c r="R12" s="5">
        <f t="shared" ca="1" si="8"/>
        <v>6.5477735119832629E-3</v>
      </c>
      <c r="S12" s="5">
        <f t="shared" ca="1" si="9"/>
        <v>6.4107734403057769E-3</v>
      </c>
      <c r="T12" s="5">
        <f t="shared" ca="1" si="10"/>
        <v>6.1951660136195979E-3</v>
      </c>
      <c r="U12" s="5">
        <f t="shared" ca="1" si="11"/>
        <v>6.4136594047269737E-3</v>
      </c>
      <c r="V12" s="5">
        <f t="shared" ca="1" si="12"/>
        <v>6.3781989395512309E-3</v>
      </c>
      <c r="W12" s="5">
        <f t="shared" ca="1" si="13"/>
        <v>6.4363608881412553E-3</v>
      </c>
      <c r="X12" s="5">
        <f t="shared" ca="1" si="14"/>
        <v>6.3795683845268101E-3</v>
      </c>
      <c r="Y12" s="5">
        <f t="shared" ca="1" si="15"/>
        <v>6.5011006127225447E-3</v>
      </c>
      <c r="Z12" s="5">
        <f t="shared" ca="1" si="16"/>
        <v>6.3878915161499497E-3</v>
      </c>
      <c r="AA12" s="5">
        <f t="shared" ca="1" si="17"/>
        <v>6.5482803948596607E-3</v>
      </c>
      <c r="AB12" s="5">
        <f t="shared" ca="1" si="18"/>
        <v>6.5411117495184868E-3</v>
      </c>
      <c r="AC12" s="5">
        <f t="shared" ca="1" si="19"/>
        <v>6.6328517386013731E-3</v>
      </c>
      <c r="AD12" s="5">
        <f t="shared" ca="1" si="20"/>
        <v>6.5400084280784285E-3</v>
      </c>
      <c r="AE12" s="5">
        <f t="shared" ca="1" si="21"/>
        <v>6.4261221245885134E-3</v>
      </c>
      <c r="AF12" s="5">
        <f t="shared" ca="1" si="22"/>
        <v>6.4840016998128861E-3</v>
      </c>
      <c r="AG12" s="5">
        <f t="shared" ca="1" si="23"/>
        <v>6.3322750451062287E-3</v>
      </c>
      <c r="AH12" s="5">
        <f t="shared" ca="1" si="24"/>
        <v>6.4161775117287231E-3</v>
      </c>
      <c r="AI12" s="5">
        <f t="shared" ca="1" si="25"/>
        <v>6.5066947942396111E-3</v>
      </c>
      <c r="AJ12" s="5">
        <f t="shared" ca="1" si="26"/>
        <v>6.5136928140171295E-3</v>
      </c>
      <c r="AK12" s="5">
        <f t="shared" ca="1" si="27"/>
        <v>6.460006589419919E-3</v>
      </c>
      <c r="AL12" s="5">
        <f t="shared" ca="1" si="28"/>
        <v>6.1928053199257725E-3</v>
      </c>
      <c r="AM12" s="5">
        <f t="shared" ca="1" si="29"/>
        <v>6.433276297995027E-3</v>
      </c>
      <c r="AN12" s="5">
        <f t="shared" ca="1" si="30"/>
        <v>6.4579890524197161E-3</v>
      </c>
      <c r="AO12" s="5">
        <f t="shared" ca="1" si="31"/>
        <v>6.5260143784089753E-3</v>
      </c>
      <c r="AP12" s="5">
        <f t="shared" ca="1" si="32"/>
        <v>6.4178723034248484E-3</v>
      </c>
      <c r="AQ12" s="5">
        <f t="shared" ca="1" si="33"/>
        <v>6.3441903138821308E-3</v>
      </c>
      <c r="AR12" s="5">
        <f t="shared" ca="1" si="34"/>
        <v>6.4554489737426741E-3</v>
      </c>
      <c r="AS12" s="5">
        <f t="shared" ca="1" si="35"/>
        <v>6.5532715280487942E-3</v>
      </c>
      <c r="AT12" s="5">
        <f t="shared" ca="1" si="36"/>
        <v>6.3172230436986769E-3</v>
      </c>
      <c r="AU12" s="5">
        <f t="shared" ca="1" si="37"/>
        <v>6.3523724638618901E-3</v>
      </c>
      <c r="AV12" s="5">
        <f t="shared" ca="1" si="38"/>
        <v>6.588674228175463E-3</v>
      </c>
      <c r="AW12" s="5">
        <f t="shared" ca="1" si="39"/>
        <v>6.5708566832825797E-3</v>
      </c>
      <c r="AX12" s="5">
        <f t="shared" ca="1" si="40"/>
        <v>6.5439588518930759E-3</v>
      </c>
      <c r="AY12" s="5">
        <f t="shared" ca="1" si="41"/>
        <v>6.5129645336347696E-3</v>
      </c>
      <c r="AZ12" s="5">
        <f t="shared" ca="1" si="42"/>
        <v>6.3048228844723008E-3</v>
      </c>
      <c r="BA12" s="5">
        <f t="shared" ca="1" si="43"/>
        <v>6.465844533972513E-3</v>
      </c>
      <c r="BB12" s="5">
        <f t="shared" ca="1" si="44"/>
        <v>6.4830938141415976E-3</v>
      </c>
      <c r="BC12" s="5">
        <f t="shared" ca="1" si="45"/>
        <v>6.3390617715553873E-3</v>
      </c>
      <c r="BD12" s="5">
        <f t="shared" ca="1" si="46"/>
        <v>6.3962430729897126E-3</v>
      </c>
      <c r="BE12" s="5">
        <f t="shared" ca="1" si="47"/>
        <v>6.4455865871409423E-3</v>
      </c>
      <c r="BF12" s="5">
        <f t="shared" ca="1" si="48"/>
        <v>6.3789173640691208E-3</v>
      </c>
      <c r="BG12" s="5">
        <f t="shared" ca="1" si="49"/>
        <v>6.3616611611095096E-3</v>
      </c>
      <c r="BH12" s="5">
        <f t="shared" ca="1" si="50"/>
        <v>6.312974880539229E-3</v>
      </c>
      <c r="BI12" s="5">
        <f t="shared" ca="1" si="51"/>
        <v>6.6842311817971248E-3</v>
      </c>
      <c r="BJ12" s="5">
        <f t="shared" ca="1" si="52"/>
        <v>6.2853859857772594E-3</v>
      </c>
      <c r="BK12" s="5">
        <f t="shared" ca="1" si="53"/>
        <v>6.4626978868777118E-3</v>
      </c>
      <c r="BL12" s="5">
        <f t="shared" ca="1" si="54"/>
        <v>6.4092191782854895E-3</v>
      </c>
      <c r="BM12" s="5">
        <f t="shared" ca="1" si="55"/>
        <v>6.4347174526527802E-3</v>
      </c>
      <c r="BN12" s="5">
        <f t="shared" ca="1" si="56"/>
        <v>6.3732347911382471E-3</v>
      </c>
      <c r="BO12" s="5">
        <f t="shared" ca="1" si="57"/>
        <v>6.4148714922342828E-3</v>
      </c>
      <c r="BP12" s="5">
        <f t="shared" ca="1" si="58"/>
        <v>6.5111692836466051E-3</v>
      </c>
      <c r="BQ12" s="5">
        <f t="shared" ca="1" si="59"/>
        <v>6.4174293812133444E-3</v>
      </c>
      <c r="BR12" s="5">
        <f t="shared" ca="1" si="60"/>
        <v>6.3865449467424154E-3</v>
      </c>
      <c r="BS12" s="5">
        <f t="shared" ca="1" si="61"/>
        <v>6.5569701562525106E-3</v>
      </c>
      <c r="BT12" s="5">
        <f t="shared" ca="1" si="62"/>
        <v>6.398892439346277E-3</v>
      </c>
      <c r="BU12" s="5">
        <f t="shared" ca="1" si="63"/>
        <v>6.4254964017749815E-3</v>
      </c>
      <c r="BV12" s="5">
        <f t="shared" ca="1" si="64"/>
        <v>6.6842551109058367E-3</v>
      </c>
      <c r="BW12" s="5">
        <f t="shared" ca="1" si="65"/>
        <v>6.7463185598672223E-3</v>
      </c>
      <c r="BX12" s="5">
        <f t="shared" ca="1" si="66"/>
        <v>6.2432119800926748E-3</v>
      </c>
      <c r="BY12" s="5">
        <f t="shared" ca="1" si="67"/>
        <v>6.3312673275867995E-3</v>
      </c>
      <c r="BZ12" s="5">
        <f t="shared" ca="1" si="68"/>
        <v>6.3677517637862795E-3</v>
      </c>
      <c r="CA12" s="5">
        <f t="shared" ca="1" si="69"/>
        <v>6.4710166687639882E-3</v>
      </c>
      <c r="CB12" s="5">
        <f t="shared" ca="1" si="70"/>
        <v>6.3763727764786608E-3</v>
      </c>
      <c r="CC12" s="5">
        <f t="shared" ca="1" si="71"/>
        <v>6.492050755172534E-3</v>
      </c>
      <c r="CD12" s="5">
        <f t="shared" ca="1" si="72"/>
        <v>6.4780474112375551E-3</v>
      </c>
      <c r="CE12" s="5">
        <f t="shared" ca="1" si="73"/>
        <v>6.5052895848149214E-3</v>
      </c>
      <c r="CF12" s="5">
        <f t="shared" ca="1" si="74"/>
        <v>6.3204333252398813E-3</v>
      </c>
      <c r="CG12" s="5">
        <f t="shared" ca="1" si="75"/>
        <v>6.4025420107730316E-3</v>
      </c>
      <c r="CH12" s="5">
        <f t="shared" ca="1" si="76"/>
        <v>6.467891869280637E-3</v>
      </c>
      <c r="CI12" s="5">
        <f t="shared" ca="1" si="77"/>
        <v>6.5253095525109927E-3</v>
      </c>
      <c r="CJ12" s="5">
        <f t="shared" ca="1" si="78"/>
        <v>6.3782891637491476E-3</v>
      </c>
      <c r="CK12" s="5">
        <f t="shared" ca="1" si="79"/>
        <v>6.3994160461001313E-3</v>
      </c>
      <c r="CL12" s="5">
        <f t="shared" ca="1" si="80"/>
        <v>6.3507922283679826E-3</v>
      </c>
      <c r="CM12" s="5">
        <f t="shared" ca="1" si="81"/>
        <v>6.4518376091086092E-3</v>
      </c>
      <c r="CN12" s="5">
        <f t="shared" ca="1" si="82"/>
        <v>6.3675086267712495E-3</v>
      </c>
      <c r="CO12" s="5">
        <f t="shared" ca="1" si="83"/>
        <v>6.4910858237442375E-3</v>
      </c>
      <c r="CP12" s="5">
        <f t="shared" ca="1" si="84"/>
        <v>6.6057838662013811E-3</v>
      </c>
      <c r="CQ12" s="5">
        <f t="shared" ca="1" si="85"/>
        <v>6.3559657314530386E-3</v>
      </c>
      <c r="CR12" s="5">
        <f t="shared" ca="1" si="86"/>
        <v>6.3952577314110286E-3</v>
      </c>
      <c r="CS12" s="5">
        <f t="shared" ca="1" si="87"/>
        <v>6.549556888304311E-3</v>
      </c>
      <c r="CT12" s="5">
        <f t="shared" ca="1" si="88"/>
        <v>6.563518510594786E-3</v>
      </c>
      <c r="CU12" s="5">
        <f t="shared" ca="1" si="89"/>
        <v>6.2099246745244202E-3</v>
      </c>
      <c r="CV12" s="5">
        <f t="shared" ca="1" si="90"/>
        <v>6.5990941643276919E-3</v>
      </c>
      <c r="CW12" s="5">
        <f t="shared" ca="1" si="91"/>
        <v>6.3880641552518883E-3</v>
      </c>
      <c r="CX12" s="5">
        <f t="shared" ca="1" si="92"/>
        <v>6.3932937889712551E-3</v>
      </c>
      <c r="CY12" s="5">
        <f t="shared" ca="1" si="93"/>
        <v>6.4126416176066309E-3</v>
      </c>
      <c r="CZ12" s="5">
        <f t="shared" ca="1" si="94"/>
        <v>6.3802225756322446E-3</v>
      </c>
      <c r="DA12" s="5">
        <f t="shared" ca="1" si="95"/>
        <v>6.3409094121910543E-3</v>
      </c>
      <c r="DB12" s="5">
        <f t="shared" ca="1" si="96"/>
        <v>6.5659714072695838E-3</v>
      </c>
      <c r="DC12" s="5">
        <f t="shared" ca="1" si="97"/>
        <v>6.373960636956796E-3</v>
      </c>
      <c r="DD12" s="5">
        <f t="shared" ca="1" si="98"/>
        <v>6.2134517589023464E-3</v>
      </c>
      <c r="DE12" s="5">
        <f t="shared" ca="1" si="99"/>
        <v>6.5490721591893262E-3</v>
      </c>
      <c r="DF12" s="5">
        <f t="shared" ca="1" si="100"/>
        <v>6.5401547925179829E-3</v>
      </c>
      <c r="DG12" s="5">
        <f t="shared" ca="1" si="101"/>
        <v>6.2673093808697979E-3</v>
      </c>
      <c r="DH12" s="5">
        <f t="shared" ca="1" si="102"/>
        <v>6.2871083292046345E-3</v>
      </c>
      <c r="DI12" s="5">
        <f t="shared" ca="1" si="103"/>
        <v>6.401213432079513E-3</v>
      </c>
      <c r="DJ12" s="5">
        <f t="shared" ca="1" si="104"/>
        <v>6.4680890128032695E-3</v>
      </c>
    </row>
    <row r="13" spans="1:114" outlineLevel="1" x14ac:dyDescent="0.2">
      <c r="A13" s="61"/>
      <c r="B13" s="61"/>
      <c r="C13" s="61"/>
      <c r="D13" s="61"/>
      <c r="E13" s="32">
        <v>44866</v>
      </c>
      <c r="F13" s="9">
        <v>1875</v>
      </c>
      <c r="G13" s="5">
        <f t="shared" ca="1" si="0"/>
        <v>-4.9779679651775301E-2</v>
      </c>
      <c r="H13" s="5">
        <f t="shared" ca="1" si="1"/>
        <v>6.4733386154626456E-3</v>
      </c>
      <c r="I13" s="9">
        <f t="shared" ca="1" si="2"/>
        <v>20680.311940968786</v>
      </c>
      <c r="K13" s="6">
        <v>9</v>
      </c>
      <c r="L13" s="5">
        <v>362210.40991653991</v>
      </c>
      <c r="N13" s="32">
        <v>44835</v>
      </c>
      <c r="O13" s="5">
        <f t="shared" ca="1" si="5"/>
        <v>6.623280406188971E-3</v>
      </c>
      <c r="P13" s="5">
        <f t="shared" ca="1" si="6"/>
        <v>6.5939092468619747E-3</v>
      </c>
      <c r="Q13" s="5">
        <f t="shared" ca="1" si="7"/>
        <v>6.614336510431606E-3</v>
      </c>
      <c r="R13" s="5">
        <f t="shared" ca="1" si="8"/>
        <v>6.5306326992772357E-3</v>
      </c>
      <c r="S13" s="5">
        <f t="shared" ca="1" si="9"/>
        <v>6.3944624410722083E-3</v>
      </c>
      <c r="T13" s="5">
        <f t="shared" ca="1" si="10"/>
        <v>6.1827349075131953E-3</v>
      </c>
      <c r="U13" s="5">
        <f t="shared" ca="1" si="11"/>
        <v>6.4179741451729144E-3</v>
      </c>
      <c r="V13" s="5">
        <f t="shared" ca="1" si="12"/>
        <v>6.4161948001973685E-3</v>
      </c>
      <c r="W13" s="5">
        <f t="shared" ca="1" si="13"/>
        <v>6.4117896864923389E-3</v>
      </c>
      <c r="X13" s="5">
        <f t="shared" ca="1" si="14"/>
        <v>6.404414568657979E-3</v>
      </c>
      <c r="Y13" s="5">
        <f t="shared" ca="1" si="15"/>
        <v>6.5293975293380406E-3</v>
      </c>
      <c r="Z13" s="5">
        <f t="shared" ca="1" si="16"/>
        <v>6.3935396419198195E-3</v>
      </c>
      <c r="AA13" s="5">
        <f t="shared" ca="1" si="17"/>
        <v>6.5318578380398635E-3</v>
      </c>
      <c r="AB13" s="5">
        <f t="shared" ca="1" si="18"/>
        <v>6.5253803357405256E-3</v>
      </c>
      <c r="AC13" s="5">
        <f t="shared" ca="1" si="19"/>
        <v>6.6466669360711822E-3</v>
      </c>
      <c r="AD13" s="5">
        <f t="shared" ca="1" si="20"/>
        <v>6.5925664686117061E-3</v>
      </c>
      <c r="AE13" s="5">
        <f t="shared" ca="1" si="21"/>
        <v>6.4704764418064839E-3</v>
      </c>
      <c r="AF13" s="5">
        <f t="shared" ca="1" si="22"/>
        <v>6.4982844955837607E-3</v>
      </c>
      <c r="AG13" s="5">
        <f t="shared" ca="1" si="23"/>
        <v>6.4308470803166873E-3</v>
      </c>
      <c r="AH13" s="5">
        <f t="shared" ca="1" si="24"/>
        <v>6.4774537097229733E-3</v>
      </c>
      <c r="AI13" s="5">
        <f t="shared" ca="1" si="25"/>
        <v>6.5097837205619425E-3</v>
      </c>
      <c r="AJ13" s="5">
        <f t="shared" ca="1" si="26"/>
        <v>6.5857586305417002E-3</v>
      </c>
      <c r="AK13" s="5">
        <f t="shared" ca="1" si="27"/>
        <v>6.4607641286508737E-3</v>
      </c>
      <c r="AL13" s="5">
        <f t="shared" ca="1" si="28"/>
        <v>6.2029578728114466E-3</v>
      </c>
      <c r="AM13" s="5">
        <f t="shared" ca="1" si="29"/>
        <v>6.4823381498111564E-3</v>
      </c>
      <c r="AN13" s="5">
        <f t="shared" ca="1" si="30"/>
        <v>6.4281999727864468E-3</v>
      </c>
      <c r="AO13" s="5">
        <f t="shared" ca="1" si="31"/>
        <v>6.5075504771472861E-3</v>
      </c>
      <c r="AP13" s="5">
        <f t="shared" ca="1" si="32"/>
        <v>6.5356994833895999E-3</v>
      </c>
      <c r="AQ13" s="5">
        <f t="shared" ca="1" si="33"/>
        <v>6.3133411667895146E-3</v>
      </c>
      <c r="AR13" s="5">
        <f t="shared" ca="1" si="34"/>
        <v>6.3908826284098282E-3</v>
      </c>
      <c r="AS13" s="5">
        <f t="shared" ca="1" si="35"/>
        <v>6.5607041537017238E-3</v>
      </c>
      <c r="AT13" s="5">
        <f t="shared" ca="1" si="36"/>
        <v>6.3889361924214004E-3</v>
      </c>
      <c r="AU13" s="5">
        <f t="shared" ca="1" si="37"/>
        <v>6.370070680017206E-3</v>
      </c>
      <c r="AV13" s="5">
        <f t="shared" ca="1" si="38"/>
        <v>6.5838550949946012E-3</v>
      </c>
      <c r="AW13" s="5">
        <f t="shared" ca="1" si="39"/>
        <v>6.6541350768197071E-3</v>
      </c>
      <c r="AX13" s="5">
        <f t="shared" ca="1" si="40"/>
        <v>6.5202288240524785E-3</v>
      </c>
      <c r="AY13" s="5">
        <f t="shared" ca="1" si="41"/>
        <v>6.5897144280525292E-3</v>
      </c>
      <c r="AZ13" s="5">
        <f t="shared" ca="1" si="42"/>
        <v>6.2835669500033633E-3</v>
      </c>
      <c r="BA13" s="5">
        <f t="shared" ca="1" si="43"/>
        <v>6.5108374581015933E-3</v>
      </c>
      <c r="BB13" s="5">
        <f t="shared" ca="1" si="44"/>
        <v>6.4537615204891896E-3</v>
      </c>
      <c r="BC13" s="5">
        <f t="shared" ca="1" si="45"/>
        <v>6.366218575567832E-3</v>
      </c>
      <c r="BD13" s="5">
        <f t="shared" ca="1" si="46"/>
        <v>6.4347966164986148E-3</v>
      </c>
      <c r="BE13" s="5">
        <f t="shared" ca="1" si="47"/>
        <v>6.423062560666948E-3</v>
      </c>
      <c r="BF13" s="5">
        <f t="shared" ca="1" si="48"/>
        <v>6.302638398000473E-3</v>
      </c>
      <c r="BG13" s="5">
        <f t="shared" ca="1" si="49"/>
        <v>6.4093739911030793E-3</v>
      </c>
      <c r="BH13" s="5">
        <f t="shared" ca="1" si="50"/>
        <v>6.3261097268562869E-3</v>
      </c>
      <c r="BI13" s="5">
        <f t="shared" ca="1" si="51"/>
        <v>6.6402952224095526E-3</v>
      </c>
      <c r="BJ13" s="5">
        <f t="shared" ca="1" si="52"/>
        <v>6.3224081749620369E-3</v>
      </c>
      <c r="BK13" s="5">
        <f t="shared" ca="1" si="53"/>
        <v>6.5380376307042198E-3</v>
      </c>
      <c r="BL13" s="5">
        <f t="shared" ca="1" si="54"/>
        <v>6.3672910864185509E-3</v>
      </c>
      <c r="BM13" s="5">
        <f t="shared" ca="1" si="55"/>
        <v>6.4376976690897671E-3</v>
      </c>
      <c r="BN13" s="5">
        <f t="shared" ca="1" si="56"/>
        <v>6.4204091364702762E-3</v>
      </c>
      <c r="BO13" s="5">
        <f t="shared" ca="1" si="57"/>
        <v>6.4005544340707777E-3</v>
      </c>
      <c r="BP13" s="5">
        <f t="shared" ca="1" si="58"/>
        <v>6.4771347923448606E-3</v>
      </c>
      <c r="BQ13" s="5">
        <f t="shared" ca="1" si="59"/>
        <v>6.4035682211062905E-3</v>
      </c>
      <c r="BR13" s="5">
        <f t="shared" ca="1" si="60"/>
        <v>6.3573246493599011E-3</v>
      </c>
      <c r="BS13" s="5">
        <f t="shared" ca="1" si="61"/>
        <v>6.5363035740835093E-3</v>
      </c>
      <c r="BT13" s="5">
        <f t="shared" ca="1" si="62"/>
        <v>6.4333528189905124E-3</v>
      </c>
      <c r="BU13" s="5">
        <f t="shared" ca="1" si="63"/>
        <v>6.3679893358809161E-3</v>
      </c>
      <c r="BV13" s="5">
        <f t="shared" ca="1" si="64"/>
        <v>6.6628008163430964E-3</v>
      </c>
      <c r="BW13" s="5">
        <f t="shared" ca="1" si="65"/>
        <v>6.7422595180118769E-3</v>
      </c>
      <c r="BX13" s="5">
        <f t="shared" ca="1" si="66"/>
        <v>6.2857703440351185E-3</v>
      </c>
      <c r="BY13" s="5">
        <f t="shared" ca="1" si="67"/>
        <v>6.3530122478386688E-3</v>
      </c>
      <c r="BZ13" s="5">
        <f t="shared" ca="1" si="68"/>
        <v>6.4216734308394901E-3</v>
      </c>
      <c r="CA13" s="5">
        <f t="shared" ca="1" si="69"/>
        <v>6.5440086303089921E-3</v>
      </c>
      <c r="CB13" s="5">
        <f t="shared" ca="1" si="70"/>
        <v>6.3046227627758834E-3</v>
      </c>
      <c r="CC13" s="5">
        <f t="shared" ca="1" si="71"/>
        <v>6.5603935543881763E-3</v>
      </c>
      <c r="CD13" s="5">
        <f t="shared" ca="1" si="72"/>
        <v>6.4707406836282512E-3</v>
      </c>
      <c r="CE13" s="5">
        <f t="shared" ca="1" si="73"/>
        <v>6.496635997628019E-3</v>
      </c>
      <c r="CF13" s="5">
        <f t="shared" ca="1" si="74"/>
        <v>6.3286059409613394E-3</v>
      </c>
      <c r="CG13" s="5">
        <f t="shared" ca="1" si="75"/>
        <v>6.3925234933139901E-3</v>
      </c>
      <c r="CH13" s="5">
        <f t="shared" ca="1" si="76"/>
        <v>6.4900255791269304E-3</v>
      </c>
      <c r="CI13" s="5">
        <f t="shared" ca="1" si="77"/>
        <v>6.5634821253850529E-3</v>
      </c>
      <c r="CJ13" s="5">
        <f t="shared" ca="1" si="78"/>
        <v>6.3972954458900999E-3</v>
      </c>
      <c r="CK13" s="5">
        <f t="shared" ca="1" si="79"/>
        <v>6.2902975154170582E-3</v>
      </c>
      <c r="CL13" s="5">
        <f t="shared" ca="1" si="80"/>
        <v>6.3489944995863802E-3</v>
      </c>
      <c r="CM13" s="5">
        <f t="shared" ca="1" si="81"/>
        <v>6.4428401273073158E-3</v>
      </c>
      <c r="CN13" s="5">
        <f t="shared" ca="1" si="82"/>
        <v>6.3383393085743476E-3</v>
      </c>
      <c r="CO13" s="5">
        <f t="shared" ca="1" si="83"/>
        <v>6.5218729027137958E-3</v>
      </c>
      <c r="CP13" s="5">
        <f t="shared" ca="1" si="84"/>
        <v>6.6591392824435595E-3</v>
      </c>
      <c r="CQ13" s="5">
        <f t="shared" ca="1" si="85"/>
        <v>6.4169711147768387E-3</v>
      </c>
      <c r="CR13" s="5">
        <f t="shared" ca="1" si="86"/>
        <v>6.438141768907381E-3</v>
      </c>
      <c r="CS13" s="5">
        <f t="shared" ca="1" si="87"/>
        <v>6.4932443834607376E-3</v>
      </c>
      <c r="CT13" s="5">
        <f t="shared" ca="1" si="88"/>
        <v>6.5069168498222349E-3</v>
      </c>
      <c r="CU13" s="5">
        <f t="shared" ca="1" si="89"/>
        <v>6.2396939536474216E-3</v>
      </c>
      <c r="CV13" s="5">
        <f t="shared" ca="1" si="90"/>
        <v>6.5838335101093132E-3</v>
      </c>
      <c r="CW13" s="5">
        <f t="shared" ca="1" si="91"/>
        <v>6.3492064642692771E-3</v>
      </c>
      <c r="CX13" s="5">
        <f t="shared" ca="1" si="92"/>
        <v>6.3923040566080929E-3</v>
      </c>
      <c r="CY13" s="5">
        <f t="shared" ca="1" si="93"/>
        <v>6.4115840073910276E-3</v>
      </c>
      <c r="CZ13" s="5">
        <f t="shared" ca="1" si="94"/>
        <v>6.3526104200558814E-3</v>
      </c>
      <c r="DA13" s="5">
        <f t="shared" ca="1" si="95"/>
        <v>6.3332629925645385E-3</v>
      </c>
      <c r="DB13" s="5">
        <f t="shared" ca="1" si="96"/>
        <v>6.4779866758668172E-3</v>
      </c>
      <c r="DC13" s="5">
        <f t="shared" ca="1" si="97"/>
        <v>6.3580286867923616E-3</v>
      </c>
      <c r="DD13" s="5">
        <f t="shared" ca="1" si="98"/>
        <v>6.2097493014283776E-3</v>
      </c>
      <c r="DE13" s="5">
        <f t="shared" ca="1" si="99"/>
        <v>6.582087162714541E-3</v>
      </c>
      <c r="DF13" s="5">
        <f t="shared" ca="1" si="100"/>
        <v>6.5625596571866349E-3</v>
      </c>
      <c r="DG13" s="5">
        <f t="shared" ca="1" si="101"/>
        <v>6.2526751251317167E-3</v>
      </c>
      <c r="DH13" s="5">
        <f t="shared" ca="1" si="102"/>
        <v>6.3179971897238387E-3</v>
      </c>
      <c r="DI13" s="5">
        <f t="shared" ca="1" si="103"/>
        <v>6.4715870993394915E-3</v>
      </c>
      <c r="DJ13" s="5">
        <f t="shared" ca="1" si="104"/>
        <v>6.4488582508327209E-3</v>
      </c>
    </row>
    <row r="14" spans="1:114" outlineLevel="1" x14ac:dyDescent="0.2">
      <c r="A14" s="61"/>
      <c r="B14" s="61"/>
      <c r="C14" s="61"/>
      <c r="D14" s="61"/>
      <c r="E14" s="32">
        <v>44896</v>
      </c>
      <c r="F14" s="9">
        <v>1875</v>
      </c>
      <c r="G14" s="5">
        <f t="shared" ca="1" si="0"/>
        <v>9.5941745867314937E-2</v>
      </c>
      <c r="H14" s="5">
        <f t="shared" ca="1" si="1"/>
        <v>6.4526747053083502E-3</v>
      </c>
      <c r="I14" s="9">
        <f t="shared" ca="1" si="2"/>
        <v>22566.435208465162</v>
      </c>
      <c r="K14" s="6">
        <v>10</v>
      </c>
      <c r="L14" s="5">
        <v>362619.30771506298</v>
      </c>
      <c r="N14" s="32">
        <v>44866</v>
      </c>
      <c r="O14" s="5">
        <f t="shared" ca="1" si="5"/>
        <v>6.6851275350250875E-3</v>
      </c>
      <c r="P14" s="5">
        <f t="shared" ca="1" si="6"/>
        <v>6.5958651542616991E-3</v>
      </c>
      <c r="Q14" s="5">
        <f t="shared" ca="1" si="7"/>
        <v>6.659153140011911E-3</v>
      </c>
      <c r="R14" s="5">
        <f t="shared" ca="1" si="8"/>
        <v>6.5454989465001607E-3</v>
      </c>
      <c r="S14" s="5">
        <f t="shared" ca="1" si="9"/>
        <v>6.3680732204142122E-3</v>
      </c>
      <c r="T14" s="5">
        <f t="shared" ca="1" si="10"/>
        <v>6.2018492727469992E-3</v>
      </c>
      <c r="U14" s="5">
        <f t="shared" ca="1" si="11"/>
        <v>6.3965709679691153E-3</v>
      </c>
      <c r="V14" s="5">
        <f t="shared" ca="1" si="12"/>
        <v>6.3804358467518096E-3</v>
      </c>
      <c r="W14" s="5">
        <f t="shared" ca="1" si="13"/>
        <v>6.3428023896838839E-3</v>
      </c>
      <c r="X14" s="5">
        <f t="shared" ca="1" si="14"/>
        <v>6.3996628829548503E-3</v>
      </c>
      <c r="Y14" s="5">
        <f t="shared" ca="1" si="15"/>
        <v>6.4836570230544024E-3</v>
      </c>
      <c r="Z14" s="5">
        <f t="shared" ca="1" si="16"/>
        <v>6.3637093316470314E-3</v>
      </c>
      <c r="AA14" s="5">
        <f t="shared" ca="1" si="17"/>
        <v>6.5752960862245739E-3</v>
      </c>
      <c r="AB14" s="5">
        <f t="shared" ca="1" si="18"/>
        <v>6.5623542481641319E-3</v>
      </c>
      <c r="AC14" s="5">
        <f t="shared" ca="1" si="19"/>
        <v>6.668887389578943E-3</v>
      </c>
      <c r="AD14" s="5">
        <f t="shared" ca="1" si="20"/>
        <v>6.5213331154158087E-3</v>
      </c>
      <c r="AE14" s="5">
        <f t="shared" ca="1" si="21"/>
        <v>6.4632089483891058E-3</v>
      </c>
      <c r="AF14" s="5">
        <f t="shared" ca="1" si="22"/>
        <v>6.4851159176441088E-3</v>
      </c>
      <c r="AG14" s="5">
        <f t="shared" ca="1" si="23"/>
        <v>6.4216601457022142E-3</v>
      </c>
      <c r="AH14" s="5">
        <f t="shared" ca="1" si="24"/>
        <v>6.4982354108116466E-3</v>
      </c>
      <c r="AI14" s="5">
        <f t="shared" ca="1" si="25"/>
        <v>6.4954655252127359E-3</v>
      </c>
      <c r="AJ14" s="5">
        <f t="shared" ca="1" si="26"/>
        <v>6.6128049686430112E-3</v>
      </c>
      <c r="AK14" s="5">
        <f t="shared" ca="1" si="27"/>
        <v>6.5237739898320948E-3</v>
      </c>
      <c r="AL14" s="5">
        <f t="shared" ca="1" si="28"/>
        <v>6.2108906633979583E-3</v>
      </c>
      <c r="AM14" s="5">
        <f t="shared" ca="1" si="29"/>
        <v>6.4983857581648796E-3</v>
      </c>
      <c r="AN14" s="5">
        <f t="shared" ca="1" si="30"/>
        <v>6.5449353120340141E-3</v>
      </c>
      <c r="AO14" s="5">
        <f t="shared" ca="1" si="31"/>
        <v>6.4737485526091708E-3</v>
      </c>
      <c r="AP14" s="5">
        <f t="shared" ca="1" si="32"/>
        <v>6.5217388356098955E-3</v>
      </c>
      <c r="AQ14" s="5">
        <f t="shared" ca="1" si="33"/>
        <v>6.291630165563754E-3</v>
      </c>
      <c r="AR14" s="5">
        <f t="shared" ca="1" si="34"/>
        <v>6.4614325152232742E-3</v>
      </c>
      <c r="AS14" s="5">
        <f t="shared" ca="1" si="35"/>
        <v>6.6395570189342942E-3</v>
      </c>
      <c r="AT14" s="5">
        <f t="shared" ca="1" si="36"/>
        <v>6.361399771074399E-3</v>
      </c>
      <c r="AU14" s="5">
        <f t="shared" ca="1" si="37"/>
        <v>6.395573272933947E-3</v>
      </c>
      <c r="AV14" s="5">
        <f t="shared" ca="1" si="38"/>
        <v>6.6178533045165213E-3</v>
      </c>
      <c r="AW14" s="5">
        <f t="shared" ca="1" si="39"/>
        <v>6.6547915518619443E-3</v>
      </c>
      <c r="AX14" s="5">
        <f t="shared" ca="1" si="40"/>
        <v>6.5258672468717759E-3</v>
      </c>
      <c r="AY14" s="5">
        <f t="shared" ca="1" si="41"/>
        <v>6.5556225869783128E-3</v>
      </c>
      <c r="AZ14" s="5">
        <f t="shared" ca="1" si="42"/>
        <v>6.3209492796920137E-3</v>
      </c>
      <c r="BA14" s="5">
        <f t="shared" ca="1" si="43"/>
        <v>6.474668758156785E-3</v>
      </c>
      <c r="BB14" s="5">
        <f t="shared" ca="1" si="44"/>
        <v>6.4512946329839645E-3</v>
      </c>
      <c r="BC14" s="5">
        <f t="shared" ca="1" si="45"/>
        <v>6.3759296519796428E-3</v>
      </c>
      <c r="BD14" s="5">
        <f t="shared" ca="1" si="46"/>
        <v>6.4289468731319657E-3</v>
      </c>
      <c r="BE14" s="5">
        <f t="shared" ca="1" si="47"/>
        <v>6.492498545634425E-3</v>
      </c>
      <c r="BF14" s="5">
        <f t="shared" ca="1" si="48"/>
        <v>6.3619212329887303E-3</v>
      </c>
      <c r="BG14" s="5">
        <f t="shared" ca="1" si="49"/>
        <v>6.41426382143902E-3</v>
      </c>
      <c r="BH14" s="5">
        <f t="shared" ca="1" si="50"/>
        <v>6.2925232144383459E-3</v>
      </c>
      <c r="BI14" s="5">
        <f t="shared" ca="1" si="51"/>
        <v>6.6232961662699499E-3</v>
      </c>
      <c r="BJ14" s="5">
        <f t="shared" ca="1" si="52"/>
        <v>6.3050596104723619E-3</v>
      </c>
      <c r="BK14" s="5">
        <f t="shared" ca="1" si="53"/>
        <v>6.4620243134611999E-3</v>
      </c>
      <c r="BL14" s="5">
        <f t="shared" ca="1" si="54"/>
        <v>6.4052955167264421E-3</v>
      </c>
      <c r="BM14" s="5">
        <f t="shared" ca="1" si="55"/>
        <v>6.3485861943547639E-3</v>
      </c>
      <c r="BN14" s="5">
        <f t="shared" ca="1" si="56"/>
        <v>6.4358897263391635E-3</v>
      </c>
      <c r="BO14" s="5">
        <f t="shared" ca="1" si="57"/>
        <v>6.3918110862387391E-3</v>
      </c>
      <c r="BP14" s="5">
        <f t="shared" ca="1" si="58"/>
        <v>6.4167295094229373E-3</v>
      </c>
      <c r="BQ14" s="5">
        <f t="shared" ca="1" si="59"/>
        <v>6.3401911459118228E-3</v>
      </c>
      <c r="BR14" s="5">
        <f t="shared" ca="1" si="60"/>
        <v>6.3849733053249948E-3</v>
      </c>
      <c r="BS14" s="5">
        <f t="shared" ca="1" si="61"/>
        <v>6.5880771479973959E-3</v>
      </c>
      <c r="BT14" s="5">
        <f t="shared" ca="1" si="62"/>
        <v>6.4180520921333587E-3</v>
      </c>
      <c r="BU14" s="5">
        <f t="shared" ca="1" si="63"/>
        <v>6.3732020300799452E-3</v>
      </c>
      <c r="BV14" s="5">
        <f t="shared" ca="1" si="64"/>
        <v>6.6331464444953784E-3</v>
      </c>
      <c r="BW14" s="5">
        <f t="shared" ca="1" si="65"/>
        <v>6.7601027860994672E-3</v>
      </c>
      <c r="BX14" s="5">
        <f t="shared" ca="1" si="66"/>
        <v>6.271494688806967E-3</v>
      </c>
      <c r="BY14" s="5">
        <f t="shared" ca="1" si="67"/>
        <v>6.3925395881040681E-3</v>
      </c>
      <c r="BZ14" s="5">
        <f t="shared" ca="1" si="68"/>
        <v>6.3483110945665141E-3</v>
      </c>
      <c r="CA14" s="5">
        <f t="shared" ca="1" si="69"/>
        <v>6.4915694247292812E-3</v>
      </c>
      <c r="CB14" s="5">
        <f t="shared" ca="1" si="70"/>
        <v>6.2917664569237374E-3</v>
      </c>
      <c r="CC14" s="5">
        <f t="shared" ca="1" si="71"/>
        <v>6.6448665536702062E-3</v>
      </c>
      <c r="CD14" s="5">
        <f t="shared" ca="1" si="72"/>
        <v>6.4335226474453991E-3</v>
      </c>
      <c r="CE14" s="5">
        <f t="shared" ca="1" si="73"/>
        <v>6.5330255616875199E-3</v>
      </c>
      <c r="CF14" s="5">
        <f t="shared" ca="1" si="74"/>
        <v>6.3398514113405602E-3</v>
      </c>
      <c r="CG14" s="5">
        <f t="shared" ca="1" si="75"/>
        <v>6.3998026462762959E-3</v>
      </c>
      <c r="CH14" s="5">
        <f t="shared" ca="1" si="76"/>
        <v>6.4935139975863835E-3</v>
      </c>
      <c r="CI14" s="5">
        <f t="shared" ca="1" si="77"/>
        <v>6.598708214027818E-3</v>
      </c>
      <c r="CJ14" s="5">
        <f t="shared" ca="1" si="78"/>
        <v>6.4715320278614027E-3</v>
      </c>
      <c r="CK14" s="5">
        <f t="shared" ca="1" si="79"/>
        <v>6.2177953002820526E-3</v>
      </c>
      <c r="CL14" s="5">
        <f t="shared" ca="1" si="80"/>
        <v>6.3389238621330878E-3</v>
      </c>
      <c r="CM14" s="5">
        <f t="shared" ca="1" si="81"/>
        <v>6.4199368532968709E-3</v>
      </c>
      <c r="CN14" s="5">
        <f t="shared" ca="1" si="82"/>
        <v>6.3621781617051584E-3</v>
      </c>
      <c r="CO14" s="5">
        <f t="shared" ca="1" si="83"/>
        <v>6.523852497210535E-3</v>
      </c>
      <c r="CP14" s="5">
        <f t="shared" ca="1" si="84"/>
        <v>6.6622695707608546E-3</v>
      </c>
      <c r="CQ14" s="5">
        <f t="shared" ca="1" si="85"/>
        <v>6.5482191337749912E-3</v>
      </c>
      <c r="CR14" s="5">
        <f t="shared" ca="1" si="86"/>
        <v>6.4111923671369671E-3</v>
      </c>
      <c r="CS14" s="5">
        <f t="shared" ca="1" si="87"/>
        <v>6.5451658190209434E-3</v>
      </c>
      <c r="CT14" s="5">
        <f t="shared" ca="1" si="88"/>
        <v>6.5014468832595117E-3</v>
      </c>
      <c r="CU14" s="5">
        <f t="shared" ca="1" si="89"/>
        <v>6.2612151122271639E-3</v>
      </c>
      <c r="CV14" s="5">
        <f t="shared" ca="1" si="90"/>
        <v>6.6013674037885229E-3</v>
      </c>
      <c r="CW14" s="5">
        <f t="shared" ca="1" si="91"/>
        <v>6.3225471301130969E-3</v>
      </c>
      <c r="CX14" s="5">
        <f t="shared" ca="1" si="92"/>
        <v>6.3898572369788633E-3</v>
      </c>
      <c r="CY14" s="5">
        <f t="shared" ca="1" si="93"/>
        <v>6.5005152311041203E-3</v>
      </c>
      <c r="CZ14" s="5">
        <f t="shared" ca="1" si="94"/>
        <v>6.3355164665174473E-3</v>
      </c>
      <c r="DA14" s="5">
        <f t="shared" ca="1" si="95"/>
        <v>6.3816096790039788E-3</v>
      </c>
      <c r="DB14" s="5">
        <f t="shared" ca="1" si="96"/>
        <v>6.4653916467836336E-3</v>
      </c>
      <c r="DC14" s="5">
        <f t="shared" ca="1" si="97"/>
        <v>6.3021340112626783E-3</v>
      </c>
      <c r="DD14" s="5">
        <f t="shared" ca="1" si="98"/>
        <v>6.262269735656965E-3</v>
      </c>
      <c r="DE14" s="5">
        <f t="shared" ca="1" si="99"/>
        <v>6.6130250622912553E-3</v>
      </c>
      <c r="DF14" s="5">
        <f t="shared" ca="1" si="100"/>
        <v>6.6253616370371832E-3</v>
      </c>
      <c r="DG14" s="5">
        <f t="shared" ca="1" si="101"/>
        <v>6.3106706898626869E-3</v>
      </c>
      <c r="DH14" s="5">
        <f t="shared" ca="1" si="102"/>
        <v>6.30347777762177E-3</v>
      </c>
      <c r="DI14" s="5">
        <f t="shared" ca="1" si="103"/>
        <v>6.456024236867924E-3</v>
      </c>
      <c r="DJ14" s="5">
        <f t="shared" ca="1" si="104"/>
        <v>6.3999051096898943E-3</v>
      </c>
    </row>
    <row r="15" spans="1:114" outlineLevel="1" x14ac:dyDescent="0.2">
      <c r="A15" s="61"/>
      <c r="B15" s="61"/>
      <c r="C15" s="61"/>
      <c r="D15" s="61"/>
      <c r="E15" s="32">
        <v>44927</v>
      </c>
      <c r="F15" s="9">
        <v>1875</v>
      </c>
      <c r="G15" s="5">
        <f t="shared" ca="1" si="0"/>
        <v>-3.5391645299352334E-2</v>
      </c>
      <c r="H15" s="5">
        <f t="shared" ca="1" si="1"/>
        <v>6.5079451889227145E-3</v>
      </c>
      <c r="I15" s="9">
        <f t="shared" ca="1" si="2"/>
        <v>24453.676954644503</v>
      </c>
      <c r="K15" s="6">
        <v>11</v>
      </c>
      <c r="L15" s="5">
        <v>362151.12335319549</v>
      </c>
      <c r="N15" s="32">
        <v>44896</v>
      </c>
      <c r="O15" s="5">
        <f t="shared" ca="1" si="5"/>
        <v>6.6656412536745336E-3</v>
      </c>
      <c r="P15" s="5">
        <f t="shared" ca="1" si="6"/>
        <v>6.6051168925566305E-3</v>
      </c>
      <c r="Q15" s="5">
        <f t="shared" ca="1" si="7"/>
        <v>6.7235530256966273E-3</v>
      </c>
      <c r="R15" s="5">
        <f t="shared" ca="1" si="8"/>
        <v>6.5346767746660549E-3</v>
      </c>
      <c r="S15" s="5">
        <f t="shared" ca="1" si="9"/>
        <v>6.3951555990173631E-3</v>
      </c>
      <c r="T15" s="5">
        <f t="shared" ca="1" si="10"/>
        <v>6.2258233333371419E-3</v>
      </c>
      <c r="U15" s="5">
        <f t="shared" ca="1" si="11"/>
        <v>6.3219584606915534E-3</v>
      </c>
      <c r="V15" s="5">
        <f t="shared" ca="1" si="12"/>
        <v>6.3671430554854327E-3</v>
      </c>
      <c r="W15" s="5">
        <f t="shared" ca="1" si="13"/>
        <v>6.2527094788255577E-3</v>
      </c>
      <c r="X15" s="5">
        <f t="shared" ca="1" si="14"/>
        <v>6.3916246588249332E-3</v>
      </c>
      <c r="Y15" s="5">
        <f t="shared" ca="1" si="15"/>
        <v>6.5214890506442875E-3</v>
      </c>
      <c r="Z15" s="5">
        <f t="shared" ca="1" si="16"/>
        <v>6.4122148518103864E-3</v>
      </c>
      <c r="AA15" s="5">
        <f t="shared" ca="1" si="17"/>
        <v>6.5694733198806438E-3</v>
      </c>
      <c r="AB15" s="5">
        <f t="shared" ca="1" si="18"/>
        <v>6.6703034179278527E-3</v>
      </c>
      <c r="AC15" s="5">
        <f t="shared" ca="1" si="19"/>
        <v>6.7272392345597166E-3</v>
      </c>
      <c r="AD15" s="5">
        <f t="shared" ca="1" si="20"/>
        <v>6.5348655961210179E-3</v>
      </c>
      <c r="AE15" s="5">
        <f t="shared" ca="1" si="21"/>
        <v>6.4826927621502413E-3</v>
      </c>
      <c r="AF15" s="5">
        <f t="shared" ca="1" si="22"/>
        <v>6.5373361840387464E-3</v>
      </c>
      <c r="AG15" s="5">
        <f t="shared" ca="1" si="23"/>
        <v>6.383521150892562E-3</v>
      </c>
      <c r="AH15" s="5">
        <f t="shared" ca="1" si="24"/>
        <v>6.5083978349959057E-3</v>
      </c>
      <c r="AI15" s="5">
        <f t="shared" ca="1" si="25"/>
        <v>6.4650683250919065E-3</v>
      </c>
      <c r="AJ15" s="5">
        <f t="shared" ca="1" si="26"/>
        <v>6.6583736994652865E-3</v>
      </c>
      <c r="AK15" s="5">
        <f t="shared" ca="1" si="27"/>
        <v>6.5766361788101189E-3</v>
      </c>
      <c r="AL15" s="5">
        <f t="shared" ca="1" si="28"/>
        <v>6.2375586566760658E-3</v>
      </c>
      <c r="AM15" s="5">
        <f t="shared" ca="1" si="29"/>
        <v>6.5399479267585492E-3</v>
      </c>
      <c r="AN15" s="5">
        <f t="shared" ca="1" si="30"/>
        <v>6.5188928480399283E-3</v>
      </c>
      <c r="AO15" s="5">
        <f t="shared" ca="1" si="31"/>
        <v>6.5118641064716128E-3</v>
      </c>
      <c r="AP15" s="5">
        <f t="shared" ca="1" si="32"/>
        <v>6.4449088016595392E-3</v>
      </c>
      <c r="AQ15" s="5">
        <f t="shared" ca="1" si="33"/>
        <v>6.2543892341831745E-3</v>
      </c>
      <c r="AR15" s="5">
        <f t="shared" ca="1" si="34"/>
        <v>6.553252603908627E-3</v>
      </c>
      <c r="AS15" s="5">
        <f t="shared" ca="1" si="35"/>
        <v>6.6641643928555365E-3</v>
      </c>
      <c r="AT15" s="5">
        <f t="shared" ca="1" si="36"/>
        <v>6.3786152187821849E-3</v>
      </c>
      <c r="AU15" s="5">
        <f t="shared" ca="1" si="37"/>
        <v>6.4559533314452926E-3</v>
      </c>
      <c r="AV15" s="5">
        <f t="shared" ca="1" si="38"/>
        <v>6.6177720679064019E-3</v>
      </c>
      <c r="AW15" s="5">
        <f t="shared" ca="1" si="39"/>
        <v>6.6607099888213398E-3</v>
      </c>
      <c r="AX15" s="5">
        <f t="shared" ca="1" si="40"/>
        <v>6.5078419819570498E-3</v>
      </c>
      <c r="AY15" s="5">
        <f t="shared" ca="1" si="41"/>
        <v>6.5924668878646585E-3</v>
      </c>
      <c r="AZ15" s="5">
        <f t="shared" ca="1" si="42"/>
        <v>6.3237429326449858E-3</v>
      </c>
      <c r="BA15" s="5">
        <f t="shared" ca="1" si="43"/>
        <v>6.425705191283472E-3</v>
      </c>
      <c r="BB15" s="5">
        <f t="shared" ca="1" si="44"/>
        <v>6.4426429066181531E-3</v>
      </c>
      <c r="BC15" s="5">
        <f t="shared" ca="1" si="45"/>
        <v>6.361398159067287E-3</v>
      </c>
      <c r="BD15" s="5">
        <f t="shared" ca="1" si="46"/>
        <v>6.4808444031589111E-3</v>
      </c>
      <c r="BE15" s="5">
        <f t="shared" ca="1" si="47"/>
        <v>6.4569783011542243E-3</v>
      </c>
      <c r="BF15" s="5">
        <f t="shared" ca="1" si="48"/>
        <v>6.322653343935389E-3</v>
      </c>
      <c r="BG15" s="5">
        <f t="shared" ca="1" si="49"/>
        <v>6.4433533864855994E-3</v>
      </c>
      <c r="BH15" s="5">
        <f t="shared" ca="1" si="50"/>
        <v>6.2693575783413164E-3</v>
      </c>
      <c r="BI15" s="5">
        <f t="shared" ca="1" si="51"/>
        <v>6.6073975148901124E-3</v>
      </c>
      <c r="BJ15" s="5">
        <f t="shared" ca="1" si="52"/>
        <v>6.3065898389355439E-3</v>
      </c>
      <c r="BK15" s="5">
        <f t="shared" ca="1" si="53"/>
        <v>6.4073652505774242E-3</v>
      </c>
      <c r="BL15" s="5">
        <f t="shared" ca="1" si="54"/>
        <v>6.3185293786958367E-3</v>
      </c>
      <c r="BM15" s="5">
        <f t="shared" ca="1" si="55"/>
        <v>6.3583786327397621E-3</v>
      </c>
      <c r="BN15" s="5">
        <f t="shared" ca="1" si="56"/>
        <v>6.4095115886366755E-3</v>
      </c>
      <c r="BO15" s="5">
        <f t="shared" ca="1" si="57"/>
        <v>6.444712334988033E-3</v>
      </c>
      <c r="BP15" s="5">
        <f t="shared" ca="1" si="58"/>
        <v>6.5016882531329281E-3</v>
      </c>
      <c r="BQ15" s="5">
        <f t="shared" ca="1" si="59"/>
        <v>6.3829020594399618E-3</v>
      </c>
      <c r="BR15" s="5">
        <f t="shared" ca="1" si="60"/>
        <v>6.3597485437529603E-3</v>
      </c>
      <c r="BS15" s="5">
        <f t="shared" ca="1" si="61"/>
        <v>6.6316577151751743E-3</v>
      </c>
      <c r="BT15" s="5">
        <f t="shared" ca="1" si="62"/>
        <v>6.3887462504469712E-3</v>
      </c>
      <c r="BU15" s="5">
        <f t="shared" ca="1" si="63"/>
        <v>6.3985360830209927E-3</v>
      </c>
      <c r="BV15" s="5">
        <f t="shared" ca="1" si="64"/>
        <v>6.6438189568154126E-3</v>
      </c>
      <c r="BW15" s="5">
        <f t="shared" ca="1" si="65"/>
        <v>6.8216665351400725E-3</v>
      </c>
      <c r="BX15" s="5">
        <f t="shared" ca="1" si="66"/>
        <v>6.3377593978714893E-3</v>
      </c>
      <c r="BY15" s="5">
        <f t="shared" ca="1" si="67"/>
        <v>6.4820641213496804E-3</v>
      </c>
      <c r="BZ15" s="5">
        <f t="shared" ca="1" si="68"/>
        <v>6.363132829670287E-3</v>
      </c>
      <c r="CA15" s="5">
        <f t="shared" ca="1" si="69"/>
        <v>6.3771906497800211E-3</v>
      </c>
      <c r="CB15" s="5">
        <f t="shared" ca="1" si="70"/>
        <v>6.3038603412393611E-3</v>
      </c>
      <c r="CC15" s="5">
        <f t="shared" ca="1" si="71"/>
        <v>6.6459359338618875E-3</v>
      </c>
      <c r="CD15" s="5">
        <f t="shared" ca="1" si="72"/>
        <v>6.4625434388078315E-3</v>
      </c>
      <c r="CE15" s="5">
        <f t="shared" ca="1" si="73"/>
        <v>6.5110450910737302E-3</v>
      </c>
      <c r="CF15" s="5">
        <f t="shared" ca="1" si="74"/>
        <v>6.4098275473342828E-3</v>
      </c>
      <c r="CG15" s="5">
        <f t="shared" ca="1" si="75"/>
        <v>6.4156889054195415E-3</v>
      </c>
      <c r="CH15" s="5">
        <f t="shared" ca="1" si="76"/>
        <v>6.4969762944573359E-3</v>
      </c>
      <c r="CI15" s="5">
        <f t="shared" ca="1" si="77"/>
        <v>6.6457145459676197E-3</v>
      </c>
      <c r="CJ15" s="5">
        <f t="shared" ca="1" si="78"/>
        <v>6.449877286363208E-3</v>
      </c>
      <c r="CK15" s="5">
        <f t="shared" ca="1" si="79"/>
        <v>6.2337101529922161E-3</v>
      </c>
      <c r="CL15" s="5">
        <f t="shared" ca="1" si="80"/>
        <v>6.3511310976739734E-3</v>
      </c>
      <c r="CM15" s="5">
        <f t="shared" ca="1" si="81"/>
        <v>6.4187852819139173E-3</v>
      </c>
      <c r="CN15" s="5">
        <f t="shared" ca="1" si="82"/>
        <v>6.3926236979488385E-3</v>
      </c>
      <c r="CO15" s="5">
        <f t="shared" ca="1" si="83"/>
        <v>6.5230265790347103E-3</v>
      </c>
      <c r="CP15" s="5">
        <f t="shared" ca="1" si="84"/>
        <v>6.687748388224975E-3</v>
      </c>
      <c r="CQ15" s="5">
        <f t="shared" ca="1" si="85"/>
        <v>6.6561723135499908E-3</v>
      </c>
      <c r="CR15" s="5">
        <f t="shared" ca="1" si="86"/>
        <v>6.4541934321161835E-3</v>
      </c>
      <c r="CS15" s="5">
        <f t="shared" ca="1" si="87"/>
        <v>6.5029434991792142E-3</v>
      </c>
      <c r="CT15" s="5">
        <f t="shared" ca="1" si="88"/>
        <v>6.5263625653950563E-3</v>
      </c>
      <c r="CU15" s="5">
        <f t="shared" ca="1" si="89"/>
        <v>6.2867179026313991E-3</v>
      </c>
      <c r="CV15" s="5">
        <f t="shared" ca="1" si="90"/>
        <v>6.5546572219107322E-3</v>
      </c>
      <c r="CW15" s="5">
        <f t="shared" ca="1" si="91"/>
        <v>6.3313902346246349E-3</v>
      </c>
      <c r="CX15" s="5">
        <f t="shared" ca="1" si="92"/>
        <v>6.3142854849163547E-3</v>
      </c>
      <c r="CY15" s="5">
        <f t="shared" ca="1" si="93"/>
        <v>6.556716722592104E-3</v>
      </c>
      <c r="CZ15" s="5">
        <f t="shared" ca="1" si="94"/>
        <v>6.2684245271538335E-3</v>
      </c>
      <c r="DA15" s="5">
        <f t="shared" ca="1" si="95"/>
        <v>6.3656050910873823E-3</v>
      </c>
      <c r="DB15" s="5">
        <f t="shared" ca="1" si="96"/>
        <v>6.4608332450876993E-3</v>
      </c>
      <c r="DC15" s="5">
        <f t="shared" ca="1" si="97"/>
        <v>6.2823575313825878E-3</v>
      </c>
      <c r="DD15" s="5">
        <f t="shared" ca="1" si="98"/>
        <v>6.3023541665170957E-3</v>
      </c>
      <c r="DE15" s="5">
        <f t="shared" ca="1" si="99"/>
        <v>6.5100826249178722E-3</v>
      </c>
      <c r="DF15" s="5">
        <f t="shared" ca="1" si="100"/>
        <v>6.5805440164898371E-3</v>
      </c>
      <c r="DG15" s="5">
        <f t="shared" ca="1" si="101"/>
        <v>6.2369438992188296E-3</v>
      </c>
      <c r="DH15" s="5">
        <f t="shared" ca="1" si="102"/>
        <v>6.3907000651498673E-3</v>
      </c>
      <c r="DI15" s="5">
        <f t="shared" ca="1" si="103"/>
        <v>6.4274867024408664E-3</v>
      </c>
      <c r="DJ15" s="5">
        <f t="shared" ca="1" si="104"/>
        <v>6.4180321318520715E-3</v>
      </c>
    </row>
    <row r="16" spans="1:114" outlineLevel="1" x14ac:dyDescent="0.2">
      <c r="E16" s="32">
        <v>44958</v>
      </c>
      <c r="F16" s="9">
        <v>1950</v>
      </c>
      <c r="G16" s="5">
        <f t="shared" ca="1" si="0"/>
        <v>-0.20314265504462217</v>
      </c>
      <c r="H16" s="5">
        <f t="shared" ca="1" si="1"/>
        <v>6.4946029112499699E-3</v>
      </c>
      <c r="I16" s="9">
        <f t="shared" ca="1" si="2"/>
        <v>26416.915280185876</v>
      </c>
      <c r="K16" s="6">
        <v>12</v>
      </c>
      <c r="L16" s="5">
        <v>361582.45174599875</v>
      </c>
      <c r="N16" s="32">
        <v>44927</v>
      </c>
      <c r="O16" s="5">
        <f t="shared" ca="1" si="5"/>
        <v>6.7028880744896243E-3</v>
      </c>
      <c r="P16" s="5">
        <f t="shared" ca="1" si="6"/>
        <v>6.5871786090577244E-3</v>
      </c>
      <c r="Q16" s="5">
        <f t="shared" ca="1" si="7"/>
        <v>6.6873587180736882E-3</v>
      </c>
      <c r="R16" s="5">
        <f t="shared" ca="1" si="8"/>
        <v>6.5636174029079586E-3</v>
      </c>
      <c r="S16" s="5">
        <f t="shared" ca="1" si="9"/>
        <v>6.4758807725567814E-3</v>
      </c>
      <c r="T16" s="5">
        <f t="shared" ca="1" si="10"/>
        <v>6.2429964310889456E-3</v>
      </c>
      <c r="U16" s="5">
        <f t="shared" ca="1" si="11"/>
        <v>6.3823483639975495E-3</v>
      </c>
      <c r="V16" s="5">
        <f t="shared" ca="1" si="12"/>
        <v>6.3925854121255213E-3</v>
      </c>
      <c r="W16" s="5">
        <f t="shared" ca="1" si="13"/>
        <v>6.2889596495318573E-3</v>
      </c>
      <c r="X16" s="5">
        <f t="shared" ca="1" si="14"/>
        <v>6.3745116192233074E-3</v>
      </c>
      <c r="Y16" s="5">
        <f t="shared" ca="1" si="15"/>
        <v>6.5026724873493398E-3</v>
      </c>
      <c r="Z16" s="5">
        <f t="shared" ca="1" si="16"/>
        <v>6.3709294900615018E-3</v>
      </c>
      <c r="AA16" s="5">
        <f t="shared" ca="1" si="17"/>
        <v>6.5069652786900146E-3</v>
      </c>
      <c r="AB16" s="5">
        <f t="shared" ca="1" si="18"/>
        <v>6.7536053406750422E-3</v>
      </c>
      <c r="AC16" s="5">
        <f t="shared" ca="1" si="19"/>
        <v>6.7169454914777389E-3</v>
      </c>
      <c r="AD16" s="5">
        <f t="shared" ca="1" si="20"/>
        <v>6.5389842079769953E-3</v>
      </c>
      <c r="AE16" s="5">
        <f t="shared" ca="1" si="21"/>
        <v>6.5065529852159623E-3</v>
      </c>
      <c r="AF16" s="5">
        <f t="shared" ca="1" si="22"/>
        <v>6.4282983192230645E-3</v>
      </c>
      <c r="AG16" s="5">
        <f t="shared" ca="1" si="23"/>
        <v>6.3869745134994254E-3</v>
      </c>
      <c r="AH16" s="5">
        <f t="shared" ca="1" si="24"/>
        <v>6.4758809937914084E-3</v>
      </c>
      <c r="AI16" s="5">
        <f t="shared" ca="1" si="25"/>
        <v>6.5371566091674653E-3</v>
      </c>
      <c r="AJ16" s="5">
        <f t="shared" ca="1" si="26"/>
        <v>6.7650941580797161E-3</v>
      </c>
      <c r="AK16" s="5">
        <f t="shared" ca="1" si="27"/>
        <v>6.6049574807404594E-3</v>
      </c>
      <c r="AL16" s="5">
        <f t="shared" ca="1" si="28"/>
        <v>6.1779193152265302E-3</v>
      </c>
      <c r="AM16" s="5">
        <f t="shared" ca="1" si="29"/>
        <v>6.5112323168149498E-3</v>
      </c>
      <c r="AN16" s="5">
        <f t="shared" ca="1" si="30"/>
        <v>6.5539246989466159E-3</v>
      </c>
      <c r="AO16" s="5">
        <f t="shared" ca="1" si="31"/>
        <v>6.4803195624500267E-3</v>
      </c>
      <c r="AP16" s="5">
        <f t="shared" ca="1" si="32"/>
        <v>6.4203874119604714E-3</v>
      </c>
      <c r="AQ16" s="5">
        <f t="shared" ca="1" si="33"/>
        <v>6.2110082815617224E-3</v>
      </c>
      <c r="AR16" s="5">
        <f t="shared" ca="1" si="34"/>
        <v>6.536174711131936E-3</v>
      </c>
      <c r="AS16" s="5">
        <f t="shared" ca="1" si="35"/>
        <v>6.6385812556504862E-3</v>
      </c>
      <c r="AT16" s="5">
        <f t="shared" ca="1" si="36"/>
        <v>6.3576225181553852E-3</v>
      </c>
      <c r="AU16" s="5">
        <f t="shared" ca="1" si="37"/>
        <v>6.414894427525757E-3</v>
      </c>
      <c r="AV16" s="5">
        <f t="shared" ca="1" si="38"/>
        <v>6.6243839539247423E-3</v>
      </c>
      <c r="AW16" s="5">
        <f t="shared" ca="1" si="39"/>
        <v>6.6522165415745403E-3</v>
      </c>
      <c r="AX16" s="5">
        <f t="shared" ca="1" si="40"/>
        <v>6.5462062923782836E-3</v>
      </c>
      <c r="AY16" s="5">
        <f t="shared" ca="1" si="41"/>
        <v>6.549393753866979E-3</v>
      </c>
      <c r="AZ16" s="5">
        <f t="shared" ca="1" si="42"/>
        <v>6.2918137379380989E-3</v>
      </c>
      <c r="BA16" s="5">
        <f t="shared" ca="1" si="43"/>
        <v>6.4369321093780251E-3</v>
      </c>
      <c r="BB16" s="5">
        <f t="shared" ca="1" si="44"/>
        <v>6.407278320202164E-3</v>
      </c>
      <c r="BC16" s="5">
        <f t="shared" ca="1" si="45"/>
        <v>6.3313424934312839E-3</v>
      </c>
      <c r="BD16" s="5">
        <f t="shared" ca="1" si="46"/>
        <v>6.4493616096288307E-3</v>
      </c>
      <c r="BE16" s="5">
        <f t="shared" ca="1" si="47"/>
        <v>6.457503474597304E-3</v>
      </c>
      <c r="BF16" s="5">
        <f t="shared" ca="1" si="48"/>
        <v>6.39555884397007E-3</v>
      </c>
      <c r="BG16" s="5">
        <f t="shared" ca="1" si="49"/>
        <v>6.4942692010554097E-3</v>
      </c>
      <c r="BH16" s="5">
        <f t="shared" ca="1" si="50"/>
        <v>6.3055546740970461E-3</v>
      </c>
      <c r="BI16" s="5">
        <f t="shared" ca="1" si="51"/>
        <v>6.6248915484979441E-3</v>
      </c>
      <c r="BJ16" s="5">
        <f t="shared" ca="1" si="52"/>
        <v>6.3245400052838975E-3</v>
      </c>
      <c r="BK16" s="5">
        <f t="shared" ca="1" si="53"/>
        <v>6.4718460900610965E-3</v>
      </c>
      <c r="BL16" s="5">
        <f t="shared" ca="1" si="54"/>
        <v>6.3637477526907963E-3</v>
      </c>
      <c r="BM16" s="5">
        <f t="shared" ca="1" si="55"/>
        <v>6.30455692586839E-3</v>
      </c>
      <c r="BN16" s="5">
        <f t="shared" ca="1" si="56"/>
        <v>6.4318663566505048E-3</v>
      </c>
      <c r="BO16" s="5">
        <f t="shared" ca="1" si="57"/>
        <v>6.4789819448709774E-3</v>
      </c>
      <c r="BP16" s="5">
        <f t="shared" ca="1" si="58"/>
        <v>6.4840171052053383E-3</v>
      </c>
      <c r="BQ16" s="5">
        <f t="shared" ca="1" si="59"/>
        <v>6.369459533231283E-3</v>
      </c>
      <c r="BR16" s="5">
        <f t="shared" ca="1" si="60"/>
        <v>6.346653451910678E-3</v>
      </c>
      <c r="BS16" s="5">
        <f t="shared" ca="1" si="61"/>
        <v>6.6796987667650347E-3</v>
      </c>
      <c r="BT16" s="5">
        <f t="shared" ca="1" si="62"/>
        <v>6.3492363359140911E-3</v>
      </c>
      <c r="BU16" s="5">
        <f t="shared" ca="1" si="63"/>
        <v>6.4214200319819637E-3</v>
      </c>
      <c r="BV16" s="5">
        <f t="shared" ca="1" si="64"/>
        <v>6.6523575296425184E-3</v>
      </c>
      <c r="BW16" s="5">
        <f t="shared" ca="1" si="65"/>
        <v>6.7754191533945657E-3</v>
      </c>
      <c r="BX16" s="5">
        <f t="shared" ca="1" si="66"/>
        <v>6.3263631960228401E-3</v>
      </c>
      <c r="BY16" s="5">
        <f t="shared" ca="1" si="67"/>
        <v>6.4312006232264581E-3</v>
      </c>
      <c r="BZ16" s="5">
        <f t="shared" ca="1" si="68"/>
        <v>6.3700465875089398E-3</v>
      </c>
      <c r="CA16" s="5">
        <f t="shared" ca="1" si="69"/>
        <v>6.3766609799280312E-3</v>
      </c>
      <c r="CB16" s="5">
        <f t="shared" ca="1" si="70"/>
        <v>6.2348903995760405E-3</v>
      </c>
      <c r="CC16" s="5">
        <f t="shared" ca="1" si="71"/>
        <v>6.6502588106366134E-3</v>
      </c>
      <c r="CD16" s="5">
        <f t="shared" ca="1" si="72"/>
        <v>6.4817019621472788E-3</v>
      </c>
      <c r="CE16" s="5">
        <f t="shared" ca="1" si="73"/>
        <v>6.5161412613185333E-3</v>
      </c>
      <c r="CF16" s="5">
        <f t="shared" ca="1" si="74"/>
        <v>6.4906954385723576E-3</v>
      </c>
      <c r="CG16" s="5">
        <f t="shared" ca="1" si="75"/>
        <v>6.4168440565740498E-3</v>
      </c>
      <c r="CH16" s="5">
        <f t="shared" ca="1" si="76"/>
        <v>6.4905963010087678E-3</v>
      </c>
      <c r="CI16" s="5">
        <f t="shared" ca="1" si="77"/>
        <v>6.6004349452429018E-3</v>
      </c>
      <c r="CJ16" s="5">
        <f t="shared" ca="1" si="78"/>
        <v>6.5185124503810664E-3</v>
      </c>
      <c r="CK16" s="5">
        <f t="shared" ca="1" si="79"/>
        <v>6.2701722075991133E-3</v>
      </c>
      <c r="CL16" s="5">
        <f t="shared" ca="1" si="80"/>
        <v>6.4027029792765944E-3</v>
      </c>
      <c r="CM16" s="5">
        <f t="shared" ca="1" si="81"/>
        <v>6.4206408291172575E-3</v>
      </c>
      <c r="CN16" s="5">
        <f t="shared" ca="1" si="82"/>
        <v>6.4025619437686251E-3</v>
      </c>
      <c r="CO16" s="5">
        <f t="shared" ca="1" si="83"/>
        <v>6.5326121373413407E-3</v>
      </c>
      <c r="CP16" s="5">
        <f t="shared" ca="1" si="84"/>
        <v>6.692779866400704E-3</v>
      </c>
      <c r="CQ16" s="5">
        <f t="shared" ca="1" si="85"/>
        <v>6.6231422445215613E-3</v>
      </c>
      <c r="CR16" s="5">
        <f t="shared" ca="1" si="86"/>
        <v>6.4299237962649183E-3</v>
      </c>
      <c r="CS16" s="5">
        <f t="shared" ca="1" si="87"/>
        <v>6.5332651575197749E-3</v>
      </c>
      <c r="CT16" s="5">
        <f t="shared" ca="1" si="88"/>
        <v>6.5227428469507732E-3</v>
      </c>
      <c r="CU16" s="5">
        <f t="shared" ca="1" si="89"/>
        <v>6.2677778682997736E-3</v>
      </c>
      <c r="CV16" s="5">
        <f t="shared" ca="1" si="90"/>
        <v>6.5096921886388338E-3</v>
      </c>
      <c r="CW16" s="5">
        <f t="shared" ca="1" si="91"/>
        <v>6.3280471542304321E-3</v>
      </c>
      <c r="CX16" s="5">
        <f t="shared" ca="1" si="92"/>
        <v>6.3066061536740338E-3</v>
      </c>
      <c r="CY16" s="5">
        <f t="shared" ca="1" si="93"/>
        <v>6.5259474199172302E-3</v>
      </c>
      <c r="CZ16" s="5">
        <f t="shared" ca="1" si="94"/>
        <v>6.1981535814261204E-3</v>
      </c>
      <c r="DA16" s="5">
        <f t="shared" ca="1" si="95"/>
        <v>6.4348850095575999E-3</v>
      </c>
      <c r="DB16" s="5">
        <f t="shared" ca="1" si="96"/>
        <v>6.4268211100912374E-3</v>
      </c>
      <c r="DC16" s="5">
        <f t="shared" ca="1" si="97"/>
        <v>6.2167161508858513E-3</v>
      </c>
      <c r="DD16" s="5">
        <f t="shared" ca="1" si="98"/>
        <v>6.2879937169278725E-3</v>
      </c>
      <c r="DE16" s="5">
        <f t="shared" ca="1" si="99"/>
        <v>6.53453186779174E-3</v>
      </c>
      <c r="DF16" s="5">
        <f t="shared" ca="1" si="100"/>
        <v>6.5407320991587043E-3</v>
      </c>
      <c r="DG16" s="5">
        <f t="shared" ca="1" si="101"/>
        <v>6.2864197739404826E-3</v>
      </c>
      <c r="DH16" s="5">
        <f t="shared" ca="1" si="102"/>
        <v>6.3632118282058153E-3</v>
      </c>
      <c r="DI16" s="5">
        <f t="shared" ca="1" si="103"/>
        <v>6.3357859154905671E-3</v>
      </c>
      <c r="DJ16" s="5">
        <f t="shared" ca="1" si="104"/>
        <v>6.4459086617995728E-3</v>
      </c>
    </row>
    <row r="17" spans="1:114" outlineLevel="1" x14ac:dyDescent="0.2">
      <c r="A17" s="37" t="s">
        <v>105</v>
      </c>
      <c r="B17" s="38"/>
      <c r="C17" s="73" t="s">
        <v>106</v>
      </c>
      <c r="D17" s="74"/>
      <c r="E17" s="32">
        <v>44986</v>
      </c>
      <c r="F17" s="9">
        <v>1950</v>
      </c>
      <c r="G17" s="5">
        <f t="shared" ca="1" si="0"/>
        <v>-3.1618252301554392E-2</v>
      </c>
      <c r="H17" s="5">
        <f t="shared" ca="1" si="1"/>
        <v>6.393766642510108E-3</v>
      </c>
      <c r="I17" s="9">
        <f t="shared" ca="1" si="2"/>
        <v>28380.994329919111</v>
      </c>
      <c r="K17" s="6">
        <v>13</v>
      </c>
      <c r="L17" s="5">
        <v>362632.55742757209</v>
      </c>
      <c r="N17" s="32">
        <v>44958</v>
      </c>
      <c r="O17" s="5">
        <f t="shared" ca="1" si="5"/>
        <v>6.7010218226431764E-3</v>
      </c>
      <c r="P17" s="5">
        <f t="shared" ca="1" si="6"/>
        <v>6.571986309625787E-3</v>
      </c>
      <c r="Q17" s="5">
        <f t="shared" ca="1" si="7"/>
        <v>6.6280001274273718E-3</v>
      </c>
      <c r="R17" s="5">
        <f t="shared" ca="1" si="8"/>
        <v>6.5953669936719408E-3</v>
      </c>
      <c r="S17" s="5">
        <f t="shared" ca="1" si="9"/>
        <v>6.5100455213228875E-3</v>
      </c>
      <c r="T17" s="5">
        <f t="shared" ca="1" si="10"/>
        <v>6.1635560988080162E-3</v>
      </c>
      <c r="U17" s="5">
        <f t="shared" ca="1" si="11"/>
        <v>6.3819632229101973E-3</v>
      </c>
      <c r="V17" s="5">
        <f t="shared" ca="1" si="12"/>
        <v>6.4229266626549941E-3</v>
      </c>
      <c r="W17" s="5">
        <f t="shared" ca="1" si="13"/>
        <v>6.3379018014792805E-3</v>
      </c>
      <c r="X17" s="5">
        <f t="shared" ca="1" si="14"/>
        <v>6.3484204252656469E-3</v>
      </c>
      <c r="Y17" s="5">
        <f t="shared" ca="1" si="15"/>
        <v>6.5328753640328373E-3</v>
      </c>
      <c r="Z17" s="5">
        <f t="shared" ca="1" si="16"/>
        <v>6.364771431430518E-3</v>
      </c>
      <c r="AA17" s="5">
        <f t="shared" ca="1" si="17"/>
        <v>6.6249867699659411E-3</v>
      </c>
      <c r="AB17" s="5">
        <f t="shared" ca="1" si="18"/>
        <v>6.8071835535466977E-3</v>
      </c>
      <c r="AC17" s="5">
        <f t="shared" ca="1" si="19"/>
        <v>6.7076259776762343E-3</v>
      </c>
      <c r="AD17" s="5">
        <f t="shared" ca="1" si="20"/>
        <v>6.592704528102007E-3</v>
      </c>
      <c r="AE17" s="5">
        <f t="shared" ca="1" si="21"/>
        <v>6.5404359470404346E-3</v>
      </c>
      <c r="AF17" s="5">
        <f t="shared" ca="1" si="22"/>
        <v>6.4098337478341785E-3</v>
      </c>
      <c r="AG17" s="5">
        <f t="shared" ca="1" si="23"/>
        <v>6.3923070531520364E-3</v>
      </c>
      <c r="AH17" s="5">
        <f t="shared" ca="1" si="24"/>
        <v>6.479172121675307E-3</v>
      </c>
      <c r="AI17" s="5">
        <f t="shared" ca="1" si="25"/>
        <v>6.5137497729395311E-3</v>
      </c>
      <c r="AJ17" s="5">
        <f t="shared" ca="1" si="26"/>
        <v>6.7731248414112212E-3</v>
      </c>
      <c r="AK17" s="5">
        <f t="shared" ca="1" si="27"/>
        <v>6.627811947544476E-3</v>
      </c>
      <c r="AL17" s="5">
        <f t="shared" ca="1" si="28"/>
        <v>6.0945237724391033E-3</v>
      </c>
      <c r="AM17" s="5">
        <f t="shared" ca="1" si="29"/>
        <v>6.4819354034111659E-3</v>
      </c>
      <c r="AN17" s="5">
        <f t="shared" ca="1" si="30"/>
        <v>6.4918280190607797E-3</v>
      </c>
      <c r="AO17" s="5">
        <f t="shared" ca="1" si="31"/>
        <v>6.4315994927188272E-3</v>
      </c>
      <c r="AP17" s="5">
        <f t="shared" ca="1" si="32"/>
        <v>6.3916009231972729E-3</v>
      </c>
      <c r="AQ17" s="5">
        <f t="shared" ca="1" si="33"/>
        <v>6.1667453927215475E-3</v>
      </c>
      <c r="AR17" s="5">
        <f t="shared" ca="1" si="34"/>
        <v>6.6033327520231746E-3</v>
      </c>
      <c r="AS17" s="5">
        <f t="shared" ca="1" si="35"/>
        <v>6.721566929761268E-3</v>
      </c>
      <c r="AT17" s="5">
        <f t="shared" ca="1" si="36"/>
        <v>6.3659680632813728E-3</v>
      </c>
      <c r="AU17" s="5">
        <f t="shared" ca="1" si="37"/>
        <v>6.5038235692377487E-3</v>
      </c>
      <c r="AV17" s="5">
        <f t="shared" ca="1" si="38"/>
        <v>6.6428859041166733E-3</v>
      </c>
      <c r="AW17" s="5">
        <f t="shared" ca="1" si="39"/>
        <v>6.6200503293054871E-3</v>
      </c>
      <c r="AX17" s="5">
        <f t="shared" ca="1" si="40"/>
        <v>6.4603869193601273E-3</v>
      </c>
      <c r="AY17" s="5">
        <f t="shared" ca="1" si="41"/>
        <v>6.6013945575645761E-3</v>
      </c>
      <c r="AZ17" s="5">
        <f t="shared" ca="1" si="42"/>
        <v>6.2775700654406977E-3</v>
      </c>
      <c r="BA17" s="5">
        <f t="shared" ca="1" si="43"/>
        <v>6.4528250546270812E-3</v>
      </c>
      <c r="BB17" s="5">
        <f t="shared" ca="1" si="44"/>
        <v>6.46415226674387E-3</v>
      </c>
      <c r="BC17" s="5">
        <f t="shared" ca="1" si="45"/>
        <v>6.3711448155743446E-3</v>
      </c>
      <c r="BD17" s="5">
        <f t="shared" ca="1" si="46"/>
        <v>6.4904293172941812E-3</v>
      </c>
      <c r="BE17" s="5">
        <f t="shared" ca="1" si="47"/>
        <v>6.5134765703209674E-3</v>
      </c>
      <c r="BF17" s="5">
        <f t="shared" ca="1" si="48"/>
        <v>6.3823333413584532E-3</v>
      </c>
      <c r="BG17" s="5">
        <f t="shared" ca="1" si="49"/>
        <v>6.5236228247504933E-3</v>
      </c>
      <c r="BH17" s="5">
        <f t="shared" ca="1" si="50"/>
        <v>6.3308080586263124E-3</v>
      </c>
      <c r="BI17" s="5">
        <f t="shared" ca="1" si="51"/>
        <v>6.7486685031736523E-3</v>
      </c>
      <c r="BJ17" s="5">
        <f t="shared" ca="1" si="52"/>
        <v>6.37936628402798E-3</v>
      </c>
      <c r="BK17" s="5">
        <f t="shared" ca="1" si="53"/>
        <v>6.4886813751806327E-3</v>
      </c>
      <c r="BL17" s="5">
        <f t="shared" ca="1" si="54"/>
        <v>6.3269488598495767E-3</v>
      </c>
      <c r="BM17" s="5">
        <f t="shared" ca="1" si="55"/>
        <v>6.2856725053009044E-3</v>
      </c>
      <c r="BN17" s="5">
        <f t="shared" ca="1" si="56"/>
        <v>6.5040434812598186E-3</v>
      </c>
      <c r="BO17" s="5">
        <f t="shared" ca="1" si="57"/>
        <v>6.4511207165551272E-3</v>
      </c>
      <c r="BP17" s="5">
        <f t="shared" ca="1" si="58"/>
        <v>6.4193749829633689E-3</v>
      </c>
      <c r="BQ17" s="5">
        <f t="shared" ca="1" si="59"/>
        <v>6.331314540588542E-3</v>
      </c>
      <c r="BR17" s="5">
        <f t="shared" ca="1" si="60"/>
        <v>6.4014552681179613E-3</v>
      </c>
      <c r="BS17" s="5">
        <f t="shared" ca="1" si="61"/>
        <v>6.5925993747418862E-3</v>
      </c>
      <c r="BT17" s="5">
        <f t="shared" ca="1" si="62"/>
        <v>6.3930534690163823E-3</v>
      </c>
      <c r="BU17" s="5">
        <f t="shared" ca="1" si="63"/>
        <v>6.4498171710792966E-3</v>
      </c>
      <c r="BV17" s="5">
        <f t="shared" ca="1" si="64"/>
        <v>6.6292056591121824E-3</v>
      </c>
      <c r="BW17" s="5">
        <f t="shared" ca="1" si="65"/>
        <v>6.6313707162451345E-3</v>
      </c>
      <c r="BX17" s="5">
        <f t="shared" ca="1" si="66"/>
        <v>6.3772202531244496E-3</v>
      </c>
      <c r="BY17" s="5">
        <f t="shared" ca="1" si="67"/>
        <v>6.4136185869625682E-3</v>
      </c>
      <c r="BZ17" s="5">
        <f t="shared" ca="1" si="68"/>
        <v>6.4089119452038976E-3</v>
      </c>
      <c r="CA17" s="5">
        <f t="shared" ca="1" si="69"/>
        <v>6.3815777958195216E-3</v>
      </c>
      <c r="CB17" s="5">
        <f t="shared" ca="1" si="70"/>
        <v>6.2915380564722697E-3</v>
      </c>
      <c r="CC17" s="5">
        <f t="shared" ca="1" si="71"/>
        <v>6.6361794433956499E-3</v>
      </c>
      <c r="CD17" s="5">
        <f t="shared" ca="1" si="72"/>
        <v>6.456914827753275E-3</v>
      </c>
      <c r="CE17" s="5">
        <f t="shared" ca="1" si="73"/>
        <v>6.5120513839008361E-3</v>
      </c>
      <c r="CF17" s="5">
        <f t="shared" ca="1" si="74"/>
        <v>6.4299211136665379E-3</v>
      </c>
      <c r="CG17" s="5">
        <f t="shared" ca="1" si="75"/>
        <v>6.4288392413069306E-3</v>
      </c>
      <c r="CH17" s="5">
        <f t="shared" ca="1" si="76"/>
        <v>6.4722676813362464E-3</v>
      </c>
      <c r="CI17" s="5">
        <f t="shared" ca="1" si="77"/>
        <v>6.5763486772700075E-3</v>
      </c>
      <c r="CJ17" s="5">
        <f t="shared" ca="1" si="78"/>
        <v>6.5177785685601739E-3</v>
      </c>
      <c r="CK17" s="5">
        <f t="shared" ca="1" si="79"/>
        <v>6.3199635955951275E-3</v>
      </c>
      <c r="CL17" s="5">
        <f t="shared" ca="1" si="80"/>
        <v>6.4692419292746587E-3</v>
      </c>
      <c r="CM17" s="5">
        <f t="shared" ca="1" si="81"/>
        <v>6.3615401105975187E-3</v>
      </c>
      <c r="CN17" s="5">
        <f t="shared" ca="1" si="82"/>
        <v>6.3459932593387895E-3</v>
      </c>
      <c r="CO17" s="5">
        <f t="shared" ca="1" si="83"/>
        <v>6.463793006304625E-3</v>
      </c>
      <c r="CP17" s="5">
        <f t="shared" ca="1" si="84"/>
        <v>6.6774678545319455E-3</v>
      </c>
      <c r="CQ17" s="5">
        <f t="shared" ca="1" si="85"/>
        <v>6.6981989786358874E-3</v>
      </c>
      <c r="CR17" s="5">
        <f t="shared" ca="1" si="86"/>
        <v>6.439904811808026E-3</v>
      </c>
      <c r="CS17" s="5">
        <f t="shared" ca="1" si="87"/>
        <v>6.5288548734465934E-3</v>
      </c>
      <c r="CT17" s="5">
        <f t="shared" ca="1" si="88"/>
        <v>6.6706082417215687E-3</v>
      </c>
      <c r="CU17" s="5">
        <f t="shared" ca="1" si="89"/>
        <v>6.301912510613494E-3</v>
      </c>
      <c r="CV17" s="5">
        <f t="shared" ca="1" si="90"/>
        <v>6.4455433825434637E-3</v>
      </c>
      <c r="CW17" s="5">
        <f t="shared" ca="1" si="91"/>
        <v>6.3393620669016859E-3</v>
      </c>
      <c r="CX17" s="5">
        <f t="shared" ca="1" si="92"/>
        <v>6.3446546323683069E-3</v>
      </c>
      <c r="CY17" s="5">
        <f t="shared" ca="1" si="93"/>
        <v>6.5057056652623371E-3</v>
      </c>
      <c r="CZ17" s="5">
        <f t="shared" ca="1" si="94"/>
        <v>6.2224273673032971E-3</v>
      </c>
      <c r="DA17" s="5">
        <f t="shared" ca="1" si="95"/>
        <v>6.4426483030177442E-3</v>
      </c>
      <c r="DB17" s="5">
        <f t="shared" ca="1" si="96"/>
        <v>6.4586233518124153E-3</v>
      </c>
      <c r="DC17" s="5">
        <f t="shared" ca="1" si="97"/>
        <v>6.1973834747304701E-3</v>
      </c>
      <c r="DD17" s="5">
        <f t="shared" ca="1" si="98"/>
        <v>6.3488063101834556E-3</v>
      </c>
      <c r="DE17" s="5">
        <f t="shared" ca="1" si="99"/>
        <v>6.6007452693421387E-3</v>
      </c>
      <c r="DF17" s="5">
        <f t="shared" ca="1" si="100"/>
        <v>6.5757411745402481E-3</v>
      </c>
      <c r="DG17" s="5">
        <f t="shared" ca="1" si="101"/>
        <v>6.3975324969546069E-3</v>
      </c>
      <c r="DH17" s="5">
        <f t="shared" ca="1" si="102"/>
        <v>6.3778028157898438E-3</v>
      </c>
      <c r="DI17" s="5">
        <f t="shared" ca="1" si="103"/>
        <v>6.369873372902091E-3</v>
      </c>
      <c r="DJ17" s="5">
        <f t="shared" ca="1" si="104"/>
        <v>6.4811522151589666E-3</v>
      </c>
    </row>
    <row r="18" spans="1:114" outlineLevel="1" x14ac:dyDescent="0.2">
      <c r="A18" s="40" t="s">
        <v>108</v>
      </c>
      <c r="B18" s="41"/>
      <c r="C18" s="41"/>
      <c r="D18" s="42"/>
      <c r="E18" s="32">
        <v>45017</v>
      </c>
      <c r="F18" s="9">
        <v>1950</v>
      </c>
      <c r="G18" s="5">
        <f t="shared" ca="1" si="0"/>
        <v>-4.8772202090297976E-3</v>
      </c>
      <c r="H18" s="5">
        <f t="shared" ca="1" si="1"/>
        <v>6.3829606935514724E-3</v>
      </c>
      <c r="I18" s="9">
        <f t="shared" ca="1" si="2"/>
        <v>30346.09457651242</v>
      </c>
      <c r="K18" s="6">
        <v>14</v>
      </c>
      <c r="L18" s="5">
        <v>362145.16168811638</v>
      </c>
      <c r="N18" s="32">
        <v>44986</v>
      </c>
      <c r="O18" s="5">
        <f t="shared" ca="1" si="5"/>
        <v>6.7043055220973808E-3</v>
      </c>
      <c r="P18" s="5">
        <f t="shared" ca="1" si="6"/>
        <v>6.531739672311669E-3</v>
      </c>
      <c r="Q18" s="5">
        <f t="shared" ca="1" si="7"/>
        <v>6.6664395699233721E-3</v>
      </c>
      <c r="R18" s="5">
        <f t="shared" ca="1" si="8"/>
        <v>6.6118672353271211E-3</v>
      </c>
      <c r="S18" s="5">
        <f t="shared" ca="1" si="9"/>
        <v>6.4743421439294908E-3</v>
      </c>
      <c r="T18" s="5">
        <f t="shared" ca="1" si="10"/>
        <v>6.2422656256599027E-3</v>
      </c>
      <c r="U18" s="5">
        <f t="shared" ca="1" si="11"/>
        <v>6.366774712127635E-3</v>
      </c>
      <c r="V18" s="5">
        <f t="shared" ca="1" si="12"/>
        <v>6.418975221327756E-3</v>
      </c>
      <c r="W18" s="5">
        <f t="shared" ca="1" si="13"/>
        <v>6.367716590562093E-3</v>
      </c>
      <c r="X18" s="5">
        <f t="shared" ca="1" si="14"/>
        <v>6.3998325637305434E-3</v>
      </c>
      <c r="Y18" s="5">
        <f t="shared" ca="1" si="15"/>
        <v>6.4909961428057661E-3</v>
      </c>
      <c r="Z18" s="5">
        <f t="shared" ca="1" si="16"/>
        <v>6.3768543566464888E-3</v>
      </c>
      <c r="AA18" s="5">
        <f t="shared" ca="1" si="17"/>
        <v>6.6500344566304045E-3</v>
      </c>
      <c r="AB18" s="5">
        <f t="shared" ca="1" si="18"/>
        <v>6.8227196343382803E-3</v>
      </c>
      <c r="AC18" s="5">
        <f t="shared" ca="1" si="19"/>
        <v>6.7236374496298301E-3</v>
      </c>
      <c r="AD18" s="5">
        <f t="shared" ca="1" si="20"/>
        <v>6.5979546360581086E-3</v>
      </c>
      <c r="AE18" s="5">
        <f t="shared" ca="1" si="21"/>
        <v>6.5831414115526963E-3</v>
      </c>
      <c r="AF18" s="5">
        <f t="shared" ca="1" si="22"/>
        <v>6.2709381691122461E-3</v>
      </c>
      <c r="AG18" s="5">
        <f t="shared" ca="1" si="23"/>
        <v>6.3236296406708817E-3</v>
      </c>
      <c r="AH18" s="5">
        <f t="shared" ca="1" si="24"/>
        <v>6.4247103789891492E-3</v>
      </c>
      <c r="AI18" s="5">
        <f t="shared" ca="1" si="25"/>
        <v>6.4926976152558675E-3</v>
      </c>
      <c r="AJ18" s="5">
        <f t="shared" ca="1" si="26"/>
        <v>6.7620920664481932E-3</v>
      </c>
      <c r="AK18" s="5">
        <f t="shared" ca="1" si="27"/>
        <v>6.5878477586603437E-3</v>
      </c>
      <c r="AL18" s="5">
        <f t="shared" ca="1" si="28"/>
        <v>6.1192895993254824E-3</v>
      </c>
      <c r="AM18" s="5">
        <f t="shared" ca="1" si="29"/>
        <v>6.465236362151512E-3</v>
      </c>
      <c r="AN18" s="5">
        <f t="shared" ca="1" si="30"/>
        <v>6.5304273228735553E-3</v>
      </c>
      <c r="AO18" s="5">
        <f t="shared" ca="1" si="31"/>
        <v>6.4643814986800252E-3</v>
      </c>
      <c r="AP18" s="5">
        <f t="shared" ca="1" si="32"/>
        <v>6.3473746341420403E-3</v>
      </c>
      <c r="AQ18" s="5">
        <f t="shared" ca="1" si="33"/>
        <v>6.1819156467463939E-3</v>
      </c>
      <c r="AR18" s="5">
        <f t="shared" ca="1" si="34"/>
        <v>6.6789314948927413E-3</v>
      </c>
      <c r="AS18" s="5">
        <f t="shared" ca="1" si="35"/>
        <v>6.6870896780832642E-3</v>
      </c>
      <c r="AT18" s="5">
        <f t="shared" ca="1" si="36"/>
        <v>6.3647239584512074E-3</v>
      </c>
      <c r="AU18" s="5">
        <f t="shared" ca="1" si="37"/>
        <v>6.5367574628582507E-3</v>
      </c>
      <c r="AV18" s="5">
        <f t="shared" ca="1" si="38"/>
        <v>6.6167402821720187E-3</v>
      </c>
      <c r="AW18" s="5">
        <f t="shared" ca="1" si="39"/>
        <v>6.6783342783906033E-3</v>
      </c>
      <c r="AX18" s="5">
        <f t="shared" ca="1" si="40"/>
        <v>6.426572134842626E-3</v>
      </c>
      <c r="AY18" s="5">
        <f t="shared" ca="1" si="41"/>
        <v>6.6258798167321805E-3</v>
      </c>
      <c r="AZ18" s="5">
        <f t="shared" ca="1" si="42"/>
        <v>6.2796226494242022E-3</v>
      </c>
      <c r="BA18" s="5">
        <f t="shared" ca="1" si="43"/>
        <v>6.4774492233744445E-3</v>
      </c>
      <c r="BB18" s="5">
        <f t="shared" ca="1" si="44"/>
        <v>6.481999217377161E-3</v>
      </c>
      <c r="BC18" s="5">
        <f t="shared" ca="1" si="45"/>
        <v>6.3607706458430275E-3</v>
      </c>
      <c r="BD18" s="5">
        <f t="shared" ca="1" si="46"/>
        <v>6.5272615774499155E-3</v>
      </c>
      <c r="BE18" s="5">
        <f t="shared" ca="1" si="47"/>
        <v>6.4616598907167354E-3</v>
      </c>
      <c r="BF18" s="5">
        <f t="shared" ca="1" si="48"/>
        <v>6.3866012645757897E-3</v>
      </c>
      <c r="BG18" s="5">
        <f t="shared" ca="1" si="49"/>
        <v>6.4897647309318735E-3</v>
      </c>
      <c r="BH18" s="5">
        <f t="shared" ca="1" si="50"/>
        <v>6.330006014588504E-3</v>
      </c>
      <c r="BI18" s="5">
        <f t="shared" ca="1" si="51"/>
        <v>6.7598207699235092E-3</v>
      </c>
      <c r="BJ18" s="5">
        <f t="shared" ca="1" si="52"/>
        <v>6.3998202247888599E-3</v>
      </c>
      <c r="BK18" s="5">
        <f t="shared" ca="1" si="53"/>
        <v>6.5422172829014951E-3</v>
      </c>
      <c r="BL18" s="5">
        <f t="shared" ca="1" si="54"/>
        <v>6.3548858114339376E-3</v>
      </c>
      <c r="BM18" s="5">
        <f t="shared" ca="1" si="55"/>
        <v>6.2609033666463998E-3</v>
      </c>
      <c r="BN18" s="5">
        <f t="shared" ca="1" si="56"/>
        <v>6.5642720793333605E-3</v>
      </c>
      <c r="BO18" s="5">
        <f t="shared" ca="1" si="57"/>
        <v>6.4295097000134291E-3</v>
      </c>
      <c r="BP18" s="5">
        <f t="shared" ca="1" si="58"/>
        <v>6.3928913765725322E-3</v>
      </c>
      <c r="BQ18" s="5">
        <f t="shared" ca="1" si="59"/>
        <v>6.2870029727625223E-3</v>
      </c>
      <c r="BR18" s="5">
        <f t="shared" ca="1" si="60"/>
        <v>6.3774497183132486E-3</v>
      </c>
      <c r="BS18" s="5">
        <f t="shared" ca="1" si="61"/>
        <v>6.5123141579655859E-3</v>
      </c>
      <c r="BT18" s="5">
        <f t="shared" ca="1" si="62"/>
        <v>6.4389137480138471E-3</v>
      </c>
      <c r="BU18" s="5">
        <f t="shared" ca="1" si="63"/>
        <v>6.4845308470840952E-3</v>
      </c>
      <c r="BV18" s="5">
        <f t="shared" ca="1" si="64"/>
        <v>6.6241874510979491E-3</v>
      </c>
      <c r="BW18" s="5">
        <f t="shared" ca="1" si="65"/>
        <v>6.6791631939938437E-3</v>
      </c>
      <c r="BX18" s="5">
        <f t="shared" ca="1" si="66"/>
        <v>6.3303545981722434E-3</v>
      </c>
      <c r="BY18" s="5">
        <f t="shared" ca="1" si="67"/>
        <v>6.4037462965522048E-3</v>
      </c>
      <c r="BZ18" s="5">
        <f t="shared" ca="1" si="68"/>
        <v>6.447929202767602E-3</v>
      </c>
      <c r="CA18" s="5">
        <f t="shared" ca="1" si="69"/>
        <v>6.374739608546163E-3</v>
      </c>
      <c r="CB18" s="5">
        <f t="shared" ca="1" si="70"/>
        <v>6.2894867071144169E-3</v>
      </c>
      <c r="CC18" s="5">
        <f t="shared" ca="1" si="71"/>
        <v>6.6710525497065297E-3</v>
      </c>
      <c r="CD18" s="5">
        <f t="shared" ca="1" si="72"/>
        <v>6.5085854617702487E-3</v>
      </c>
      <c r="CE18" s="5">
        <f t="shared" ca="1" si="73"/>
        <v>6.4518746726415499E-3</v>
      </c>
      <c r="CF18" s="5">
        <f t="shared" ca="1" si="74"/>
        <v>6.4292851791003707E-3</v>
      </c>
      <c r="CG18" s="5">
        <f t="shared" ca="1" si="75"/>
        <v>6.4028037011503577E-3</v>
      </c>
      <c r="CH18" s="5">
        <f t="shared" ca="1" si="76"/>
        <v>6.4353504346711032E-3</v>
      </c>
      <c r="CI18" s="5">
        <f t="shared" ca="1" si="77"/>
        <v>6.5350003732028037E-3</v>
      </c>
      <c r="CJ18" s="5">
        <f t="shared" ca="1" si="78"/>
        <v>6.5389842948962154E-3</v>
      </c>
      <c r="CK18" s="5">
        <f t="shared" ca="1" si="79"/>
        <v>6.3204190656946414E-3</v>
      </c>
      <c r="CL18" s="5">
        <f t="shared" ca="1" si="80"/>
        <v>6.5080122441316755E-3</v>
      </c>
      <c r="CM18" s="5">
        <f t="shared" ca="1" si="81"/>
        <v>6.2563495734249868E-3</v>
      </c>
      <c r="CN18" s="5">
        <f t="shared" ca="1" si="82"/>
        <v>6.4198656161692574E-3</v>
      </c>
      <c r="CO18" s="5">
        <f t="shared" ca="1" si="83"/>
        <v>6.5433469657313935E-3</v>
      </c>
      <c r="CP18" s="5">
        <f t="shared" ca="1" si="84"/>
        <v>6.7219197245304901E-3</v>
      </c>
      <c r="CQ18" s="5">
        <f t="shared" ca="1" si="85"/>
        <v>6.7236571437109668E-3</v>
      </c>
      <c r="CR18" s="5">
        <f t="shared" ca="1" si="86"/>
        <v>6.4858426289490867E-3</v>
      </c>
      <c r="CS18" s="5">
        <f t="shared" ca="1" si="87"/>
        <v>6.4841478282486268E-3</v>
      </c>
      <c r="CT18" s="5">
        <f t="shared" ca="1" si="88"/>
        <v>6.6731551786016578E-3</v>
      </c>
      <c r="CU18" s="5">
        <f t="shared" ca="1" si="89"/>
        <v>6.3106081803899587E-3</v>
      </c>
      <c r="CV18" s="5">
        <f t="shared" ca="1" si="90"/>
        <v>6.4210159125381045E-3</v>
      </c>
      <c r="CW18" s="5">
        <f t="shared" ca="1" si="91"/>
        <v>6.3444400679704607E-3</v>
      </c>
      <c r="CX18" s="5">
        <f t="shared" ca="1" si="92"/>
        <v>6.2774054990518031E-3</v>
      </c>
      <c r="CY18" s="5">
        <f t="shared" ca="1" si="93"/>
        <v>6.5471015688935916E-3</v>
      </c>
      <c r="CZ18" s="5">
        <f t="shared" ca="1" si="94"/>
        <v>6.2579155040370232E-3</v>
      </c>
      <c r="DA18" s="5">
        <f t="shared" ca="1" si="95"/>
        <v>6.4485078834958095E-3</v>
      </c>
      <c r="DB18" s="5">
        <f t="shared" ca="1" si="96"/>
        <v>6.5028173895452695E-3</v>
      </c>
      <c r="DC18" s="5">
        <f t="shared" ca="1" si="97"/>
        <v>6.2491509206165875E-3</v>
      </c>
      <c r="DD18" s="5">
        <f t="shared" ca="1" si="98"/>
        <v>6.3370291010515552E-3</v>
      </c>
      <c r="DE18" s="5">
        <f t="shared" ca="1" si="99"/>
        <v>6.6848830923044991E-3</v>
      </c>
      <c r="DF18" s="5">
        <f t="shared" ca="1" si="100"/>
        <v>6.5323658404174874E-3</v>
      </c>
      <c r="DG18" s="5">
        <f t="shared" ca="1" si="101"/>
        <v>6.3942799662595126E-3</v>
      </c>
      <c r="DH18" s="5">
        <f t="shared" ca="1" si="102"/>
        <v>6.3805984320643551E-3</v>
      </c>
      <c r="DI18" s="5">
        <f t="shared" ca="1" si="103"/>
        <v>6.4612136417657616E-3</v>
      </c>
      <c r="DJ18" s="5">
        <f t="shared" ca="1" si="104"/>
        <v>6.567082801971439E-3</v>
      </c>
    </row>
    <row r="19" spans="1:114" outlineLevel="1" x14ac:dyDescent="0.2">
      <c r="A19" s="40"/>
      <c r="B19" s="41"/>
      <c r="C19" s="41"/>
      <c r="D19" s="42"/>
      <c r="E19" s="32">
        <v>45047</v>
      </c>
      <c r="F19" s="9">
        <v>1950</v>
      </c>
      <c r="G19" s="5">
        <f t="shared" ca="1" si="0"/>
        <v>9.4410322108311795E-2</v>
      </c>
      <c r="H19" s="5">
        <f t="shared" ca="1" si="1"/>
        <v>6.3860459298262862E-3</v>
      </c>
      <c r="I19" s="9">
        <f t="shared" ca="1" si="2"/>
        <v>32312.248170510607</v>
      </c>
      <c r="K19" s="6">
        <v>15</v>
      </c>
      <c r="L19" s="5">
        <v>362084.41341625934</v>
      </c>
      <c r="N19" s="32">
        <v>45017</v>
      </c>
      <c r="O19" s="5">
        <f t="shared" ca="1" si="5"/>
        <v>6.6707495509314377E-3</v>
      </c>
      <c r="P19" s="5">
        <f t="shared" ca="1" si="6"/>
        <v>6.4567808958376459E-3</v>
      </c>
      <c r="Q19" s="5">
        <f t="shared" ca="1" si="7"/>
        <v>6.7209054700830152E-3</v>
      </c>
      <c r="R19" s="5">
        <f t="shared" ca="1" si="8"/>
        <v>6.5906291251688473E-3</v>
      </c>
      <c r="S19" s="5">
        <f t="shared" ca="1" si="9"/>
        <v>6.4658759843062305E-3</v>
      </c>
      <c r="T19" s="5">
        <f t="shared" ca="1" si="10"/>
        <v>6.2372882280367688E-3</v>
      </c>
      <c r="U19" s="5">
        <f t="shared" ca="1" si="11"/>
        <v>6.2606918055812437E-3</v>
      </c>
      <c r="V19" s="5">
        <f t="shared" ca="1" si="12"/>
        <v>6.3877953054402225E-3</v>
      </c>
      <c r="W19" s="5">
        <f t="shared" ca="1" si="13"/>
        <v>6.3797590539155409E-3</v>
      </c>
      <c r="X19" s="5">
        <f t="shared" ca="1" si="14"/>
        <v>6.4122505280060429E-3</v>
      </c>
      <c r="Y19" s="5">
        <f t="shared" ca="1" si="15"/>
        <v>6.4816873116234778E-3</v>
      </c>
      <c r="Z19" s="5">
        <f t="shared" ca="1" si="16"/>
        <v>6.4354581028608681E-3</v>
      </c>
      <c r="AA19" s="5">
        <f t="shared" ca="1" si="17"/>
        <v>6.6389186103836661E-3</v>
      </c>
      <c r="AB19" s="5">
        <f t="shared" ca="1" si="18"/>
        <v>6.8265999292096771E-3</v>
      </c>
      <c r="AC19" s="5">
        <f t="shared" ca="1" si="19"/>
        <v>6.750353727589988E-3</v>
      </c>
      <c r="AD19" s="5">
        <f t="shared" ca="1" si="20"/>
        <v>6.6170709800124124E-3</v>
      </c>
      <c r="AE19" s="5">
        <f t="shared" ca="1" si="21"/>
        <v>6.5784218398348866E-3</v>
      </c>
      <c r="AF19" s="5">
        <f t="shared" ca="1" si="22"/>
        <v>6.2856251205173639E-3</v>
      </c>
      <c r="AG19" s="5">
        <f t="shared" ca="1" si="23"/>
        <v>6.3569293433477399E-3</v>
      </c>
      <c r="AH19" s="5">
        <f t="shared" ca="1" si="24"/>
        <v>6.368420071708591E-3</v>
      </c>
      <c r="AI19" s="5">
        <f t="shared" ca="1" si="25"/>
        <v>6.4646584956269959E-3</v>
      </c>
      <c r="AJ19" s="5">
        <f t="shared" ca="1" si="26"/>
        <v>6.7785038277140917E-3</v>
      </c>
      <c r="AK19" s="5">
        <f t="shared" ca="1" si="27"/>
        <v>6.6531105297368623E-3</v>
      </c>
      <c r="AL19" s="5">
        <f t="shared" ca="1" si="28"/>
        <v>6.1295019319034284E-3</v>
      </c>
      <c r="AM19" s="5">
        <f t="shared" ca="1" si="29"/>
        <v>6.4627380817049484E-3</v>
      </c>
      <c r="AN19" s="5">
        <f t="shared" ca="1" si="30"/>
        <v>6.6201388607036102E-3</v>
      </c>
      <c r="AO19" s="5">
        <f t="shared" ca="1" si="31"/>
        <v>6.481949702770962E-3</v>
      </c>
      <c r="AP19" s="5">
        <f t="shared" ca="1" si="32"/>
        <v>6.3189314334561788E-3</v>
      </c>
      <c r="AQ19" s="5">
        <f t="shared" ca="1" si="33"/>
        <v>6.171811035174936E-3</v>
      </c>
      <c r="AR19" s="5">
        <f t="shared" ca="1" si="34"/>
        <v>6.6641325416079726E-3</v>
      </c>
      <c r="AS19" s="5">
        <f t="shared" ca="1" si="35"/>
        <v>6.7066178561982666E-3</v>
      </c>
      <c r="AT19" s="5">
        <f t="shared" ca="1" si="36"/>
        <v>6.3648442489524382E-3</v>
      </c>
      <c r="AU19" s="5">
        <f t="shared" ca="1" si="37"/>
        <v>6.5034851994386694E-3</v>
      </c>
      <c r="AV19" s="5">
        <f t="shared" ca="1" si="38"/>
        <v>6.5881519985770071E-3</v>
      </c>
      <c r="AW19" s="5">
        <f t="shared" ca="1" si="39"/>
        <v>6.6883822952966913E-3</v>
      </c>
      <c r="AX19" s="5">
        <f t="shared" ca="1" si="40"/>
        <v>6.3328390650319692E-3</v>
      </c>
      <c r="AY19" s="5">
        <f t="shared" ca="1" si="41"/>
        <v>6.6209278367762572E-3</v>
      </c>
      <c r="AZ19" s="5">
        <f t="shared" ca="1" si="42"/>
        <v>6.2865697627877519E-3</v>
      </c>
      <c r="BA19" s="5">
        <f t="shared" ca="1" si="43"/>
        <v>6.4437443125109914E-3</v>
      </c>
      <c r="BB19" s="5">
        <f t="shared" ca="1" si="44"/>
        <v>6.5203183263375297E-3</v>
      </c>
      <c r="BC19" s="5">
        <f t="shared" ca="1" si="45"/>
        <v>6.3362583815619192E-3</v>
      </c>
      <c r="BD19" s="5">
        <f t="shared" ca="1" si="46"/>
        <v>6.5600108968261366E-3</v>
      </c>
      <c r="BE19" s="5">
        <f t="shared" ca="1" si="47"/>
        <v>6.4649062206108233E-3</v>
      </c>
      <c r="BF19" s="5">
        <f t="shared" ca="1" si="48"/>
        <v>6.3442975720628732E-3</v>
      </c>
      <c r="BG19" s="5">
        <f t="shared" ca="1" si="49"/>
        <v>6.4341347829799146E-3</v>
      </c>
      <c r="BH19" s="5">
        <f t="shared" ca="1" si="50"/>
        <v>6.3752100830832608E-3</v>
      </c>
      <c r="BI19" s="5">
        <f t="shared" ca="1" si="51"/>
        <v>6.7269557842114143E-3</v>
      </c>
      <c r="BJ19" s="5">
        <f t="shared" ca="1" si="52"/>
        <v>6.4045170663413753E-3</v>
      </c>
      <c r="BK19" s="5">
        <f t="shared" ca="1" si="53"/>
        <v>6.6413460846080396E-3</v>
      </c>
      <c r="BL19" s="5">
        <f t="shared" ca="1" si="54"/>
        <v>6.3120933354471479E-3</v>
      </c>
      <c r="BM19" s="5">
        <f t="shared" ca="1" si="55"/>
        <v>6.3057965641326675E-3</v>
      </c>
      <c r="BN19" s="5">
        <f t="shared" ca="1" si="56"/>
        <v>6.6216492293233184E-3</v>
      </c>
      <c r="BO19" s="5">
        <f t="shared" ca="1" si="57"/>
        <v>6.4661315518859449E-3</v>
      </c>
      <c r="BP19" s="5">
        <f t="shared" ca="1" si="58"/>
        <v>6.3510632299185067E-3</v>
      </c>
      <c r="BQ19" s="5">
        <f t="shared" ca="1" si="59"/>
        <v>6.2423346125477725E-3</v>
      </c>
      <c r="BR19" s="5">
        <f t="shared" ca="1" si="60"/>
        <v>6.4213439930074171E-3</v>
      </c>
      <c r="BS19" s="5">
        <f t="shared" ca="1" si="61"/>
        <v>6.4945665671391614E-3</v>
      </c>
      <c r="BT19" s="5">
        <f t="shared" ca="1" si="62"/>
        <v>6.4345272920079168E-3</v>
      </c>
      <c r="BU19" s="5">
        <f t="shared" ca="1" si="63"/>
        <v>6.5132759132848382E-3</v>
      </c>
      <c r="BV19" s="5">
        <f t="shared" ca="1" si="64"/>
        <v>6.6116003336175906E-3</v>
      </c>
      <c r="BW19" s="5">
        <f t="shared" ca="1" si="65"/>
        <v>6.7534035239445352E-3</v>
      </c>
      <c r="BX19" s="5">
        <f t="shared" ca="1" si="66"/>
        <v>6.3135674198836434E-3</v>
      </c>
      <c r="BY19" s="5">
        <f t="shared" ca="1" si="67"/>
        <v>6.4217330507344945E-3</v>
      </c>
      <c r="BZ19" s="5">
        <f t="shared" ca="1" si="68"/>
        <v>6.4058730070024423E-3</v>
      </c>
      <c r="CA19" s="5">
        <f t="shared" ca="1" si="69"/>
        <v>6.3233605103519561E-3</v>
      </c>
      <c r="CB19" s="5">
        <f t="shared" ca="1" si="70"/>
        <v>6.3429326817401608E-3</v>
      </c>
      <c r="CC19" s="5">
        <f t="shared" ca="1" si="71"/>
        <v>6.6578560634986484E-3</v>
      </c>
      <c r="CD19" s="5">
        <f t="shared" ca="1" si="72"/>
        <v>6.541010002887271E-3</v>
      </c>
      <c r="CE19" s="5">
        <f t="shared" ca="1" si="73"/>
        <v>6.4257265271813685E-3</v>
      </c>
      <c r="CF19" s="5">
        <f t="shared" ca="1" si="74"/>
        <v>6.4982387106388732E-3</v>
      </c>
      <c r="CG19" s="5">
        <f t="shared" ca="1" si="75"/>
        <v>6.3979929396482662E-3</v>
      </c>
      <c r="CH19" s="5">
        <f t="shared" ca="1" si="76"/>
        <v>6.363513938501944E-3</v>
      </c>
      <c r="CI19" s="5">
        <f t="shared" ca="1" si="77"/>
        <v>6.5703277333645912E-3</v>
      </c>
      <c r="CJ19" s="5">
        <f t="shared" ca="1" si="78"/>
        <v>6.4902738068984157E-3</v>
      </c>
      <c r="CK19" s="5">
        <f t="shared" ca="1" si="79"/>
        <v>6.3053505971416499E-3</v>
      </c>
      <c r="CL19" s="5">
        <f t="shared" ca="1" si="80"/>
        <v>6.50221426196572E-3</v>
      </c>
      <c r="CM19" s="5">
        <f t="shared" ca="1" si="81"/>
        <v>6.3684988760347554E-3</v>
      </c>
      <c r="CN19" s="5">
        <f t="shared" ca="1" si="82"/>
        <v>6.4432318417282112E-3</v>
      </c>
      <c r="CO19" s="5">
        <f t="shared" ca="1" si="83"/>
        <v>6.5069576825622201E-3</v>
      </c>
      <c r="CP19" s="5">
        <f t="shared" ca="1" si="84"/>
        <v>6.7453742135213058E-3</v>
      </c>
      <c r="CQ19" s="5">
        <f t="shared" ca="1" si="85"/>
        <v>6.7179097822196408E-3</v>
      </c>
      <c r="CR19" s="5">
        <f t="shared" ca="1" si="86"/>
        <v>6.4929848935852061E-3</v>
      </c>
      <c r="CS19" s="5">
        <f t="shared" ca="1" si="87"/>
        <v>6.4852317208612398E-3</v>
      </c>
      <c r="CT19" s="5">
        <f t="shared" ca="1" si="88"/>
        <v>6.7361807354148285E-3</v>
      </c>
      <c r="CU19" s="5">
        <f t="shared" ca="1" si="89"/>
        <v>6.2364435846636625E-3</v>
      </c>
      <c r="CV19" s="5">
        <f t="shared" ca="1" si="90"/>
        <v>6.3630606295737961E-3</v>
      </c>
      <c r="CW19" s="5">
        <f t="shared" ca="1" si="91"/>
        <v>6.3496828325533159E-3</v>
      </c>
      <c r="CX19" s="5">
        <f t="shared" ca="1" si="92"/>
        <v>6.3385857586707494E-3</v>
      </c>
      <c r="CY19" s="5">
        <f t="shared" ca="1" si="93"/>
        <v>6.5580095585511299E-3</v>
      </c>
      <c r="CZ19" s="5">
        <f t="shared" ca="1" si="94"/>
        <v>6.199350715482224E-3</v>
      </c>
      <c r="DA19" s="5">
        <f t="shared" ca="1" si="95"/>
        <v>6.3845426136480143E-3</v>
      </c>
      <c r="DB19" s="5">
        <f t="shared" ca="1" si="96"/>
        <v>6.4386456532912646E-3</v>
      </c>
      <c r="DC19" s="5">
        <f t="shared" ca="1" si="97"/>
        <v>6.2558496279981083E-3</v>
      </c>
      <c r="DD19" s="5">
        <f t="shared" ca="1" si="98"/>
        <v>6.3318539609467667E-3</v>
      </c>
      <c r="DE19" s="5">
        <f t="shared" ca="1" si="99"/>
        <v>6.7148565757404778E-3</v>
      </c>
      <c r="DF19" s="5">
        <f t="shared" ca="1" si="100"/>
        <v>6.5526377320504984E-3</v>
      </c>
      <c r="DG19" s="5">
        <f t="shared" ca="1" si="101"/>
        <v>6.4621414988582735E-3</v>
      </c>
      <c r="DH19" s="5">
        <f t="shared" ca="1" si="102"/>
        <v>6.465875480921578E-3</v>
      </c>
      <c r="DI19" s="5">
        <f t="shared" ca="1" si="103"/>
        <v>6.4218552000517154E-3</v>
      </c>
      <c r="DJ19" s="5">
        <f t="shared" ca="1" si="104"/>
        <v>6.6108871390507893E-3</v>
      </c>
    </row>
    <row r="20" spans="1:114" outlineLevel="1" x14ac:dyDescent="0.2">
      <c r="A20" s="40" t="s">
        <v>109</v>
      </c>
      <c r="B20" s="41"/>
      <c r="C20" s="75" t="s">
        <v>52</v>
      </c>
      <c r="D20" s="75"/>
      <c r="E20" s="32">
        <v>45078</v>
      </c>
      <c r="F20" s="9">
        <v>1950</v>
      </c>
      <c r="G20" s="5">
        <f t="shared" ca="1" si="0"/>
        <v>1.6387298612437321E-2</v>
      </c>
      <c r="H20" s="5">
        <f t="shared" ca="1" si="1"/>
        <v>6.4405099480488231E-3</v>
      </c>
      <c r="I20" s="9">
        <f t="shared" ca="1" si="2"/>
        <v>34279.595104872336</v>
      </c>
      <c r="K20" s="6">
        <v>16</v>
      </c>
      <c r="L20" s="5">
        <v>362633.21398330585</v>
      </c>
      <c r="N20" s="32">
        <v>45047</v>
      </c>
      <c r="O20" s="5">
        <f t="shared" ca="1" si="5"/>
        <v>6.6733364874286081E-3</v>
      </c>
      <c r="P20" s="5">
        <f t="shared" ca="1" si="6"/>
        <v>6.4202393040846866E-3</v>
      </c>
      <c r="Q20" s="5">
        <f t="shared" ca="1" si="7"/>
        <v>6.8027712033142699E-3</v>
      </c>
      <c r="R20" s="5">
        <f t="shared" ca="1" si="8"/>
        <v>6.5950569520134648E-3</v>
      </c>
      <c r="S20" s="5">
        <f t="shared" ca="1" si="9"/>
        <v>6.5054530931691699E-3</v>
      </c>
      <c r="T20" s="5">
        <f t="shared" ca="1" si="10"/>
        <v>6.262024913541964E-3</v>
      </c>
      <c r="U20" s="5">
        <f t="shared" ca="1" si="11"/>
        <v>6.1877022987037447E-3</v>
      </c>
      <c r="V20" s="5">
        <f t="shared" ca="1" si="12"/>
        <v>6.4033245395325056E-3</v>
      </c>
      <c r="W20" s="5">
        <f t="shared" ca="1" si="13"/>
        <v>6.4295294859785142E-3</v>
      </c>
      <c r="X20" s="5">
        <f t="shared" ca="1" si="14"/>
        <v>6.4238981787585366E-3</v>
      </c>
      <c r="Y20" s="5">
        <f t="shared" ca="1" si="15"/>
        <v>6.5187438639139556E-3</v>
      </c>
      <c r="Z20" s="5">
        <f t="shared" ca="1" si="16"/>
        <v>6.4508959442388771E-3</v>
      </c>
      <c r="AA20" s="5">
        <f t="shared" ca="1" si="17"/>
        <v>6.5445182184735154E-3</v>
      </c>
      <c r="AB20" s="5">
        <f t="shared" ca="1" si="18"/>
        <v>6.8189204782753603E-3</v>
      </c>
      <c r="AC20" s="5">
        <f t="shared" ca="1" si="19"/>
        <v>6.7230158504921261E-3</v>
      </c>
      <c r="AD20" s="5">
        <f t="shared" ca="1" si="20"/>
        <v>6.6754470461103995E-3</v>
      </c>
      <c r="AE20" s="5">
        <f t="shared" ca="1" si="21"/>
        <v>6.6016947279009773E-3</v>
      </c>
      <c r="AF20" s="5">
        <f t="shared" ca="1" si="22"/>
        <v>6.2910501685095599E-3</v>
      </c>
      <c r="AG20" s="5">
        <f t="shared" ca="1" si="23"/>
        <v>6.3538113796712216E-3</v>
      </c>
      <c r="AH20" s="5">
        <f t="shared" ca="1" si="24"/>
        <v>6.3139468440360259E-3</v>
      </c>
      <c r="AI20" s="5">
        <f t="shared" ca="1" si="25"/>
        <v>6.503640527910152E-3</v>
      </c>
      <c r="AJ20" s="5">
        <f t="shared" ca="1" si="26"/>
        <v>6.8079611521140787E-3</v>
      </c>
      <c r="AK20" s="5">
        <f t="shared" ca="1" si="27"/>
        <v>6.5772503878732212E-3</v>
      </c>
      <c r="AL20" s="5">
        <f t="shared" ca="1" si="28"/>
        <v>6.1023700530827398E-3</v>
      </c>
      <c r="AM20" s="5">
        <f t="shared" ca="1" si="29"/>
        <v>6.4515886200400378E-3</v>
      </c>
      <c r="AN20" s="5">
        <f t="shared" ca="1" si="30"/>
        <v>6.6428840197834283E-3</v>
      </c>
      <c r="AO20" s="5">
        <f t="shared" ca="1" si="31"/>
        <v>6.4692624218527124E-3</v>
      </c>
      <c r="AP20" s="5">
        <f t="shared" ca="1" si="32"/>
        <v>6.3093207570486254E-3</v>
      </c>
      <c r="AQ20" s="5">
        <f t="shared" ca="1" si="33"/>
        <v>6.1981814617728861E-3</v>
      </c>
      <c r="AR20" s="5">
        <f t="shared" ca="1" si="34"/>
        <v>6.6170367766723312E-3</v>
      </c>
      <c r="AS20" s="5">
        <f t="shared" ca="1" si="35"/>
        <v>6.8147972855152287E-3</v>
      </c>
      <c r="AT20" s="5">
        <f t="shared" ca="1" si="36"/>
        <v>6.3130302775191152E-3</v>
      </c>
      <c r="AU20" s="5">
        <f t="shared" ca="1" si="37"/>
        <v>6.46891478286461E-3</v>
      </c>
      <c r="AV20" s="5">
        <f t="shared" ca="1" si="38"/>
        <v>6.5218253634373403E-3</v>
      </c>
      <c r="AW20" s="5">
        <f t="shared" ca="1" si="39"/>
        <v>6.7202784530880771E-3</v>
      </c>
      <c r="AX20" s="5">
        <f t="shared" ca="1" si="40"/>
        <v>6.3001279898379278E-3</v>
      </c>
      <c r="AY20" s="5">
        <f t="shared" ca="1" si="41"/>
        <v>6.6044748714379573E-3</v>
      </c>
      <c r="AZ20" s="5">
        <f t="shared" ca="1" si="42"/>
        <v>6.2732947285165349E-3</v>
      </c>
      <c r="BA20" s="5">
        <f t="shared" ca="1" si="43"/>
        <v>6.4432601542233937E-3</v>
      </c>
      <c r="BB20" s="5">
        <f t="shared" ca="1" si="44"/>
        <v>6.5393145818093213E-3</v>
      </c>
      <c r="BC20" s="5">
        <f t="shared" ca="1" si="45"/>
        <v>6.3170678429593152E-3</v>
      </c>
      <c r="BD20" s="5">
        <f t="shared" ca="1" si="46"/>
        <v>6.5830933872162694E-3</v>
      </c>
      <c r="BE20" s="5">
        <f t="shared" ca="1" si="47"/>
        <v>6.5240914697715681E-3</v>
      </c>
      <c r="BF20" s="5">
        <f t="shared" ca="1" si="48"/>
        <v>6.3481060609028896E-3</v>
      </c>
      <c r="BG20" s="5">
        <f t="shared" ca="1" si="49"/>
        <v>6.4794657936552633E-3</v>
      </c>
      <c r="BH20" s="5">
        <f t="shared" ca="1" si="50"/>
        <v>6.3529485427097163E-3</v>
      </c>
      <c r="BI20" s="5">
        <f t="shared" ca="1" si="51"/>
        <v>6.8080333341121032E-3</v>
      </c>
      <c r="BJ20" s="5">
        <f t="shared" ca="1" si="52"/>
        <v>6.3869790542150917E-3</v>
      </c>
      <c r="BK20" s="5">
        <f t="shared" ca="1" si="53"/>
        <v>6.5451892846777665E-3</v>
      </c>
      <c r="BL20" s="5">
        <f t="shared" ca="1" si="54"/>
        <v>6.2891569144997231E-3</v>
      </c>
      <c r="BM20" s="5">
        <f t="shared" ca="1" si="55"/>
        <v>6.3525490459618054E-3</v>
      </c>
      <c r="BN20" s="5">
        <f t="shared" ca="1" si="56"/>
        <v>6.5597462961309947E-3</v>
      </c>
      <c r="BO20" s="5">
        <f t="shared" ca="1" si="57"/>
        <v>6.5114051887186324E-3</v>
      </c>
      <c r="BP20" s="5">
        <f t="shared" ca="1" si="58"/>
        <v>6.3507456200179793E-3</v>
      </c>
      <c r="BQ20" s="5">
        <f t="shared" ca="1" si="59"/>
        <v>6.2259617829912928E-3</v>
      </c>
      <c r="BR20" s="5">
        <f t="shared" ca="1" si="60"/>
        <v>6.4750637032980922E-3</v>
      </c>
      <c r="BS20" s="5">
        <f t="shared" ca="1" si="61"/>
        <v>6.5226744217927951E-3</v>
      </c>
      <c r="BT20" s="5">
        <f t="shared" ca="1" si="62"/>
        <v>6.3679442986295867E-3</v>
      </c>
      <c r="BU20" s="5">
        <f t="shared" ca="1" si="63"/>
        <v>6.5045664290268104E-3</v>
      </c>
      <c r="BV20" s="5">
        <f t="shared" ca="1" si="64"/>
        <v>6.6921622222226827E-3</v>
      </c>
      <c r="BW20" s="5">
        <f t="shared" ca="1" si="65"/>
        <v>6.7891138133229431E-3</v>
      </c>
      <c r="BX20" s="5">
        <f t="shared" ca="1" si="66"/>
        <v>6.2990026568417595E-3</v>
      </c>
      <c r="BY20" s="5">
        <f t="shared" ca="1" si="67"/>
        <v>6.4333637678205798E-3</v>
      </c>
      <c r="BZ20" s="5">
        <f t="shared" ca="1" si="68"/>
        <v>6.3874396308174217E-3</v>
      </c>
      <c r="CA20" s="5">
        <f t="shared" ca="1" si="69"/>
        <v>6.2635294482184332E-3</v>
      </c>
      <c r="CB20" s="5">
        <f t="shared" ca="1" si="70"/>
        <v>6.3040749286864227E-3</v>
      </c>
      <c r="CC20" s="5">
        <f t="shared" ca="1" si="71"/>
        <v>6.7277495315518181E-3</v>
      </c>
      <c r="CD20" s="5">
        <f t="shared" ca="1" si="72"/>
        <v>6.5313769234400781E-3</v>
      </c>
      <c r="CE20" s="5">
        <f t="shared" ca="1" si="73"/>
        <v>6.492680208848617E-3</v>
      </c>
      <c r="CF20" s="5">
        <f t="shared" ca="1" si="74"/>
        <v>6.5687382801201651E-3</v>
      </c>
      <c r="CG20" s="5">
        <f t="shared" ca="1" si="75"/>
        <v>6.4055012205669268E-3</v>
      </c>
      <c r="CH20" s="5">
        <f t="shared" ca="1" si="76"/>
        <v>6.3646700381811078E-3</v>
      </c>
      <c r="CI20" s="5">
        <f t="shared" ca="1" si="77"/>
        <v>6.6118366644958822E-3</v>
      </c>
      <c r="CJ20" s="5">
        <f t="shared" ca="1" si="78"/>
        <v>6.5112178561209733E-3</v>
      </c>
      <c r="CK20" s="5">
        <f t="shared" ca="1" si="79"/>
        <v>6.2484433950773964E-3</v>
      </c>
      <c r="CL20" s="5">
        <f t="shared" ca="1" si="80"/>
        <v>6.4924565324768037E-3</v>
      </c>
      <c r="CM20" s="5">
        <f t="shared" ca="1" si="81"/>
        <v>6.3403827345257305E-3</v>
      </c>
      <c r="CN20" s="5">
        <f t="shared" ca="1" si="82"/>
        <v>6.4590273280180164E-3</v>
      </c>
      <c r="CO20" s="5">
        <f t="shared" ca="1" si="83"/>
        <v>6.4986583952187848E-3</v>
      </c>
      <c r="CP20" s="5">
        <f t="shared" ca="1" si="84"/>
        <v>6.7506431486717361E-3</v>
      </c>
      <c r="CQ20" s="5">
        <f t="shared" ca="1" si="85"/>
        <v>6.680861027131944E-3</v>
      </c>
      <c r="CR20" s="5">
        <f t="shared" ca="1" si="86"/>
        <v>6.4033053881764621E-3</v>
      </c>
      <c r="CS20" s="5">
        <f t="shared" ca="1" si="87"/>
        <v>6.4228759043044661E-3</v>
      </c>
      <c r="CT20" s="5">
        <f t="shared" ca="1" si="88"/>
        <v>6.7777492028726991E-3</v>
      </c>
      <c r="CU20" s="5">
        <f t="shared" ca="1" si="89"/>
        <v>6.2561053242668431E-3</v>
      </c>
      <c r="CV20" s="5">
        <f t="shared" ca="1" si="90"/>
        <v>6.3545071914859856E-3</v>
      </c>
      <c r="CW20" s="5">
        <f t="shared" ca="1" si="91"/>
        <v>6.3356187139870703E-3</v>
      </c>
      <c r="CX20" s="5">
        <f t="shared" ca="1" si="92"/>
        <v>6.2938121499984991E-3</v>
      </c>
      <c r="CY20" s="5">
        <f t="shared" ca="1" si="93"/>
        <v>6.6033967606775575E-3</v>
      </c>
      <c r="CZ20" s="5">
        <f t="shared" ca="1" si="94"/>
        <v>6.2298243320825127E-3</v>
      </c>
      <c r="DA20" s="5">
        <f t="shared" ca="1" si="95"/>
        <v>6.4303906485711519E-3</v>
      </c>
      <c r="DB20" s="5">
        <f t="shared" ca="1" si="96"/>
        <v>6.4542239204141974E-3</v>
      </c>
      <c r="DC20" s="5">
        <f t="shared" ca="1" si="97"/>
        <v>6.2841889204553183E-3</v>
      </c>
      <c r="DD20" s="5">
        <f t="shared" ca="1" si="98"/>
        <v>6.3730347262248013E-3</v>
      </c>
      <c r="DE20" s="5">
        <f t="shared" ca="1" si="99"/>
        <v>6.7700764435347973E-3</v>
      </c>
      <c r="DF20" s="5">
        <f t="shared" ca="1" si="100"/>
        <v>6.6181487745744462E-3</v>
      </c>
      <c r="DG20" s="5">
        <f t="shared" ca="1" si="101"/>
        <v>6.4387057381951112E-3</v>
      </c>
      <c r="DH20" s="5">
        <f t="shared" ca="1" si="102"/>
        <v>6.4833494454564862E-3</v>
      </c>
      <c r="DI20" s="5">
        <f t="shared" ca="1" si="103"/>
        <v>6.4266618035224874E-3</v>
      </c>
      <c r="DJ20" s="5">
        <f t="shared" ca="1" si="104"/>
        <v>6.5746126729316571E-3</v>
      </c>
    </row>
    <row r="21" spans="1:114" outlineLevel="1" x14ac:dyDescent="0.2">
      <c r="A21" s="40" t="s">
        <v>110</v>
      </c>
      <c r="B21" s="41"/>
      <c r="C21" s="41"/>
      <c r="D21" s="42"/>
      <c r="E21" s="32">
        <v>45108</v>
      </c>
      <c r="F21" s="9">
        <v>1950</v>
      </c>
      <c r="G21" s="5">
        <f t="shared" ca="1" si="0"/>
        <v>-0.16903641907883621</v>
      </c>
      <c r="H21" s="5">
        <f t="shared" ca="1" si="1"/>
        <v>6.4544258230868267E-3</v>
      </c>
      <c r="I21" s="9">
        <f t="shared" ca="1" si="2"/>
        <v>36248.037989674856</v>
      </c>
      <c r="K21" s="6">
        <v>17</v>
      </c>
      <c r="L21" s="5">
        <v>362107.60920350708</v>
      </c>
      <c r="N21" s="32">
        <v>45078</v>
      </c>
      <c r="O21" s="5">
        <f t="shared" ca="1" si="5"/>
        <v>6.7557327669453991E-3</v>
      </c>
      <c r="P21" s="5">
        <f t="shared" ca="1" si="6"/>
        <v>6.4146463504060093E-3</v>
      </c>
      <c r="Q21" s="5">
        <f t="shared" ca="1" si="7"/>
        <v>6.765404053854885E-3</v>
      </c>
      <c r="R21" s="5">
        <f t="shared" ca="1" si="8"/>
        <v>6.6209907493254526E-3</v>
      </c>
      <c r="S21" s="5">
        <f t="shared" ca="1" si="9"/>
        <v>6.5031470969005092E-3</v>
      </c>
      <c r="T21" s="5">
        <f t="shared" ca="1" si="10"/>
        <v>6.2138124142407563E-3</v>
      </c>
      <c r="U21" s="5">
        <f t="shared" ca="1" si="11"/>
        <v>6.230973757979214E-3</v>
      </c>
      <c r="V21" s="5">
        <f t="shared" ca="1" si="12"/>
        <v>6.3967572987621022E-3</v>
      </c>
      <c r="W21" s="5">
        <f t="shared" ca="1" si="13"/>
        <v>6.4865483182080901E-3</v>
      </c>
      <c r="X21" s="5">
        <f t="shared" ca="1" si="14"/>
        <v>6.4420311453569678E-3</v>
      </c>
      <c r="Y21" s="5">
        <f t="shared" ca="1" si="15"/>
        <v>6.46497686872545E-3</v>
      </c>
      <c r="Z21" s="5">
        <f t="shared" ca="1" si="16"/>
        <v>6.4301186981090015E-3</v>
      </c>
      <c r="AA21" s="5">
        <f t="shared" ca="1" si="17"/>
        <v>6.6117279628252383E-3</v>
      </c>
      <c r="AB21" s="5">
        <f t="shared" ca="1" si="18"/>
        <v>6.8874292154841388E-3</v>
      </c>
      <c r="AC21" s="5">
        <f t="shared" ca="1" si="19"/>
        <v>6.7628260457923833E-3</v>
      </c>
      <c r="AD21" s="5">
        <f t="shared" ca="1" si="20"/>
        <v>6.6588818067853748E-3</v>
      </c>
      <c r="AE21" s="5">
        <f t="shared" ca="1" si="21"/>
        <v>6.6722682374887503E-3</v>
      </c>
      <c r="AF21" s="5">
        <f t="shared" ca="1" si="22"/>
        <v>6.2875228160789729E-3</v>
      </c>
      <c r="AG21" s="5">
        <f t="shared" ca="1" si="23"/>
        <v>6.3866305644617021E-3</v>
      </c>
      <c r="AH21" s="5">
        <f t="shared" ca="1" si="24"/>
        <v>6.3245027475271462E-3</v>
      </c>
      <c r="AI21" s="5">
        <f t="shared" ca="1" si="25"/>
        <v>6.5060352486185245E-3</v>
      </c>
      <c r="AJ21" s="5">
        <f t="shared" ca="1" si="26"/>
        <v>6.813055693446376E-3</v>
      </c>
      <c r="AK21" s="5">
        <f t="shared" ca="1" si="27"/>
        <v>6.6463847130663117E-3</v>
      </c>
      <c r="AL21" s="5">
        <f t="shared" ca="1" si="28"/>
        <v>6.1221156832481968E-3</v>
      </c>
      <c r="AM21" s="5">
        <f t="shared" ca="1" si="29"/>
        <v>6.4318395639459654E-3</v>
      </c>
      <c r="AN21" s="5">
        <f t="shared" ca="1" si="30"/>
        <v>6.6047041183287082E-3</v>
      </c>
      <c r="AO21" s="5">
        <f t="shared" ca="1" si="31"/>
        <v>6.5169191039710448E-3</v>
      </c>
      <c r="AP21" s="5">
        <f t="shared" ca="1" si="32"/>
        <v>6.3247150855318948E-3</v>
      </c>
      <c r="AQ21" s="5">
        <f t="shared" ca="1" si="33"/>
        <v>6.2174734069654937E-3</v>
      </c>
      <c r="AR21" s="5">
        <f t="shared" ca="1" si="34"/>
        <v>6.5539297508021843E-3</v>
      </c>
      <c r="AS21" s="5">
        <f t="shared" ca="1" si="35"/>
        <v>6.7914335638743096E-3</v>
      </c>
      <c r="AT21" s="5">
        <f t="shared" ca="1" si="36"/>
        <v>6.3425494177783313E-3</v>
      </c>
      <c r="AU21" s="5">
        <f t="shared" ca="1" si="37"/>
        <v>6.5367946578451406E-3</v>
      </c>
      <c r="AV21" s="5">
        <f t="shared" ca="1" si="38"/>
        <v>6.5938443438098918E-3</v>
      </c>
      <c r="AW21" s="5">
        <f t="shared" ca="1" si="39"/>
        <v>6.6781711576071072E-3</v>
      </c>
      <c r="AX21" s="5">
        <f t="shared" ca="1" si="40"/>
        <v>6.3151611296365208E-3</v>
      </c>
      <c r="AY21" s="5">
        <f t="shared" ca="1" si="41"/>
        <v>6.5823397520158901E-3</v>
      </c>
      <c r="AZ21" s="5">
        <f t="shared" ca="1" si="42"/>
        <v>6.3500332444485132E-3</v>
      </c>
      <c r="BA21" s="5">
        <f t="shared" ca="1" si="43"/>
        <v>6.4008967776328753E-3</v>
      </c>
      <c r="BB21" s="5">
        <f t="shared" ca="1" si="44"/>
        <v>6.506950240567598E-3</v>
      </c>
      <c r="BC21" s="5">
        <f t="shared" ca="1" si="45"/>
        <v>6.2740502624635099E-3</v>
      </c>
      <c r="BD21" s="5">
        <f t="shared" ca="1" si="46"/>
        <v>6.5477419515860705E-3</v>
      </c>
      <c r="BE21" s="5">
        <f t="shared" ca="1" si="47"/>
        <v>6.5924010171851746E-3</v>
      </c>
      <c r="BF21" s="5">
        <f t="shared" ca="1" si="48"/>
        <v>6.3309897979694375E-3</v>
      </c>
      <c r="BG21" s="5">
        <f t="shared" ca="1" si="49"/>
        <v>6.4666361965883988E-3</v>
      </c>
      <c r="BH21" s="5">
        <f t="shared" ca="1" si="50"/>
        <v>6.3089485804911699E-3</v>
      </c>
      <c r="BI21" s="5">
        <f t="shared" ca="1" si="51"/>
        <v>6.8716887575094717E-3</v>
      </c>
      <c r="BJ21" s="5">
        <f t="shared" ca="1" si="52"/>
        <v>6.4041308328945936E-3</v>
      </c>
      <c r="BK21" s="5">
        <f t="shared" ca="1" si="53"/>
        <v>6.5134159975069198E-3</v>
      </c>
      <c r="BL21" s="5">
        <f t="shared" ca="1" si="54"/>
        <v>6.3394234602038675E-3</v>
      </c>
      <c r="BM21" s="5">
        <f t="shared" ca="1" si="55"/>
        <v>6.4225841179865861E-3</v>
      </c>
      <c r="BN21" s="5">
        <f t="shared" ca="1" si="56"/>
        <v>6.6515722951337461E-3</v>
      </c>
      <c r="BO21" s="5">
        <f t="shared" ca="1" si="57"/>
        <v>6.5348591462857358E-3</v>
      </c>
      <c r="BP21" s="5">
        <f t="shared" ca="1" si="58"/>
        <v>6.1992040500885174E-3</v>
      </c>
      <c r="BQ21" s="5">
        <f t="shared" ca="1" si="59"/>
        <v>6.2578760550335575E-3</v>
      </c>
      <c r="BR21" s="5">
        <f t="shared" ca="1" si="60"/>
        <v>6.5796005300203242E-3</v>
      </c>
      <c r="BS21" s="5">
        <f t="shared" ca="1" si="61"/>
        <v>6.5555899778792746E-3</v>
      </c>
      <c r="BT21" s="5">
        <f t="shared" ca="1" si="62"/>
        <v>6.3316045730208549E-3</v>
      </c>
      <c r="BU21" s="5">
        <f t="shared" ca="1" si="63"/>
        <v>6.5565658203587743E-3</v>
      </c>
      <c r="BV21" s="5">
        <f t="shared" ca="1" si="64"/>
        <v>6.725606802027901E-3</v>
      </c>
      <c r="BW21" s="5">
        <f t="shared" ca="1" si="65"/>
        <v>6.7488107091239462E-3</v>
      </c>
      <c r="BX21" s="5">
        <f t="shared" ca="1" si="66"/>
        <v>6.3459244588555961E-3</v>
      </c>
      <c r="BY21" s="5">
        <f t="shared" ca="1" si="67"/>
        <v>6.3925223000882428E-3</v>
      </c>
      <c r="BZ21" s="5">
        <f t="shared" ca="1" si="68"/>
        <v>6.3121995499125306E-3</v>
      </c>
      <c r="CA21" s="5">
        <f t="shared" ca="1" si="69"/>
        <v>6.2075013615093561E-3</v>
      </c>
      <c r="CB21" s="5">
        <f t="shared" ca="1" si="70"/>
        <v>6.2893221748585608E-3</v>
      </c>
      <c r="CC21" s="5">
        <f t="shared" ca="1" si="71"/>
        <v>6.6444986362627963E-3</v>
      </c>
      <c r="CD21" s="5">
        <f t="shared" ca="1" si="72"/>
        <v>6.4599146210204466E-3</v>
      </c>
      <c r="CE21" s="5">
        <f t="shared" ca="1" si="73"/>
        <v>6.4653417717827309E-3</v>
      </c>
      <c r="CF21" s="5">
        <f t="shared" ca="1" si="74"/>
        <v>6.5884589893019452E-3</v>
      </c>
      <c r="CG21" s="5">
        <f t="shared" ca="1" si="75"/>
        <v>6.4034690400277877E-3</v>
      </c>
      <c r="CH21" s="5">
        <f t="shared" ca="1" si="76"/>
        <v>6.3683774460437355E-3</v>
      </c>
      <c r="CI21" s="5">
        <f t="shared" ca="1" si="77"/>
        <v>6.5939724962478744E-3</v>
      </c>
      <c r="CJ21" s="5">
        <f t="shared" ca="1" si="78"/>
        <v>6.528602514097666E-3</v>
      </c>
      <c r="CK21" s="5">
        <f t="shared" ca="1" si="79"/>
        <v>6.2600950189962336E-3</v>
      </c>
      <c r="CL21" s="5">
        <f t="shared" ca="1" si="80"/>
        <v>6.4765322756330209E-3</v>
      </c>
      <c r="CM21" s="5">
        <f t="shared" ca="1" si="81"/>
        <v>6.3541864098129921E-3</v>
      </c>
      <c r="CN21" s="5">
        <f t="shared" ca="1" si="82"/>
        <v>6.4104295688589986E-3</v>
      </c>
      <c r="CO21" s="5">
        <f t="shared" ca="1" si="83"/>
        <v>6.5555399173701442E-3</v>
      </c>
      <c r="CP21" s="5">
        <f t="shared" ca="1" si="84"/>
        <v>6.7043385830070652E-3</v>
      </c>
      <c r="CQ21" s="5">
        <f t="shared" ca="1" si="85"/>
        <v>6.6538730502581807E-3</v>
      </c>
      <c r="CR21" s="5">
        <f t="shared" ca="1" si="86"/>
        <v>6.4730129640568892E-3</v>
      </c>
      <c r="CS21" s="5">
        <f t="shared" ca="1" si="87"/>
        <v>6.3730064743037574E-3</v>
      </c>
      <c r="CT21" s="5">
        <f t="shared" ca="1" si="88"/>
        <v>6.8163580065196492E-3</v>
      </c>
      <c r="CU21" s="5">
        <f t="shared" ca="1" si="89"/>
        <v>6.2622279626866548E-3</v>
      </c>
      <c r="CV21" s="5">
        <f t="shared" ca="1" si="90"/>
        <v>6.3611720663174429E-3</v>
      </c>
      <c r="CW21" s="5">
        <f t="shared" ca="1" si="91"/>
        <v>6.3487392265400835E-3</v>
      </c>
      <c r="CX21" s="5">
        <f t="shared" ca="1" si="92"/>
        <v>6.3192986342173116E-3</v>
      </c>
      <c r="CY21" s="5">
        <f t="shared" ca="1" si="93"/>
        <v>6.5506741623374354E-3</v>
      </c>
      <c r="CZ21" s="5">
        <f t="shared" ca="1" si="94"/>
        <v>6.1530625841442962E-3</v>
      </c>
      <c r="DA21" s="5">
        <f t="shared" ca="1" si="95"/>
        <v>6.4891644762601723E-3</v>
      </c>
      <c r="DB21" s="5">
        <f t="shared" ca="1" si="96"/>
        <v>6.5522903931261979E-3</v>
      </c>
      <c r="DC21" s="5">
        <f t="shared" ca="1" si="97"/>
        <v>6.3363711160256088E-3</v>
      </c>
      <c r="DD21" s="5">
        <f t="shared" ca="1" si="98"/>
        <v>6.3847523072634478E-3</v>
      </c>
      <c r="DE21" s="5">
        <f t="shared" ca="1" si="99"/>
        <v>6.7617530966671653E-3</v>
      </c>
      <c r="DF21" s="5">
        <f t="shared" ca="1" si="100"/>
        <v>6.531951825097547E-3</v>
      </c>
      <c r="DG21" s="5">
        <f t="shared" ca="1" si="101"/>
        <v>6.4804744374525195E-3</v>
      </c>
      <c r="DH21" s="5">
        <f t="shared" ca="1" si="102"/>
        <v>6.5831361779049163E-3</v>
      </c>
      <c r="DI21" s="5">
        <f t="shared" ca="1" si="103"/>
        <v>6.3531889119523644E-3</v>
      </c>
      <c r="DJ21" s="5">
        <f t="shared" ca="1" si="104"/>
        <v>6.5688965041727082E-3</v>
      </c>
    </row>
    <row r="22" spans="1:114" outlineLevel="1" x14ac:dyDescent="0.2">
      <c r="A22" s="40"/>
      <c r="B22" s="41"/>
      <c r="C22" s="41"/>
      <c r="D22" s="42"/>
      <c r="E22" s="32">
        <v>45139</v>
      </c>
      <c r="F22" s="9">
        <v>1950</v>
      </c>
      <c r="G22" s="5">
        <f t="shared" ca="1" si="0"/>
        <v>0.11876486584452142</v>
      </c>
      <c r="H22" s="5">
        <f t="shared" ca="1" si="1"/>
        <v>6.3718129949437239E-3</v>
      </c>
      <c r="I22" s="9">
        <f t="shared" ca="1" si="2"/>
        <v>38217.290243837968</v>
      </c>
      <c r="K22" s="6">
        <v>18</v>
      </c>
      <c r="L22" s="5">
        <v>362525.52373590774</v>
      </c>
      <c r="N22" s="32">
        <v>45108</v>
      </c>
      <c r="O22" s="5">
        <f t="shared" ca="1" si="5"/>
        <v>6.7987926327855953E-3</v>
      </c>
      <c r="P22" s="5">
        <f t="shared" ca="1" si="6"/>
        <v>6.4503932320312601E-3</v>
      </c>
      <c r="Q22" s="5">
        <f t="shared" ca="1" si="7"/>
        <v>6.6855076147236039E-3</v>
      </c>
      <c r="R22" s="5">
        <f t="shared" ca="1" si="8"/>
        <v>6.6585279490207162E-3</v>
      </c>
      <c r="S22" s="5">
        <f t="shared" ca="1" si="9"/>
        <v>6.5949192191449811E-3</v>
      </c>
      <c r="T22" s="5">
        <f t="shared" ca="1" si="10"/>
        <v>6.1946981374923528E-3</v>
      </c>
      <c r="U22" s="5">
        <f t="shared" ca="1" si="11"/>
        <v>6.3387707385901826E-3</v>
      </c>
      <c r="V22" s="5">
        <f t="shared" ca="1" si="12"/>
        <v>6.4682207963465419E-3</v>
      </c>
      <c r="W22" s="5">
        <f t="shared" ca="1" si="13"/>
        <v>6.4776152070253525E-3</v>
      </c>
      <c r="X22" s="5">
        <f t="shared" ca="1" si="14"/>
        <v>6.4671860857989172E-3</v>
      </c>
      <c r="Y22" s="5">
        <f t="shared" ca="1" si="15"/>
        <v>6.5039463299078528E-3</v>
      </c>
      <c r="Z22" s="5">
        <f t="shared" ca="1" si="16"/>
        <v>6.4000384292909945E-3</v>
      </c>
      <c r="AA22" s="5">
        <f t="shared" ca="1" si="17"/>
        <v>6.6663101524799071E-3</v>
      </c>
      <c r="AB22" s="5">
        <f t="shared" ca="1" si="18"/>
        <v>6.9422514134374518E-3</v>
      </c>
      <c r="AC22" s="5">
        <f t="shared" ca="1" si="19"/>
        <v>6.7963868016445812E-3</v>
      </c>
      <c r="AD22" s="5">
        <f t="shared" ca="1" si="20"/>
        <v>6.6585629243451749E-3</v>
      </c>
      <c r="AE22" s="5">
        <f t="shared" ca="1" si="21"/>
        <v>6.6787927589858883E-3</v>
      </c>
      <c r="AF22" s="5">
        <f t="shared" ca="1" si="22"/>
        <v>6.2029049725196477E-3</v>
      </c>
      <c r="AG22" s="5">
        <f t="shared" ca="1" si="23"/>
        <v>6.3624334465604291E-3</v>
      </c>
      <c r="AH22" s="5">
        <f t="shared" ca="1" si="24"/>
        <v>6.4477327790457449E-3</v>
      </c>
      <c r="AI22" s="5">
        <f t="shared" ca="1" si="25"/>
        <v>6.5590224949840133E-3</v>
      </c>
      <c r="AJ22" s="5">
        <f t="shared" ca="1" si="26"/>
        <v>6.8441346876991173E-3</v>
      </c>
      <c r="AK22" s="5">
        <f t="shared" ca="1" si="27"/>
        <v>6.6469051951961837E-3</v>
      </c>
      <c r="AL22" s="5">
        <f t="shared" ca="1" si="28"/>
        <v>6.1664853513815803E-3</v>
      </c>
      <c r="AM22" s="5">
        <f t="shared" ca="1" si="29"/>
        <v>6.4322372525168429E-3</v>
      </c>
      <c r="AN22" s="5">
        <f t="shared" ca="1" si="30"/>
        <v>6.5826353430727064E-3</v>
      </c>
      <c r="AO22" s="5">
        <f t="shared" ca="1" si="31"/>
        <v>6.5425508652315924E-3</v>
      </c>
      <c r="AP22" s="5">
        <f t="shared" ca="1" si="32"/>
        <v>6.3454017439937265E-3</v>
      </c>
      <c r="AQ22" s="5">
        <f t="shared" ca="1" si="33"/>
        <v>6.1435000846432617E-3</v>
      </c>
      <c r="AR22" s="5">
        <f t="shared" ca="1" si="34"/>
        <v>6.5161610001075142E-3</v>
      </c>
      <c r="AS22" s="5">
        <f t="shared" ca="1" si="35"/>
        <v>6.8491299359429696E-3</v>
      </c>
      <c r="AT22" s="5">
        <f t="shared" ca="1" si="36"/>
        <v>6.3764695785452335E-3</v>
      </c>
      <c r="AU22" s="5">
        <f t="shared" ca="1" si="37"/>
        <v>6.578127803074897E-3</v>
      </c>
      <c r="AV22" s="5">
        <f t="shared" ca="1" si="38"/>
        <v>6.5056034576003036E-3</v>
      </c>
      <c r="AW22" s="5">
        <f t="shared" ca="1" si="39"/>
        <v>6.6749880554007584E-3</v>
      </c>
      <c r="AX22" s="5">
        <f t="shared" ca="1" si="40"/>
        <v>6.2915638551069653E-3</v>
      </c>
      <c r="AY22" s="5">
        <f t="shared" ca="1" si="41"/>
        <v>6.5925750197205609E-3</v>
      </c>
      <c r="AZ22" s="5">
        <f t="shared" ca="1" si="42"/>
        <v>6.3655651974064489E-3</v>
      </c>
      <c r="BA22" s="5">
        <f t="shared" ca="1" si="43"/>
        <v>6.4447676354120707E-3</v>
      </c>
      <c r="BB22" s="5">
        <f t="shared" ca="1" si="44"/>
        <v>6.4813794795702097E-3</v>
      </c>
      <c r="BC22" s="5">
        <f t="shared" ca="1" si="45"/>
        <v>6.2682983511767546E-3</v>
      </c>
      <c r="BD22" s="5">
        <f t="shared" ca="1" si="46"/>
        <v>6.6331982939113335E-3</v>
      </c>
      <c r="BE22" s="5">
        <f t="shared" ca="1" si="47"/>
        <v>6.6875238504905668E-3</v>
      </c>
      <c r="BF22" s="5">
        <f t="shared" ca="1" si="48"/>
        <v>6.2854802702243381E-3</v>
      </c>
      <c r="BG22" s="5">
        <f t="shared" ca="1" si="49"/>
        <v>6.4768742076185591E-3</v>
      </c>
      <c r="BH22" s="5">
        <f t="shared" ca="1" si="50"/>
        <v>6.290873603504164E-3</v>
      </c>
      <c r="BI22" s="5">
        <f t="shared" ca="1" si="51"/>
        <v>6.8911387622255307E-3</v>
      </c>
      <c r="BJ22" s="5">
        <f t="shared" ca="1" si="52"/>
        <v>6.4882490860338612E-3</v>
      </c>
      <c r="BK22" s="5">
        <f t="shared" ca="1" si="53"/>
        <v>6.5122342351092407E-3</v>
      </c>
      <c r="BL22" s="5">
        <f t="shared" ca="1" si="54"/>
        <v>6.3149303436778569E-3</v>
      </c>
      <c r="BM22" s="5">
        <f t="shared" ca="1" si="55"/>
        <v>6.3158180074401717E-3</v>
      </c>
      <c r="BN22" s="5">
        <f t="shared" ca="1" si="56"/>
        <v>6.7200690906250591E-3</v>
      </c>
      <c r="BO22" s="5">
        <f t="shared" ca="1" si="57"/>
        <v>6.5588076318219401E-3</v>
      </c>
      <c r="BP22" s="5">
        <f t="shared" ca="1" si="58"/>
        <v>6.2934415730037368E-3</v>
      </c>
      <c r="BQ22" s="5">
        <f t="shared" ca="1" si="59"/>
        <v>6.2980557072262865E-3</v>
      </c>
      <c r="BR22" s="5">
        <f t="shared" ca="1" si="60"/>
        <v>6.5854102134232703E-3</v>
      </c>
      <c r="BS22" s="5">
        <f t="shared" ca="1" si="61"/>
        <v>6.62507518894193E-3</v>
      </c>
      <c r="BT22" s="5">
        <f t="shared" ca="1" si="62"/>
        <v>6.3432286004134137E-3</v>
      </c>
      <c r="BU22" s="5">
        <f t="shared" ca="1" si="63"/>
        <v>6.5416682053342735E-3</v>
      </c>
      <c r="BV22" s="5">
        <f t="shared" ca="1" si="64"/>
        <v>6.7310104561489736E-3</v>
      </c>
      <c r="BW22" s="5">
        <f t="shared" ca="1" si="65"/>
        <v>6.7432248562316315E-3</v>
      </c>
      <c r="BX22" s="5">
        <f t="shared" ca="1" si="66"/>
        <v>6.443116840703836E-3</v>
      </c>
      <c r="BY22" s="5">
        <f t="shared" ca="1" si="67"/>
        <v>6.4305310133361861E-3</v>
      </c>
      <c r="BZ22" s="5">
        <f t="shared" ca="1" si="68"/>
        <v>6.3482762017740826E-3</v>
      </c>
      <c r="CA22" s="5">
        <f t="shared" ca="1" si="69"/>
        <v>6.1917342826116025E-3</v>
      </c>
      <c r="CB22" s="5">
        <f t="shared" ca="1" si="70"/>
        <v>6.321251537720703E-3</v>
      </c>
      <c r="CC22" s="5">
        <f t="shared" ca="1" si="71"/>
        <v>6.6794123608960726E-3</v>
      </c>
      <c r="CD22" s="5">
        <f t="shared" ca="1" si="72"/>
        <v>6.4611578334626057E-3</v>
      </c>
      <c r="CE22" s="5">
        <f t="shared" ca="1" si="73"/>
        <v>6.5298623828343831E-3</v>
      </c>
      <c r="CF22" s="5">
        <f t="shared" ca="1" si="74"/>
        <v>6.6242410585229073E-3</v>
      </c>
      <c r="CG22" s="5">
        <f t="shared" ca="1" si="75"/>
        <v>6.3933137603558697E-3</v>
      </c>
      <c r="CH22" s="5">
        <f t="shared" ca="1" si="76"/>
        <v>6.445609170066406E-3</v>
      </c>
      <c r="CI22" s="5">
        <f t="shared" ca="1" si="77"/>
        <v>6.5239522770889581E-3</v>
      </c>
      <c r="CJ22" s="5">
        <f t="shared" ca="1" si="78"/>
        <v>6.5427495645348152E-3</v>
      </c>
      <c r="CK22" s="5">
        <f t="shared" ca="1" si="79"/>
        <v>6.2470010538518512E-3</v>
      </c>
      <c r="CL22" s="5">
        <f t="shared" ca="1" si="80"/>
        <v>6.4921686482694134E-3</v>
      </c>
      <c r="CM22" s="5">
        <f t="shared" ca="1" si="81"/>
        <v>6.4093127170382017E-3</v>
      </c>
      <c r="CN22" s="5">
        <f t="shared" ca="1" si="82"/>
        <v>6.39886339119202E-3</v>
      </c>
      <c r="CO22" s="5">
        <f t="shared" ca="1" si="83"/>
        <v>6.5265527772145034E-3</v>
      </c>
      <c r="CP22" s="5">
        <f t="shared" ca="1" si="84"/>
        <v>6.709165415968033E-3</v>
      </c>
      <c r="CQ22" s="5">
        <f t="shared" ca="1" si="85"/>
        <v>6.7090917891612549E-3</v>
      </c>
      <c r="CR22" s="5">
        <f t="shared" ca="1" si="86"/>
        <v>6.5214899634476247E-3</v>
      </c>
      <c r="CS22" s="5">
        <f t="shared" ca="1" si="87"/>
        <v>6.4263738637214667E-3</v>
      </c>
      <c r="CT22" s="5">
        <f t="shared" ca="1" si="88"/>
        <v>6.8161376615448015E-3</v>
      </c>
      <c r="CU22" s="5">
        <f t="shared" ca="1" si="89"/>
        <v>6.2199691356870012E-3</v>
      </c>
      <c r="CV22" s="5">
        <f t="shared" ca="1" si="90"/>
        <v>6.4181151501768226E-3</v>
      </c>
      <c r="CW22" s="5">
        <f t="shared" ca="1" si="91"/>
        <v>6.3616000971751328E-3</v>
      </c>
      <c r="CX22" s="5">
        <f t="shared" ca="1" si="92"/>
        <v>6.3260946891449364E-3</v>
      </c>
      <c r="CY22" s="5">
        <f t="shared" ca="1" si="93"/>
        <v>6.5220260021431739E-3</v>
      </c>
      <c r="CZ22" s="5">
        <f t="shared" ca="1" si="94"/>
        <v>6.168180289034618E-3</v>
      </c>
      <c r="DA22" s="5">
        <f t="shared" ca="1" si="95"/>
        <v>6.5289903861693935E-3</v>
      </c>
      <c r="DB22" s="5">
        <f t="shared" ca="1" si="96"/>
        <v>6.5991138435855445E-3</v>
      </c>
      <c r="DC22" s="5">
        <f t="shared" ca="1" si="97"/>
        <v>6.3762776268766414E-3</v>
      </c>
      <c r="DD22" s="5">
        <f t="shared" ca="1" si="98"/>
        <v>6.4191961025258822E-3</v>
      </c>
      <c r="DE22" s="5">
        <f t="shared" ca="1" si="99"/>
        <v>6.7451831917433149E-3</v>
      </c>
      <c r="DF22" s="5">
        <f t="shared" ca="1" si="100"/>
        <v>6.5737994489371444E-3</v>
      </c>
      <c r="DG22" s="5">
        <f t="shared" ca="1" si="101"/>
        <v>6.4313396845264723E-3</v>
      </c>
      <c r="DH22" s="5">
        <f t="shared" ca="1" si="102"/>
        <v>6.6242065482767856E-3</v>
      </c>
      <c r="DI22" s="5">
        <f t="shared" ca="1" si="103"/>
        <v>6.3794789237151504E-3</v>
      </c>
      <c r="DJ22" s="5">
        <f t="shared" ca="1" si="104"/>
        <v>6.5804460140654625E-3</v>
      </c>
    </row>
    <row r="23" spans="1:114" outlineLevel="1" x14ac:dyDescent="0.2">
      <c r="A23" s="40" t="s">
        <v>109</v>
      </c>
      <c r="B23" s="41"/>
      <c r="C23" s="75" t="s">
        <v>111</v>
      </c>
      <c r="D23" s="75"/>
      <c r="E23" s="32">
        <v>45170</v>
      </c>
      <c r="F23" s="9">
        <v>1950</v>
      </c>
      <c r="G23" s="5">
        <f t="shared" ca="1" si="0"/>
        <v>-5.4762088111366375E-2</v>
      </c>
      <c r="H23" s="5">
        <f t="shared" ca="1" si="1"/>
        <v>6.4388665029084897E-3</v>
      </c>
      <c r="I23" s="9">
        <f t="shared" ca="1" si="2"/>
        <v>40187.802082218965</v>
      </c>
      <c r="K23" s="6">
        <v>19</v>
      </c>
      <c r="L23" s="5">
        <v>361864.24325524771</v>
      </c>
      <c r="N23" s="32">
        <v>45139</v>
      </c>
      <c r="O23" s="5">
        <f t="shared" ca="1" si="5"/>
        <v>6.8536469165202439E-3</v>
      </c>
      <c r="P23" s="5">
        <f t="shared" ca="1" si="6"/>
        <v>6.4118282416811148E-3</v>
      </c>
      <c r="Q23" s="5">
        <f t="shared" ca="1" si="7"/>
        <v>6.7892100898703034E-3</v>
      </c>
      <c r="R23" s="5">
        <f t="shared" ca="1" si="8"/>
        <v>6.6536506671826248E-3</v>
      </c>
      <c r="S23" s="5">
        <f t="shared" ca="1" si="9"/>
        <v>6.5476964181781618E-3</v>
      </c>
      <c r="T23" s="5">
        <f t="shared" ca="1" si="10"/>
        <v>6.1227447934467895E-3</v>
      </c>
      <c r="U23" s="5">
        <f t="shared" ca="1" si="11"/>
        <v>6.2940915298968347E-3</v>
      </c>
      <c r="V23" s="5">
        <f t="shared" ca="1" si="12"/>
        <v>6.4930681730158207E-3</v>
      </c>
      <c r="W23" s="5">
        <f t="shared" ca="1" si="13"/>
        <v>6.5131218645446565E-3</v>
      </c>
      <c r="X23" s="5">
        <f t="shared" ca="1" si="14"/>
        <v>6.5037217958465324E-3</v>
      </c>
      <c r="Y23" s="5">
        <f t="shared" ca="1" si="15"/>
        <v>6.5367960374676636E-3</v>
      </c>
      <c r="Z23" s="5">
        <f t="shared" ca="1" si="16"/>
        <v>6.4007666515122474E-3</v>
      </c>
      <c r="AA23" s="5">
        <f t="shared" ca="1" si="17"/>
        <v>6.6140974357797111E-3</v>
      </c>
      <c r="AB23" s="5">
        <f t="shared" ca="1" si="18"/>
        <v>6.870127656012589E-3</v>
      </c>
      <c r="AC23" s="5">
        <f t="shared" ca="1" si="19"/>
        <v>6.7724060303673622E-3</v>
      </c>
      <c r="AD23" s="5">
        <f t="shared" ca="1" si="20"/>
        <v>6.7649822340675172E-3</v>
      </c>
      <c r="AE23" s="5">
        <f t="shared" ca="1" si="21"/>
        <v>6.6819487152897563E-3</v>
      </c>
      <c r="AF23" s="5">
        <f t="shared" ca="1" si="22"/>
        <v>6.1985273066706087E-3</v>
      </c>
      <c r="AG23" s="5">
        <f t="shared" ca="1" si="23"/>
        <v>6.3255973457664707E-3</v>
      </c>
      <c r="AH23" s="5">
        <f t="shared" ca="1" si="24"/>
        <v>6.4546852150696478E-3</v>
      </c>
      <c r="AI23" s="5">
        <f t="shared" ca="1" si="25"/>
        <v>6.623656771573878E-3</v>
      </c>
      <c r="AJ23" s="5">
        <f t="shared" ca="1" si="26"/>
        <v>6.8619489926398458E-3</v>
      </c>
      <c r="AK23" s="5">
        <f t="shared" ca="1" si="27"/>
        <v>6.6400136233441178E-3</v>
      </c>
      <c r="AL23" s="5">
        <f t="shared" ca="1" si="28"/>
        <v>6.2229264265985483E-3</v>
      </c>
      <c r="AM23" s="5">
        <f t="shared" ca="1" si="29"/>
        <v>6.4241669717664002E-3</v>
      </c>
      <c r="AN23" s="5">
        <f t="shared" ca="1" si="30"/>
        <v>6.576212128243537E-3</v>
      </c>
      <c r="AO23" s="5">
        <f t="shared" ca="1" si="31"/>
        <v>6.598740743550542E-3</v>
      </c>
      <c r="AP23" s="5">
        <f t="shared" ca="1" si="32"/>
        <v>6.2681192588534794E-3</v>
      </c>
      <c r="AQ23" s="5">
        <f t="shared" ca="1" si="33"/>
        <v>6.2160297732210424E-3</v>
      </c>
      <c r="AR23" s="5">
        <f t="shared" ca="1" si="34"/>
        <v>6.5221459129348441E-3</v>
      </c>
      <c r="AS23" s="5">
        <f t="shared" ca="1" si="35"/>
        <v>6.834955948577138E-3</v>
      </c>
      <c r="AT23" s="5">
        <f t="shared" ca="1" si="36"/>
        <v>6.3490255181037798E-3</v>
      </c>
      <c r="AU23" s="5">
        <f t="shared" ca="1" si="37"/>
        <v>6.59858126824126E-3</v>
      </c>
      <c r="AV23" s="5">
        <f t="shared" ca="1" si="38"/>
        <v>6.5070285845651851E-3</v>
      </c>
      <c r="AW23" s="5">
        <f t="shared" ca="1" si="39"/>
        <v>6.7078762875426119E-3</v>
      </c>
      <c r="AX23" s="5">
        <f t="shared" ca="1" si="40"/>
        <v>6.1779362318230072E-3</v>
      </c>
      <c r="AY23" s="5">
        <f t="shared" ca="1" si="41"/>
        <v>6.6584041172197805E-3</v>
      </c>
      <c r="AZ23" s="5">
        <f t="shared" ca="1" si="42"/>
        <v>6.346880002175502E-3</v>
      </c>
      <c r="BA23" s="5">
        <f t="shared" ca="1" si="43"/>
        <v>6.3945505549947122E-3</v>
      </c>
      <c r="BB23" s="5">
        <f t="shared" ca="1" si="44"/>
        <v>6.4210098727439466E-3</v>
      </c>
      <c r="BC23" s="5">
        <f t="shared" ca="1" si="45"/>
        <v>6.2362918649230877E-3</v>
      </c>
      <c r="BD23" s="5">
        <f t="shared" ca="1" si="46"/>
        <v>6.5426160319846391E-3</v>
      </c>
      <c r="BE23" s="5">
        <f t="shared" ca="1" si="47"/>
        <v>6.7149428732203526E-3</v>
      </c>
      <c r="BF23" s="5">
        <f t="shared" ca="1" si="48"/>
        <v>6.3035352798715598E-3</v>
      </c>
      <c r="BG23" s="5">
        <f t="shared" ca="1" si="49"/>
        <v>6.4968648337937638E-3</v>
      </c>
      <c r="BH23" s="5">
        <f t="shared" ca="1" si="50"/>
        <v>6.3077406210132548E-3</v>
      </c>
      <c r="BI23" s="5">
        <f t="shared" ca="1" si="51"/>
        <v>6.8648388603574492E-3</v>
      </c>
      <c r="BJ23" s="5">
        <f t="shared" ca="1" si="52"/>
        <v>6.5031279960624713E-3</v>
      </c>
      <c r="BK23" s="5">
        <f t="shared" ca="1" si="53"/>
        <v>6.4737378424164962E-3</v>
      </c>
      <c r="BL23" s="5">
        <f t="shared" ca="1" si="54"/>
        <v>6.3214132935400418E-3</v>
      </c>
      <c r="BM23" s="5">
        <f t="shared" ca="1" si="55"/>
        <v>6.3236978133540591E-3</v>
      </c>
      <c r="BN23" s="5">
        <f t="shared" ca="1" si="56"/>
        <v>6.7362181637043248E-3</v>
      </c>
      <c r="BO23" s="5">
        <f t="shared" ca="1" si="57"/>
        <v>6.5081217841783112E-3</v>
      </c>
      <c r="BP23" s="5">
        <f t="shared" ca="1" si="58"/>
        <v>6.3575347279146779E-3</v>
      </c>
      <c r="BQ23" s="5">
        <f t="shared" ca="1" si="59"/>
        <v>6.2189423069687454E-3</v>
      </c>
      <c r="BR23" s="5">
        <f t="shared" ca="1" si="60"/>
        <v>6.5282699014643907E-3</v>
      </c>
      <c r="BS23" s="5">
        <f t="shared" ca="1" si="61"/>
        <v>6.6347446297956737E-3</v>
      </c>
      <c r="BT23" s="5">
        <f t="shared" ca="1" si="62"/>
        <v>6.2964874580662029E-3</v>
      </c>
      <c r="BU23" s="5">
        <f t="shared" ca="1" si="63"/>
        <v>6.599627851171434E-3</v>
      </c>
      <c r="BV23" s="5">
        <f t="shared" ca="1" si="64"/>
        <v>6.6450697770648118E-3</v>
      </c>
      <c r="BW23" s="5">
        <f t="shared" ca="1" si="65"/>
        <v>6.7716935123620049E-3</v>
      </c>
      <c r="BX23" s="5">
        <f t="shared" ca="1" si="66"/>
        <v>6.5040090414454094E-3</v>
      </c>
      <c r="BY23" s="5">
        <f t="shared" ca="1" si="67"/>
        <v>6.4753376144092694E-3</v>
      </c>
      <c r="BZ23" s="5">
        <f t="shared" ca="1" si="68"/>
        <v>6.3825790718597024E-3</v>
      </c>
      <c r="CA23" s="5">
        <f t="shared" ca="1" si="69"/>
        <v>6.1459420097195669E-3</v>
      </c>
      <c r="CB23" s="5">
        <f t="shared" ca="1" si="70"/>
        <v>6.3551907978816966E-3</v>
      </c>
      <c r="CC23" s="5">
        <f t="shared" ca="1" si="71"/>
        <v>6.7029800223826182E-3</v>
      </c>
      <c r="CD23" s="5">
        <f t="shared" ca="1" si="72"/>
        <v>6.4149614978374998E-3</v>
      </c>
      <c r="CE23" s="5">
        <f t="shared" ca="1" si="73"/>
        <v>6.5268180332196356E-3</v>
      </c>
      <c r="CF23" s="5">
        <f t="shared" ca="1" si="74"/>
        <v>6.5497922428052833E-3</v>
      </c>
      <c r="CG23" s="5">
        <f t="shared" ca="1" si="75"/>
        <v>6.4728911450192142E-3</v>
      </c>
      <c r="CH23" s="5">
        <f t="shared" ca="1" si="76"/>
        <v>6.4212373711079549E-3</v>
      </c>
      <c r="CI23" s="5">
        <f t="shared" ca="1" si="77"/>
        <v>6.5217308136681735E-3</v>
      </c>
      <c r="CJ23" s="5">
        <f t="shared" ca="1" si="78"/>
        <v>6.6115526312132706E-3</v>
      </c>
      <c r="CK23" s="5">
        <f t="shared" ca="1" si="79"/>
        <v>6.2551037648598635E-3</v>
      </c>
      <c r="CL23" s="5">
        <f t="shared" ca="1" si="80"/>
        <v>6.4496645264441616E-3</v>
      </c>
      <c r="CM23" s="5">
        <f t="shared" ca="1" si="81"/>
        <v>6.3901636746346588E-3</v>
      </c>
      <c r="CN23" s="5">
        <f t="shared" ca="1" si="82"/>
        <v>6.4547845315016785E-3</v>
      </c>
      <c r="CO23" s="5">
        <f t="shared" ca="1" si="83"/>
        <v>6.5621167212607055E-3</v>
      </c>
      <c r="CP23" s="5">
        <f t="shared" ca="1" si="84"/>
        <v>6.7098797057015642E-3</v>
      </c>
      <c r="CQ23" s="5">
        <f t="shared" ca="1" si="85"/>
        <v>6.7925869629311859E-3</v>
      </c>
      <c r="CR23" s="5">
        <f t="shared" ca="1" si="86"/>
        <v>6.5670816218342826E-3</v>
      </c>
      <c r="CS23" s="5">
        <f t="shared" ca="1" si="87"/>
        <v>6.4088952496383226E-3</v>
      </c>
      <c r="CT23" s="5">
        <f t="shared" ca="1" si="88"/>
        <v>6.7403719016262314E-3</v>
      </c>
      <c r="CU23" s="5">
        <f t="shared" ca="1" si="89"/>
        <v>6.2234143783327566E-3</v>
      </c>
      <c r="CV23" s="5">
        <f t="shared" ca="1" si="90"/>
        <v>6.3986232191935045E-3</v>
      </c>
      <c r="CW23" s="5">
        <f t="shared" ca="1" si="91"/>
        <v>6.4292615908304804E-3</v>
      </c>
      <c r="CX23" s="5">
        <f t="shared" ca="1" si="92"/>
        <v>6.3024872199768786E-3</v>
      </c>
      <c r="CY23" s="5">
        <f t="shared" ca="1" si="93"/>
        <v>6.4693595700390967E-3</v>
      </c>
      <c r="CZ23" s="5">
        <f t="shared" ca="1" si="94"/>
        <v>6.2054910995703542E-3</v>
      </c>
      <c r="DA23" s="5">
        <f t="shared" ca="1" si="95"/>
        <v>6.5574871055957421E-3</v>
      </c>
      <c r="DB23" s="5">
        <f t="shared" ca="1" si="96"/>
        <v>6.6320764430021009E-3</v>
      </c>
      <c r="DC23" s="5">
        <f t="shared" ca="1" si="97"/>
        <v>6.3181221414643617E-3</v>
      </c>
      <c r="DD23" s="5">
        <f t="shared" ca="1" si="98"/>
        <v>6.4652287243141555E-3</v>
      </c>
      <c r="DE23" s="5">
        <f t="shared" ca="1" si="99"/>
        <v>6.7726800872094451E-3</v>
      </c>
      <c r="DF23" s="5">
        <f t="shared" ca="1" si="100"/>
        <v>6.6109933645448317E-3</v>
      </c>
      <c r="DG23" s="5">
        <f t="shared" ca="1" si="101"/>
        <v>6.4751550779444909E-3</v>
      </c>
      <c r="DH23" s="5">
        <f t="shared" ca="1" si="102"/>
        <v>6.6261973704554011E-3</v>
      </c>
      <c r="DI23" s="5">
        <f t="shared" ca="1" si="103"/>
        <v>6.3979520035334506E-3</v>
      </c>
      <c r="DJ23" s="5">
        <f t="shared" ca="1" si="104"/>
        <v>6.6174971629675804E-3</v>
      </c>
    </row>
    <row r="24" spans="1:114" outlineLevel="1" x14ac:dyDescent="0.2">
      <c r="A24" s="43" t="s">
        <v>112</v>
      </c>
      <c r="B24" s="44"/>
      <c r="C24" s="44"/>
      <c r="D24" s="45"/>
      <c r="E24" s="32">
        <v>45200</v>
      </c>
      <c r="F24" s="9">
        <v>1950</v>
      </c>
      <c r="G24" s="5">
        <f t="shared" ca="1" si="0"/>
        <v>-2.1207651795185432E-2</v>
      </c>
      <c r="H24" s="5">
        <f t="shared" ca="1" si="1"/>
        <v>6.4158087830506385E-3</v>
      </c>
      <c r="I24" s="9">
        <f t="shared" ca="1" si="2"/>
        <v>42159.294264910153</v>
      </c>
      <c r="K24" s="6">
        <v>20</v>
      </c>
      <c r="L24" s="5">
        <v>362048.76740955602</v>
      </c>
      <c r="N24" s="32">
        <v>45170</v>
      </c>
      <c r="O24" s="5">
        <f t="shared" ca="1" si="5"/>
        <v>6.9077676126961599E-3</v>
      </c>
      <c r="P24" s="5">
        <f t="shared" ca="1" si="6"/>
        <v>6.4914465346056407E-3</v>
      </c>
      <c r="Q24" s="5">
        <f t="shared" ca="1" si="7"/>
        <v>6.7899452328734214E-3</v>
      </c>
      <c r="R24" s="5">
        <f t="shared" ca="1" si="8"/>
        <v>6.6930074082194495E-3</v>
      </c>
      <c r="S24" s="5">
        <f t="shared" ca="1" si="9"/>
        <v>6.5691751585304535E-3</v>
      </c>
      <c r="T24" s="5">
        <f t="shared" ca="1" si="10"/>
        <v>6.1891889067285663E-3</v>
      </c>
      <c r="U24" s="5">
        <f t="shared" ca="1" si="11"/>
        <v>6.3239883331990083E-3</v>
      </c>
      <c r="V24" s="5">
        <f t="shared" ca="1" si="12"/>
        <v>6.5504773910670961E-3</v>
      </c>
      <c r="W24" s="5">
        <f t="shared" ca="1" si="13"/>
        <v>6.5107914279617235E-3</v>
      </c>
      <c r="X24" s="5">
        <f t="shared" ca="1" si="14"/>
        <v>6.5128371327624838E-3</v>
      </c>
      <c r="Y24" s="5">
        <f t="shared" ca="1" si="15"/>
        <v>6.5894735369959141E-3</v>
      </c>
      <c r="Z24" s="5">
        <f t="shared" ca="1" si="16"/>
        <v>6.446462673143089E-3</v>
      </c>
      <c r="AA24" s="5">
        <f t="shared" ca="1" si="17"/>
        <v>6.6302478355949939E-3</v>
      </c>
      <c r="AB24" s="5">
        <f t="shared" ca="1" si="18"/>
        <v>6.8927645396391493E-3</v>
      </c>
      <c r="AC24" s="5">
        <f t="shared" ca="1" si="19"/>
        <v>6.7161369408788299E-3</v>
      </c>
      <c r="AD24" s="5">
        <f t="shared" ca="1" si="20"/>
        <v>6.7909483011541431E-3</v>
      </c>
      <c r="AE24" s="5">
        <f t="shared" ca="1" si="21"/>
        <v>6.709776899371982E-3</v>
      </c>
      <c r="AF24" s="5">
        <f t="shared" ca="1" si="22"/>
        <v>6.1309527512112966E-3</v>
      </c>
      <c r="AG24" s="5">
        <f t="shared" ca="1" si="23"/>
        <v>6.3200637716374162E-3</v>
      </c>
      <c r="AH24" s="5">
        <f t="shared" ca="1" si="24"/>
        <v>6.4921052475290187E-3</v>
      </c>
      <c r="AI24" s="5">
        <f t="shared" ca="1" si="25"/>
        <v>6.6543229505293842E-3</v>
      </c>
      <c r="AJ24" s="5">
        <f t="shared" ca="1" si="26"/>
        <v>6.7918517727311055E-3</v>
      </c>
      <c r="AK24" s="5">
        <f t="shared" ca="1" si="27"/>
        <v>6.6766884038553034E-3</v>
      </c>
      <c r="AL24" s="5">
        <f t="shared" ca="1" si="28"/>
        <v>6.2782273046212526E-3</v>
      </c>
      <c r="AM24" s="5">
        <f t="shared" ca="1" si="29"/>
        <v>6.387731679851209E-3</v>
      </c>
      <c r="AN24" s="5">
        <f t="shared" ca="1" si="30"/>
        <v>6.5437801697414118E-3</v>
      </c>
      <c r="AO24" s="5">
        <f t="shared" ca="1" si="31"/>
        <v>6.5919137388796081E-3</v>
      </c>
      <c r="AP24" s="5">
        <f t="shared" ca="1" si="32"/>
        <v>6.2838407532370731E-3</v>
      </c>
      <c r="AQ24" s="5">
        <f t="shared" ca="1" si="33"/>
        <v>6.2462218118281201E-3</v>
      </c>
      <c r="AR24" s="5">
        <f t="shared" ca="1" si="34"/>
        <v>6.5349997384175559E-3</v>
      </c>
      <c r="AS24" s="5">
        <f t="shared" ca="1" si="35"/>
        <v>6.8273007089633374E-3</v>
      </c>
      <c r="AT24" s="5">
        <f t="shared" ca="1" si="36"/>
        <v>6.3673488206377367E-3</v>
      </c>
      <c r="AU24" s="5">
        <f t="shared" ca="1" si="37"/>
        <v>6.628201665123637E-3</v>
      </c>
      <c r="AV24" s="5">
        <f t="shared" ca="1" si="38"/>
        <v>6.4299114922256534E-3</v>
      </c>
      <c r="AW24" s="5">
        <f t="shared" ca="1" si="39"/>
        <v>6.6815474552382684E-3</v>
      </c>
      <c r="AX24" s="5">
        <f t="shared" ca="1" si="40"/>
        <v>6.2401783590971295E-3</v>
      </c>
      <c r="AY24" s="5">
        <f t="shared" ca="1" si="41"/>
        <v>6.6705789539234289E-3</v>
      </c>
      <c r="AZ24" s="5">
        <f t="shared" ca="1" si="42"/>
        <v>6.4220890355231935E-3</v>
      </c>
      <c r="BA24" s="5">
        <f t="shared" ca="1" si="43"/>
        <v>6.4066042163651409E-3</v>
      </c>
      <c r="BB24" s="5">
        <f t="shared" ca="1" si="44"/>
        <v>6.3915618792042671E-3</v>
      </c>
      <c r="BC24" s="5">
        <f t="shared" ca="1" si="45"/>
        <v>6.2175832216960188E-3</v>
      </c>
      <c r="BD24" s="5">
        <f t="shared" ca="1" si="46"/>
        <v>6.5851308262301405E-3</v>
      </c>
      <c r="BE24" s="5">
        <f t="shared" ca="1" si="47"/>
        <v>6.7168859263260832E-3</v>
      </c>
      <c r="BF24" s="5">
        <f t="shared" ca="1" si="48"/>
        <v>6.3447044226060158E-3</v>
      </c>
      <c r="BG24" s="5">
        <f t="shared" ca="1" si="49"/>
        <v>6.3364007671151872E-3</v>
      </c>
      <c r="BH24" s="5">
        <f t="shared" ca="1" si="50"/>
        <v>6.3513391979567457E-3</v>
      </c>
      <c r="BI24" s="5">
        <f t="shared" ca="1" si="51"/>
        <v>6.8510082813672468E-3</v>
      </c>
      <c r="BJ24" s="5">
        <f t="shared" ca="1" si="52"/>
        <v>6.5663068055650886E-3</v>
      </c>
      <c r="BK24" s="5">
        <f t="shared" ca="1" si="53"/>
        <v>6.4521238428923025E-3</v>
      </c>
      <c r="BL24" s="5">
        <f t="shared" ca="1" si="54"/>
        <v>6.3937258205341522E-3</v>
      </c>
      <c r="BM24" s="5">
        <f t="shared" ca="1" si="55"/>
        <v>6.2664575807806055E-3</v>
      </c>
      <c r="BN24" s="5">
        <f t="shared" ca="1" si="56"/>
        <v>6.669090900936283E-3</v>
      </c>
      <c r="BO24" s="5">
        <f t="shared" ca="1" si="57"/>
        <v>6.4926568695936942E-3</v>
      </c>
      <c r="BP24" s="5">
        <f t="shared" ca="1" si="58"/>
        <v>6.3944624916502006E-3</v>
      </c>
      <c r="BQ24" s="5">
        <f t="shared" ca="1" si="59"/>
        <v>6.1924795376710542E-3</v>
      </c>
      <c r="BR24" s="5">
        <f t="shared" ca="1" si="60"/>
        <v>6.5360226088229815E-3</v>
      </c>
      <c r="BS24" s="5">
        <f t="shared" ca="1" si="61"/>
        <v>6.663075001843881E-3</v>
      </c>
      <c r="BT24" s="5">
        <f t="shared" ca="1" si="62"/>
        <v>6.3215002640309385E-3</v>
      </c>
      <c r="BU24" s="5">
        <f t="shared" ca="1" si="63"/>
        <v>6.6160095245815925E-3</v>
      </c>
      <c r="BV24" s="5">
        <f t="shared" ca="1" si="64"/>
        <v>6.6922140347474863E-3</v>
      </c>
      <c r="BW24" s="5">
        <f t="shared" ca="1" si="65"/>
        <v>6.8405758182638219E-3</v>
      </c>
      <c r="BX24" s="5">
        <f t="shared" ca="1" si="66"/>
        <v>6.5798305865822889E-3</v>
      </c>
      <c r="BY24" s="5">
        <f t="shared" ca="1" si="67"/>
        <v>6.4477317353850315E-3</v>
      </c>
      <c r="BZ24" s="5">
        <f t="shared" ca="1" si="68"/>
        <v>6.4157589539455767E-3</v>
      </c>
      <c r="CA24" s="5">
        <f t="shared" ca="1" si="69"/>
        <v>6.084703047117653E-3</v>
      </c>
      <c r="CB24" s="5">
        <f t="shared" ca="1" si="70"/>
        <v>6.402150426492852E-3</v>
      </c>
      <c r="CC24" s="5">
        <f t="shared" ca="1" si="71"/>
        <v>6.7365031746655655E-3</v>
      </c>
      <c r="CD24" s="5">
        <f t="shared" ca="1" si="72"/>
        <v>6.4154692014787747E-3</v>
      </c>
      <c r="CE24" s="5">
        <f t="shared" ca="1" si="73"/>
        <v>6.52677443818395E-3</v>
      </c>
      <c r="CF24" s="5">
        <f t="shared" ca="1" si="74"/>
        <v>6.5084755929574111E-3</v>
      </c>
      <c r="CG24" s="5">
        <f t="shared" ca="1" si="75"/>
        <v>6.4746850495909008E-3</v>
      </c>
      <c r="CH24" s="5">
        <f t="shared" ca="1" si="76"/>
        <v>6.4316563846297239E-3</v>
      </c>
      <c r="CI24" s="5">
        <f t="shared" ca="1" si="77"/>
        <v>6.5408734091283068E-3</v>
      </c>
      <c r="CJ24" s="5">
        <f t="shared" ca="1" si="78"/>
        <v>6.6781267200259863E-3</v>
      </c>
      <c r="CK24" s="5">
        <f t="shared" ca="1" si="79"/>
        <v>6.2263395939015139E-3</v>
      </c>
      <c r="CL24" s="5">
        <f t="shared" ca="1" si="80"/>
        <v>6.4392245849069114E-3</v>
      </c>
      <c r="CM24" s="5">
        <f t="shared" ca="1" si="81"/>
        <v>6.4089916868067982E-3</v>
      </c>
      <c r="CN24" s="5">
        <f t="shared" ca="1" si="82"/>
        <v>6.4947494587055104E-3</v>
      </c>
      <c r="CO24" s="5">
        <f t="shared" ca="1" si="83"/>
        <v>6.636738850131242E-3</v>
      </c>
      <c r="CP24" s="5">
        <f t="shared" ca="1" si="84"/>
        <v>6.8184916389627528E-3</v>
      </c>
      <c r="CQ24" s="5">
        <f t="shared" ca="1" si="85"/>
        <v>6.7537225742745387E-3</v>
      </c>
      <c r="CR24" s="5">
        <f t="shared" ca="1" si="86"/>
        <v>6.5812503523583893E-3</v>
      </c>
      <c r="CS24" s="5">
        <f t="shared" ca="1" si="87"/>
        <v>6.3829455594547153E-3</v>
      </c>
      <c r="CT24" s="5">
        <f t="shared" ca="1" si="88"/>
        <v>6.8121686760780949E-3</v>
      </c>
      <c r="CU24" s="5">
        <f t="shared" ca="1" si="89"/>
        <v>6.259974012705595E-3</v>
      </c>
      <c r="CV24" s="5">
        <f t="shared" ca="1" si="90"/>
        <v>6.3952881043630103E-3</v>
      </c>
      <c r="CW24" s="5">
        <f t="shared" ca="1" si="91"/>
        <v>6.3428462634647284E-3</v>
      </c>
      <c r="CX24" s="5">
        <f t="shared" ca="1" si="92"/>
        <v>6.2358657709308757E-3</v>
      </c>
      <c r="CY24" s="5">
        <f t="shared" ca="1" si="93"/>
        <v>6.4162033556929322E-3</v>
      </c>
      <c r="CZ24" s="5">
        <f t="shared" ca="1" si="94"/>
        <v>6.1728275044051085E-3</v>
      </c>
      <c r="DA24" s="5">
        <f t="shared" ca="1" si="95"/>
        <v>6.5633736496107488E-3</v>
      </c>
      <c r="DB24" s="5">
        <f t="shared" ca="1" si="96"/>
        <v>6.6787767836878802E-3</v>
      </c>
      <c r="DC24" s="5">
        <f t="shared" ca="1" si="97"/>
        <v>6.2624973308992443E-3</v>
      </c>
      <c r="DD24" s="5">
        <f t="shared" ca="1" si="98"/>
        <v>6.4866982029347566E-3</v>
      </c>
      <c r="DE24" s="5">
        <f t="shared" ca="1" si="99"/>
        <v>6.8118591550650814E-3</v>
      </c>
      <c r="DF24" s="5">
        <f t="shared" ca="1" si="100"/>
        <v>6.5444785922395025E-3</v>
      </c>
      <c r="DG24" s="5">
        <f t="shared" ca="1" si="101"/>
        <v>6.4658598697069376E-3</v>
      </c>
      <c r="DH24" s="5">
        <f t="shared" ca="1" si="102"/>
        <v>6.5276047686993865E-3</v>
      </c>
      <c r="DI24" s="5">
        <f t="shared" ca="1" si="103"/>
        <v>6.3804413205941126E-3</v>
      </c>
      <c r="DJ24" s="5">
        <f t="shared" ca="1" si="104"/>
        <v>6.6254222931689281E-3</v>
      </c>
    </row>
    <row r="25" spans="1:114" outlineLevel="1" x14ac:dyDescent="0.2">
      <c r="A25" s="53"/>
      <c r="E25" s="32">
        <v>45231</v>
      </c>
      <c r="F25" s="9">
        <v>1950</v>
      </c>
      <c r="G25" s="5">
        <f t="shared" ca="1" si="0"/>
        <v>-1.0735058885031658E-2</v>
      </c>
      <c r="H25" s="5">
        <f t="shared" ca="1" si="1"/>
        <v>6.4102947356928994E-3</v>
      </c>
      <c r="I25" s="9">
        <f t="shared" ca="1" si="2"/>
        <v>44131.821406449068</v>
      </c>
      <c r="K25" s="6">
        <v>21</v>
      </c>
      <c r="L25" s="5">
        <v>361987.12092151464</v>
      </c>
      <c r="N25" s="32">
        <v>45200</v>
      </c>
      <c r="O25" s="5">
        <f t="shared" ca="1" si="5"/>
        <v>6.9480809645011254E-3</v>
      </c>
      <c r="P25" s="5">
        <f t="shared" ca="1" si="6"/>
        <v>6.4934130300536436E-3</v>
      </c>
      <c r="Q25" s="5">
        <f t="shared" ca="1" si="7"/>
        <v>6.7625571083297625E-3</v>
      </c>
      <c r="R25" s="5">
        <f t="shared" ca="1" si="8"/>
        <v>6.7049291386426209E-3</v>
      </c>
      <c r="S25" s="5">
        <f t="shared" ca="1" si="9"/>
        <v>6.5796042353668035E-3</v>
      </c>
      <c r="T25" s="5">
        <f t="shared" ca="1" si="10"/>
        <v>6.1626072416344291E-3</v>
      </c>
      <c r="U25" s="5">
        <f t="shared" ca="1" si="11"/>
        <v>6.2788646945658947E-3</v>
      </c>
      <c r="V25" s="5">
        <f t="shared" ca="1" si="12"/>
        <v>6.5085667801095476E-3</v>
      </c>
      <c r="W25" s="5">
        <f t="shared" ca="1" si="13"/>
        <v>6.486636675155125E-3</v>
      </c>
      <c r="X25" s="5">
        <f t="shared" ca="1" si="14"/>
        <v>6.4949297939457069E-3</v>
      </c>
      <c r="Y25" s="5">
        <f t="shared" ca="1" si="15"/>
        <v>6.6411213708107422E-3</v>
      </c>
      <c r="Z25" s="5">
        <f t="shared" ca="1" si="16"/>
        <v>6.4841348156473126E-3</v>
      </c>
      <c r="AA25" s="5">
        <f t="shared" ca="1" si="17"/>
        <v>6.5593727354118373E-3</v>
      </c>
      <c r="AB25" s="5">
        <f t="shared" ca="1" si="18"/>
        <v>6.9627738799492994E-3</v>
      </c>
      <c r="AC25" s="5">
        <f t="shared" ca="1" si="19"/>
        <v>6.6432835448357553E-3</v>
      </c>
      <c r="AD25" s="5">
        <f t="shared" ca="1" si="20"/>
        <v>6.8109782095146362E-3</v>
      </c>
      <c r="AE25" s="5">
        <f t="shared" ca="1" si="21"/>
        <v>6.6470999907085014E-3</v>
      </c>
      <c r="AF25" s="5">
        <f t="shared" ca="1" si="22"/>
        <v>6.1696224727933674E-3</v>
      </c>
      <c r="AG25" s="5">
        <f t="shared" ca="1" si="23"/>
        <v>6.3146137341771377E-3</v>
      </c>
      <c r="AH25" s="5">
        <f t="shared" ca="1" si="24"/>
        <v>6.5117452164988338E-3</v>
      </c>
      <c r="AI25" s="5">
        <f t="shared" ca="1" si="25"/>
        <v>6.6742498169484101E-3</v>
      </c>
      <c r="AJ25" s="5">
        <f t="shared" ca="1" si="26"/>
        <v>6.7216853746647513E-3</v>
      </c>
      <c r="AK25" s="5">
        <f t="shared" ca="1" si="27"/>
        <v>6.7495239064654707E-3</v>
      </c>
      <c r="AL25" s="5">
        <f t="shared" ca="1" si="28"/>
        <v>6.2570915090023977E-3</v>
      </c>
      <c r="AM25" s="5">
        <f t="shared" ca="1" si="29"/>
        <v>6.4380224409144645E-3</v>
      </c>
      <c r="AN25" s="5">
        <f t="shared" ca="1" si="30"/>
        <v>6.4942897670560579E-3</v>
      </c>
      <c r="AO25" s="5">
        <f t="shared" ca="1" si="31"/>
        <v>6.612591928842098E-3</v>
      </c>
      <c r="AP25" s="5">
        <f t="shared" ca="1" si="32"/>
        <v>6.3295394777098304E-3</v>
      </c>
      <c r="AQ25" s="5">
        <f t="shared" ca="1" si="33"/>
        <v>6.2194038430316914E-3</v>
      </c>
      <c r="AR25" s="5">
        <f t="shared" ca="1" si="34"/>
        <v>6.5477150489375588E-3</v>
      </c>
      <c r="AS25" s="5">
        <f t="shared" ca="1" si="35"/>
        <v>6.8277832588236193E-3</v>
      </c>
      <c r="AT25" s="5">
        <f t="shared" ca="1" si="36"/>
        <v>6.3313547064914226E-3</v>
      </c>
      <c r="AU25" s="5">
        <f t="shared" ca="1" si="37"/>
        <v>6.5733381476412193E-3</v>
      </c>
      <c r="AV25" s="5">
        <f t="shared" ca="1" si="38"/>
        <v>6.4008927678228696E-3</v>
      </c>
      <c r="AW25" s="5">
        <f t="shared" ca="1" si="39"/>
        <v>6.713371373361799E-3</v>
      </c>
      <c r="AX25" s="5">
        <f t="shared" ca="1" si="40"/>
        <v>6.2726379408945274E-3</v>
      </c>
      <c r="AY25" s="5">
        <f t="shared" ca="1" si="41"/>
        <v>6.7096263727506062E-3</v>
      </c>
      <c r="AZ25" s="5">
        <f t="shared" ca="1" si="42"/>
        <v>6.4798554322002631E-3</v>
      </c>
      <c r="BA25" s="5">
        <f t="shared" ca="1" si="43"/>
        <v>6.3476683057148986E-3</v>
      </c>
      <c r="BB25" s="5">
        <f t="shared" ca="1" si="44"/>
        <v>6.3285686891180913E-3</v>
      </c>
      <c r="BC25" s="5">
        <f t="shared" ca="1" si="45"/>
        <v>6.2208967908290906E-3</v>
      </c>
      <c r="BD25" s="5">
        <f t="shared" ca="1" si="46"/>
        <v>6.6057000273892037E-3</v>
      </c>
      <c r="BE25" s="5">
        <f t="shared" ca="1" si="47"/>
        <v>6.6553948314525772E-3</v>
      </c>
      <c r="BF25" s="5">
        <f t="shared" ca="1" si="48"/>
        <v>6.3799769827470971E-3</v>
      </c>
      <c r="BG25" s="5">
        <f t="shared" ca="1" si="49"/>
        <v>6.3392490835455315E-3</v>
      </c>
      <c r="BH25" s="5">
        <f t="shared" ca="1" si="50"/>
        <v>6.3662146091629981E-3</v>
      </c>
      <c r="BI25" s="5">
        <f t="shared" ca="1" si="51"/>
        <v>6.8160243134585564E-3</v>
      </c>
      <c r="BJ25" s="5">
        <f t="shared" ca="1" si="52"/>
        <v>6.5555449839308161E-3</v>
      </c>
      <c r="BK25" s="5">
        <f t="shared" ca="1" si="53"/>
        <v>6.5326920249216087E-3</v>
      </c>
      <c r="BL25" s="5">
        <f t="shared" ca="1" si="54"/>
        <v>6.3389285238699905E-3</v>
      </c>
      <c r="BM25" s="5">
        <f t="shared" ca="1" si="55"/>
        <v>6.2120033125189541E-3</v>
      </c>
      <c r="BN25" s="5">
        <f t="shared" ca="1" si="56"/>
        <v>6.6726295974709722E-3</v>
      </c>
      <c r="BO25" s="5">
        <f t="shared" ca="1" si="57"/>
        <v>6.4981743250814268E-3</v>
      </c>
      <c r="BP25" s="5">
        <f t="shared" ca="1" si="58"/>
        <v>6.3010954625177364E-3</v>
      </c>
      <c r="BQ25" s="5">
        <f t="shared" ca="1" si="59"/>
        <v>6.2515181182258763E-3</v>
      </c>
      <c r="BR25" s="5">
        <f t="shared" ca="1" si="60"/>
        <v>6.5693755414475367E-3</v>
      </c>
      <c r="BS25" s="5">
        <f t="shared" ca="1" si="61"/>
        <v>6.6255442565592657E-3</v>
      </c>
      <c r="BT25" s="5">
        <f t="shared" ca="1" si="62"/>
        <v>6.2777735407812518E-3</v>
      </c>
      <c r="BU25" s="5">
        <f t="shared" ca="1" si="63"/>
        <v>6.697451695830684E-3</v>
      </c>
      <c r="BV25" s="5">
        <f t="shared" ca="1" si="64"/>
        <v>6.6340863853377157E-3</v>
      </c>
      <c r="BW25" s="5">
        <f t="shared" ca="1" si="65"/>
        <v>6.7902533456512017E-3</v>
      </c>
      <c r="BX25" s="5">
        <f t="shared" ca="1" si="66"/>
        <v>6.5851069056309733E-3</v>
      </c>
      <c r="BY25" s="5">
        <f t="shared" ca="1" si="67"/>
        <v>6.3971051715873729E-3</v>
      </c>
      <c r="BZ25" s="5">
        <f t="shared" ca="1" si="68"/>
        <v>6.4238747167605914E-3</v>
      </c>
      <c r="CA25" s="5">
        <f t="shared" ca="1" si="69"/>
        <v>6.0187630331272413E-3</v>
      </c>
      <c r="CB25" s="5">
        <f t="shared" ca="1" si="70"/>
        <v>6.3255818111767033E-3</v>
      </c>
      <c r="CC25" s="5">
        <f t="shared" ca="1" si="71"/>
        <v>6.7529732562011703E-3</v>
      </c>
      <c r="CD25" s="5">
        <f t="shared" ca="1" si="72"/>
        <v>6.474057046299898E-3</v>
      </c>
      <c r="CE25" s="5">
        <f t="shared" ca="1" si="73"/>
        <v>6.5087090034592014E-3</v>
      </c>
      <c r="CF25" s="5">
        <f t="shared" ca="1" si="74"/>
        <v>6.4720748167469578E-3</v>
      </c>
      <c r="CG25" s="5">
        <f t="shared" ca="1" si="75"/>
        <v>6.4302481497155051E-3</v>
      </c>
      <c r="CH25" s="5">
        <f t="shared" ca="1" si="76"/>
        <v>6.4163161663308866E-3</v>
      </c>
      <c r="CI25" s="5">
        <f t="shared" ca="1" si="77"/>
        <v>6.5610204912224081E-3</v>
      </c>
      <c r="CJ25" s="5">
        <f t="shared" ca="1" si="78"/>
        <v>6.7378156492487757E-3</v>
      </c>
      <c r="CK25" s="5">
        <f t="shared" ca="1" si="79"/>
        <v>6.340578367882042E-3</v>
      </c>
      <c r="CL25" s="5">
        <f t="shared" ca="1" si="80"/>
        <v>6.4131986572422755E-3</v>
      </c>
      <c r="CM25" s="5">
        <f t="shared" ca="1" si="81"/>
        <v>6.4019349323899714E-3</v>
      </c>
      <c r="CN25" s="5">
        <f t="shared" ca="1" si="82"/>
        <v>6.4327187141997883E-3</v>
      </c>
      <c r="CO25" s="5">
        <f t="shared" ca="1" si="83"/>
        <v>6.5140627597093754E-3</v>
      </c>
      <c r="CP25" s="5">
        <f t="shared" ca="1" si="84"/>
        <v>6.8795017826488386E-3</v>
      </c>
      <c r="CQ25" s="5">
        <f t="shared" ca="1" si="85"/>
        <v>6.7863401231677634E-3</v>
      </c>
      <c r="CR25" s="5">
        <f t="shared" ca="1" si="86"/>
        <v>6.5772880693401358E-3</v>
      </c>
      <c r="CS25" s="5">
        <f t="shared" ca="1" si="87"/>
        <v>6.3428971844308032E-3</v>
      </c>
      <c r="CT25" s="5">
        <f t="shared" ca="1" si="88"/>
        <v>6.7390839516219521E-3</v>
      </c>
      <c r="CU25" s="5">
        <f t="shared" ca="1" si="89"/>
        <v>6.2935430957604972E-3</v>
      </c>
      <c r="CV25" s="5">
        <f t="shared" ca="1" si="90"/>
        <v>6.3796326668229212E-3</v>
      </c>
      <c r="CW25" s="5">
        <f t="shared" ca="1" si="91"/>
        <v>6.4180071574498855E-3</v>
      </c>
      <c r="CX25" s="5">
        <f t="shared" ca="1" si="92"/>
        <v>6.236155930760259E-3</v>
      </c>
      <c r="CY25" s="5">
        <f t="shared" ca="1" si="93"/>
        <v>6.4271975080225597E-3</v>
      </c>
      <c r="CZ25" s="5">
        <f t="shared" ca="1" si="94"/>
        <v>6.1951097454686086E-3</v>
      </c>
      <c r="DA25" s="5">
        <f t="shared" ca="1" si="95"/>
        <v>6.5768543012639591E-3</v>
      </c>
      <c r="DB25" s="5">
        <f t="shared" ca="1" si="96"/>
        <v>6.6098291294363811E-3</v>
      </c>
      <c r="DC25" s="5">
        <f t="shared" ca="1" si="97"/>
        <v>6.295664489698107E-3</v>
      </c>
      <c r="DD25" s="5">
        <f t="shared" ca="1" si="98"/>
        <v>6.460675502267409E-3</v>
      </c>
      <c r="DE25" s="5">
        <f t="shared" ca="1" si="99"/>
        <v>6.7692048298874296E-3</v>
      </c>
      <c r="DF25" s="5">
        <f t="shared" ca="1" si="100"/>
        <v>6.5283465609604872E-3</v>
      </c>
      <c r="DG25" s="5">
        <f t="shared" ca="1" si="101"/>
        <v>6.4315287223370432E-3</v>
      </c>
      <c r="DH25" s="5">
        <f t="shared" ca="1" si="102"/>
        <v>6.5623308521627066E-3</v>
      </c>
      <c r="DI25" s="5">
        <f t="shared" ca="1" si="103"/>
        <v>6.3769232302163014E-3</v>
      </c>
      <c r="DJ25" s="5">
        <f t="shared" ca="1" si="104"/>
        <v>6.6445691139347925E-3</v>
      </c>
    </row>
    <row r="26" spans="1:114" outlineLevel="1" x14ac:dyDescent="0.2">
      <c r="A26" s="53"/>
      <c r="C26" s="17" t="s">
        <v>67</v>
      </c>
      <c r="E26" s="32">
        <v>45261</v>
      </c>
      <c r="F26" s="9">
        <v>1950</v>
      </c>
      <c r="G26" s="5">
        <f t="shared" ca="1" si="0"/>
        <v>-5.9308785300311431E-2</v>
      </c>
      <c r="H26" s="5">
        <f t="shared" ca="1" si="1"/>
        <v>6.4102364994587111E-3</v>
      </c>
      <c r="I26" s="9">
        <f t="shared" ca="1" si="2"/>
        <v>46105.402321887464</v>
      </c>
      <c r="K26" s="6">
        <v>22</v>
      </c>
      <c r="L26" s="5">
        <v>363481.17247139127</v>
      </c>
      <c r="N26" s="32">
        <v>45231</v>
      </c>
      <c r="O26" s="5">
        <f t="shared" ca="1" si="5"/>
        <v>6.9545012001551018E-3</v>
      </c>
      <c r="P26" s="5">
        <f t="shared" ca="1" si="6"/>
        <v>6.4491034179155072E-3</v>
      </c>
      <c r="Q26" s="5">
        <f t="shared" ca="1" si="7"/>
        <v>6.734237562773234E-3</v>
      </c>
      <c r="R26" s="5">
        <f t="shared" ca="1" si="8"/>
        <v>6.69478295115075E-3</v>
      </c>
      <c r="S26" s="5">
        <f t="shared" ca="1" si="9"/>
        <v>6.604095312180161E-3</v>
      </c>
      <c r="T26" s="5">
        <f t="shared" ca="1" si="10"/>
        <v>6.1547365588667411E-3</v>
      </c>
      <c r="U26" s="5">
        <f t="shared" ca="1" si="11"/>
        <v>6.2409940338266981E-3</v>
      </c>
      <c r="V26" s="5">
        <f t="shared" ca="1" si="12"/>
        <v>6.5872581530824802E-3</v>
      </c>
      <c r="W26" s="5">
        <f t="shared" ca="1" si="13"/>
        <v>6.4522000924391526E-3</v>
      </c>
      <c r="X26" s="5">
        <f t="shared" ca="1" si="14"/>
        <v>6.5009943696906171E-3</v>
      </c>
      <c r="Y26" s="5">
        <f t="shared" ca="1" si="15"/>
        <v>6.5891886180931229E-3</v>
      </c>
      <c r="Z26" s="5">
        <f t="shared" ca="1" si="16"/>
        <v>6.4456290295644607E-3</v>
      </c>
      <c r="AA26" s="5">
        <f t="shared" ca="1" si="17"/>
        <v>6.5453421197335365E-3</v>
      </c>
      <c r="AB26" s="5">
        <f t="shared" ca="1" si="18"/>
        <v>6.9571363643007944E-3</v>
      </c>
      <c r="AC26" s="5">
        <f t="shared" ca="1" si="19"/>
        <v>6.6945451450459012E-3</v>
      </c>
      <c r="AD26" s="5">
        <f t="shared" ca="1" si="20"/>
        <v>6.8297820649058857E-3</v>
      </c>
      <c r="AE26" s="5">
        <f t="shared" ca="1" si="21"/>
        <v>6.7812398009136597E-3</v>
      </c>
      <c r="AF26" s="5">
        <f t="shared" ca="1" si="22"/>
        <v>6.1492446356032982E-3</v>
      </c>
      <c r="AG26" s="5">
        <f t="shared" ca="1" si="23"/>
        <v>6.354867530865233E-3</v>
      </c>
      <c r="AH26" s="5">
        <f t="shared" ca="1" si="24"/>
        <v>6.5169707093154453E-3</v>
      </c>
      <c r="AI26" s="5">
        <f t="shared" ca="1" si="25"/>
        <v>6.6657293083394855E-3</v>
      </c>
      <c r="AJ26" s="5">
        <f t="shared" ca="1" si="26"/>
        <v>6.697772974957431E-3</v>
      </c>
      <c r="AK26" s="5">
        <f t="shared" ca="1" si="27"/>
        <v>6.7414413677707348E-3</v>
      </c>
      <c r="AL26" s="5">
        <f t="shared" ca="1" si="28"/>
        <v>6.3477762340737815E-3</v>
      </c>
      <c r="AM26" s="5">
        <f t="shared" ca="1" si="29"/>
        <v>6.4103100355505449E-3</v>
      </c>
      <c r="AN26" s="5">
        <f t="shared" ca="1" si="30"/>
        <v>6.5615330670123926E-3</v>
      </c>
      <c r="AO26" s="5">
        <f t="shared" ca="1" si="31"/>
        <v>6.5814674952555585E-3</v>
      </c>
      <c r="AP26" s="5">
        <f t="shared" ca="1" si="32"/>
        <v>6.3092929297980478E-3</v>
      </c>
      <c r="AQ26" s="5">
        <f t="shared" ca="1" si="33"/>
        <v>6.2379046557483643E-3</v>
      </c>
      <c r="AR26" s="5">
        <f t="shared" ca="1" si="34"/>
        <v>6.5380135977721413E-3</v>
      </c>
      <c r="AS26" s="5">
        <f t="shared" ca="1" si="35"/>
        <v>6.7742006863815854E-3</v>
      </c>
      <c r="AT26" s="5">
        <f t="shared" ca="1" si="36"/>
        <v>6.3909882839051878E-3</v>
      </c>
      <c r="AU26" s="5">
        <f t="shared" ca="1" si="37"/>
        <v>6.5971494797119803E-3</v>
      </c>
      <c r="AV26" s="5">
        <f t="shared" ca="1" si="38"/>
        <v>6.4166233479553466E-3</v>
      </c>
      <c r="AW26" s="5">
        <f t="shared" ca="1" si="39"/>
        <v>6.7425170665149012E-3</v>
      </c>
      <c r="AX26" s="5">
        <f t="shared" ca="1" si="40"/>
        <v>6.3046828123147084E-3</v>
      </c>
      <c r="AY26" s="5">
        <f t="shared" ca="1" si="41"/>
        <v>6.6804579174787578E-3</v>
      </c>
      <c r="AZ26" s="5">
        <f t="shared" ca="1" si="42"/>
        <v>6.4198747321775875E-3</v>
      </c>
      <c r="BA26" s="5">
        <f t="shared" ca="1" si="43"/>
        <v>6.3447887825973269E-3</v>
      </c>
      <c r="BB26" s="5">
        <f t="shared" ca="1" si="44"/>
        <v>6.4029889872107785E-3</v>
      </c>
      <c r="BC26" s="5">
        <f t="shared" ca="1" si="45"/>
        <v>6.2494970552383839E-3</v>
      </c>
      <c r="BD26" s="5">
        <f t="shared" ca="1" si="46"/>
        <v>6.5936191724999468E-3</v>
      </c>
      <c r="BE26" s="5">
        <f t="shared" ca="1" si="47"/>
        <v>6.7115091041261531E-3</v>
      </c>
      <c r="BF26" s="5">
        <f t="shared" ca="1" si="48"/>
        <v>6.3420899263519296E-3</v>
      </c>
      <c r="BG26" s="5">
        <f t="shared" ca="1" si="49"/>
        <v>6.3459946285393332E-3</v>
      </c>
      <c r="BH26" s="5">
        <f t="shared" ca="1" si="50"/>
        <v>6.4596207392915647E-3</v>
      </c>
      <c r="BI26" s="5">
        <f t="shared" ca="1" si="51"/>
        <v>6.8672073236996072E-3</v>
      </c>
      <c r="BJ26" s="5">
        <f t="shared" ca="1" si="52"/>
        <v>6.5673647172200074E-3</v>
      </c>
      <c r="BK26" s="5">
        <f t="shared" ca="1" si="53"/>
        <v>6.5588445815333331E-3</v>
      </c>
      <c r="BL26" s="5">
        <f t="shared" ca="1" si="54"/>
        <v>6.2891470295981288E-3</v>
      </c>
      <c r="BM26" s="5">
        <f t="shared" ca="1" si="55"/>
        <v>6.1770909009364623E-3</v>
      </c>
      <c r="BN26" s="5">
        <f t="shared" ca="1" si="56"/>
        <v>6.6603447783609264E-3</v>
      </c>
      <c r="BO26" s="5">
        <f t="shared" ca="1" si="57"/>
        <v>6.4164843615720007E-3</v>
      </c>
      <c r="BP26" s="5">
        <f t="shared" ca="1" si="58"/>
        <v>6.3586237460167196E-3</v>
      </c>
      <c r="BQ26" s="5">
        <f t="shared" ca="1" si="59"/>
        <v>6.2943753902696712E-3</v>
      </c>
      <c r="BR26" s="5">
        <f t="shared" ca="1" si="60"/>
        <v>6.5876620356779209E-3</v>
      </c>
      <c r="BS26" s="5">
        <f t="shared" ca="1" si="61"/>
        <v>6.6706989518193743E-3</v>
      </c>
      <c r="BT26" s="5">
        <f t="shared" ca="1" si="62"/>
        <v>6.265853983561053E-3</v>
      </c>
      <c r="BU26" s="5">
        <f t="shared" ca="1" si="63"/>
        <v>6.7260982439155091E-3</v>
      </c>
      <c r="BV26" s="5">
        <f t="shared" ca="1" si="64"/>
        <v>6.6637985241120388E-3</v>
      </c>
      <c r="BW26" s="5">
        <f t="shared" ca="1" si="65"/>
        <v>6.6868900027496686E-3</v>
      </c>
      <c r="BX26" s="5">
        <f t="shared" ca="1" si="66"/>
        <v>6.6187260814078806E-3</v>
      </c>
      <c r="BY26" s="5">
        <f t="shared" ca="1" si="67"/>
        <v>6.4360368178285089E-3</v>
      </c>
      <c r="BZ26" s="5">
        <f t="shared" ca="1" si="68"/>
        <v>6.4447645861048361E-3</v>
      </c>
      <c r="CA26" s="5">
        <f t="shared" ca="1" si="69"/>
        <v>5.9246739546328928E-3</v>
      </c>
      <c r="CB26" s="5">
        <f t="shared" ca="1" si="70"/>
        <v>6.3511497179342263E-3</v>
      </c>
      <c r="CC26" s="5">
        <f t="shared" ca="1" si="71"/>
        <v>6.6589407434748029E-3</v>
      </c>
      <c r="CD26" s="5">
        <f t="shared" ca="1" si="72"/>
        <v>6.4093358718232711E-3</v>
      </c>
      <c r="CE26" s="5">
        <f t="shared" ca="1" si="73"/>
        <v>6.5463514175931907E-3</v>
      </c>
      <c r="CF26" s="5">
        <f t="shared" ca="1" si="74"/>
        <v>6.5448359814800862E-3</v>
      </c>
      <c r="CG26" s="5">
        <f t="shared" ca="1" si="75"/>
        <v>6.477315284605668E-3</v>
      </c>
      <c r="CH26" s="5">
        <f t="shared" ca="1" si="76"/>
        <v>6.4096146178738494E-3</v>
      </c>
      <c r="CI26" s="5">
        <f t="shared" ca="1" si="77"/>
        <v>6.5709153431382098E-3</v>
      </c>
      <c r="CJ26" s="5">
        <f t="shared" ca="1" si="78"/>
        <v>6.7246884522976181E-3</v>
      </c>
      <c r="CK26" s="5">
        <f t="shared" ca="1" si="79"/>
        <v>6.3271925241445443E-3</v>
      </c>
      <c r="CL26" s="5">
        <f t="shared" ca="1" si="80"/>
        <v>6.3959618686167804E-3</v>
      </c>
      <c r="CM26" s="5">
        <f t="shared" ca="1" si="81"/>
        <v>6.420824396956743E-3</v>
      </c>
      <c r="CN26" s="5">
        <f t="shared" ca="1" si="82"/>
        <v>6.4200405594770048E-3</v>
      </c>
      <c r="CO26" s="5">
        <f t="shared" ca="1" si="83"/>
        <v>6.5039537479932652E-3</v>
      </c>
      <c r="CP26" s="5">
        <f t="shared" ca="1" si="84"/>
        <v>6.8750739428453094E-3</v>
      </c>
      <c r="CQ26" s="5">
        <f t="shared" ca="1" si="85"/>
        <v>6.8197686820195948E-3</v>
      </c>
      <c r="CR26" s="5">
        <f t="shared" ca="1" si="86"/>
        <v>6.6447611431397907E-3</v>
      </c>
      <c r="CS26" s="5">
        <f t="shared" ca="1" si="87"/>
        <v>6.3361525284494043E-3</v>
      </c>
      <c r="CT26" s="5">
        <f t="shared" ca="1" si="88"/>
        <v>6.7037198073047347E-3</v>
      </c>
      <c r="CU26" s="5">
        <f t="shared" ca="1" si="89"/>
        <v>6.2788617192913896E-3</v>
      </c>
      <c r="CV26" s="5">
        <f t="shared" ca="1" si="90"/>
        <v>6.3397997368732232E-3</v>
      </c>
      <c r="CW26" s="5">
        <f t="shared" ca="1" si="91"/>
        <v>6.4301671265913716E-3</v>
      </c>
      <c r="CX26" s="5">
        <f t="shared" ca="1" si="92"/>
        <v>6.2199359688761523E-3</v>
      </c>
      <c r="CY26" s="5">
        <f t="shared" ca="1" si="93"/>
        <v>6.3951609944287143E-3</v>
      </c>
      <c r="CZ26" s="5">
        <f t="shared" ca="1" si="94"/>
        <v>6.2325953086346392E-3</v>
      </c>
      <c r="DA26" s="5">
        <f t="shared" ca="1" si="95"/>
        <v>6.5656133151426304E-3</v>
      </c>
      <c r="DB26" s="5">
        <f t="shared" ca="1" si="96"/>
        <v>6.6202709616404835E-3</v>
      </c>
      <c r="DC26" s="5">
        <f t="shared" ca="1" si="97"/>
        <v>6.2722380620194211E-3</v>
      </c>
      <c r="DD26" s="5">
        <f t="shared" ca="1" si="98"/>
        <v>6.4454809682280238E-3</v>
      </c>
      <c r="DE26" s="5">
        <f t="shared" ca="1" si="99"/>
        <v>6.7058951451443288E-3</v>
      </c>
      <c r="DF26" s="5">
        <f t="shared" ca="1" si="100"/>
        <v>6.5192486989841198E-3</v>
      </c>
      <c r="DG26" s="5">
        <f t="shared" ca="1" si="101"/>
        <v>6.3587694562255775E-3</v>
      </c>
      <c r="DH26" s="5">
        <f t="shared" ca="1" si="102"/>
        <v>6.5323788376446517E-3</v>
      </c>
      <c r="DI26" s="5">
        <f t="shared" ca="1" si="103"/>
        <v>6.4150505491228048E-3</v>
      </c>
      <c r="DJ26" s="5">
        <f t="shared" ca="1" si="104"/>
        <v>6.5769947087983196E-3</v>
      </c>
    </row>
    <row r="27" spans="1:114" outlineLevel="1" x14ac:dyDescent="0.2">
      <c r="E27" s="32">
        <v>45292</v>
      </c>
      <c r="F27" s="9">
        <v>1950</v>
      </c>
      <c r="G27" s="5">
        <f t="shared" ca="1" si="0"/>
        <v>3.7763009905546208E-2</v>
      </c>
      <c r="H27" s="5">
        <f t="shared" ca="1" si="1"/>
        <v>6.3849894199588756E-3</v>
      </c>
      <c r="I27" s="9">
        <f t="shared" ca="1" si="2"/>
        <v>48079.940725037741</v>
      </c>
      <c r="K27" s="6">
        <v>23</v>
      </c>
      <c r="L27" s="5">
        <v>362015.44216157857</v>
      </c>
      <c r="N27" s="32">
        <v>45261</v>
      </c>
      <c r="O27" s="5">
        <f t="shared" ca="1" si="5"/>
        <v>6.9411374390152278E-3</v>
      </c>
      <c r="P27" s="5">
        <f t="shared" ca="1" si="6"/>
        <v>6.466546871408684E-3</v>
      </c>
      <c r="Q27" s="5">
        <f t="shared" ca="1" si="7"/>
        <v>6.8318180629018165E-3</v>
      </c>
      <c r="R27" s="5">
        <f t="shared" ca="1" si="8"/>
        <v>6.6976424717649346E-3</v>
      </c>
      <c r="S27" s="5">
        <f t="shared" ca="1" si="9"/>
        <v>6.559803888851936E-3</v>
      </c>
      <c r="T27" s="5">
        <f t="shared" ca="1" si="10"/>
        <v>6.1565918913174724E-3</v>
      </c>
      <c r="U27" s="5">
        <f t="shared" ca="1" si="11"/>
        <v>6.2563442758367151E-3</v>
      </c>
      <c r="V27" s="5">
        <f t="shared" ca="1" si="12"/>
        <v>6.601602408202705E-3</v>
      </c>
      <c r="W27" s="5">
        <f t="shared" ca="1" si="13"/>
        <v>6.5061025797354208E-3</v>
      </c>
      <c r="X27" s="5">
        <f t="shared" ca="1" si="14"/>
        <v>6.5474714094820143E-3</v>
      </c>
      <c r="Y27" s="5">
        <f t="shared" ca="1" si="15"/>
        <v>6.5581938932471554E-3</v>
      </c>
      <c r="Z27" s="5">
        <f t="shared" ca="1" si="16"/>
        <v>6.5224199491035898E-3</v>
      </c>
      <c r="AA27" s="5">
        <f t="shared" ca="1" si="17"/>
        <v>6.5375031309293924E-3</v>
      </c>
      <c r="AB27" s="5">
        <f t="shared" ca="1" si="18"/>
        <v>6.9821689475247327E-3</v>
      </c>
      <c r="AC27" s="5">
        <f t="shared" ca="1" si="19"/>
        <v>6.7661417181431099E-3</v>
      </c>
      <c r="AD27" s="5">
        <f t="shared" ca="1" si="20"/>
        <v>6.914992363760729E-3</v>
      </c>
      <c r="AE27" s="5">
        <f t="shared" ca="1" si="21"/>
        <v>6.7263612384279581E-3</v>
      </c>
      <c r="AF27" s="5">
        <f t="shared" ca="1" si="22"/>
        <v>6.1571563071045792E-3</v>
      </c>
      <c r="AG27" s="5">
        <f t="shared" ca="1" si="23"/>
        <v>6.3951333420300743E-3</v>
      </c>
      <c r="AH27" s="5">
        <f t="shared" ca="1" si="24"/>
        <v>6.5051157339537152E-3</v>
      </c>
      <c r="AI27" s="5">
        <f t="shared" ca="1" si="25"/>
        <v>6.6663964610007486E-3</v>
      </c>
      <c r="AJ27" s="5">
        <f t="shared" ca="1" si="26"/>
        <v>6.7522826923674456E-3</v>
      </c>
      <c r="AK27" s="5">
        <f t="shared" ca="1" si="27"/>
        <v>6.6699999411557551E-3</v>
      </c>
      <c r="AL27" s="5">
        <f t="shared" ca="1" si="28"/>
        <v>6.3461166691687991E-3</v>
      </c>
      <c r="AM27" s="5">
        <f t="shared" ca="1" si="29"/>
        <v>6.3715228994452476E-3</v>
      </c>
      <c r="AN27" s="5">
        <f t="shared" ca="1" si="30"/>
        <v>6.5852886931763782E-3</v>
      </c>
      <c r="AO27" s="5">
        <f t="shared" ca="1" si="31"/>
        <v>6.5783259524764184E-3</v>
      </c>
      <c r="AP27" s="5">
        <f t="shared" ca="1" si="32"/>
        <v>6.2955112654578434E-3</v>
      </c>
      <c r="AQ27" s="5">
        <f t="shared" ca="1" si="33"/>
        <v>6.2663587999421504E-3</v>
      </c>
      <c r="AR27" s="5">
        <f t="shared" ca="1" si="34"/>
        <v>6.5124541951587381E-3</v>
      </c>
      <c r="AS27" s="5">
        <f t="shared" ca="1" si="35"/>
        <v>6.7406105284747728E-3</v>
      </c>
      <c r="AT27" s="5">
        <f t="shared" ca="1" si="36"/>
        <v>6.4372634507093322E-3</v>
      </c>
      <c r="AU27" s="5">
        <f t="shared" ca="1" si="37"/>
        <v>6.5974031219878642E-3</v>
      </c>
      <c r="AV27" s="5">
        <f t="shared" ca="1" si="38"/>
        <v>6.3685826743785914E-3</v>
      </c>
      <c r="AW27" s="5">
        <f t="shared" ca="1" si="39"/>
        <v>6.659153212246866E-3</v>
      </c>
      <c r="AX27" s="5">
        <f t="shared" ca="1" si="40"/>
        <v>6.3461360369873859E-3</v>
      </c>
      <c r="AY27" s="5">
        <f t="shared" ca="1" si="41"/>
        <v>6.7837869583249966E-3</v>
      </c>
      <c r="AZ27" s="5">
        <f t="shared" ca="1" si="42"/>
        <v>6.3872957100673013E-3</v>
      </c>
      <c r="BA27" s="5">
        <f t="shared" ca="1" si="43"/>
        <v>6.3111622579786683E-3</v>
      </c>
      <c r="BB27" s="5">
        <f t="shared" ca="1" si="44"/>
        <v>6.3337186824989327E-3</v>
      </c>
      <c r="BC27" s="5">
        <f t="shared" ca="1" si="45"/>
        <v>6.232938040957931E-3</v>
      </c>
      <c r="BD27" s="5">
        <f t="shared" ca="1" si="46"/>
        <v>6.6080748840760739E-3</v>
      </c>
      <c r="BE27" s="5">
        <f t="shared" ca="1" si="47"/>
        <v>6.7085220918752702E-3</v>
      </c>
      <c r="BF27" s="5">
        <f t="shared" ca="1" si="48"/>
        <v>6.4091596712969653E-3</v>
      </c>
      <c r="BG27" s="5">
        <f t="shared" ca="1" si="49"/>
        <v>6.2988049203122742E-3</v>
      </c>
      <c r="BH27" s="5">
        <f t="shared" ca="1" si="50"/>
        <v>6.4555084114448101E-3</v>
      </c>
      <c r="BI27" s="5">
        <f t="shared" ca="1" si="51"/>
        <v>6.8825094842495868E-3</v>
      </c>
      <c r="BJ27" s="5">
        <f t="shared" ca="1" si="52"/>
        <v>6.6251988559738583E-3</v>
      </c>
      <c r="BK27" s="5">
        <f t="shared" ca="1" si="53"/>
        <v>6.630815106406087E-3</v>
      </c>
      <c r="BL27" s="5">
        <f t="shared" ca="1" si="54"/>
        <v>6.2698596131923363E-3</v>
      </c>
      <c r="BM27" s="5">
        <f t="shared" ca="1" si="55"/>
        <v>6.2030249115007869E-3</v>
      </c>
      <c r="BN27" s="5">
        <f t="shared" ca="1" si="56"/>
        <v>6.7085757008236956E-3</v>
      </c>
      <c r="BO27" s="5">
        <f t="shared" ca="1" si="57"/>
        <v>6.411023882889463E-3</v>
      </c>
      <c r="BP27" s="5">
        <f t="shared" ca="1" si="58"/>
        <v>6.339575187103182E-3</v>
      </c>
      <c r="BQ27" s="5">
        <f t="shared" ca="1" si="59"/>
        <v>6.2189455518744125E-3</v>
      </c>
      <c r="BR27" s="5">
        <f t="shared" ca="1" si="60"/>
        <v>6.627816971700725E-3</v>
      </c>
      <c r="BS27" s="5">
        <f t="shared" ca="1" si="61"/>
        <v>6.6744783629769985E-3</v>
      </c>
      <c r="BT27" s="5">
        <f t="shared" ca="1" si="62"/>
        <v>6.2595744269971247E-3</v>
      </c>
      <c r="BU27" s="5">
        <f t="shared" ca="1" si="63"/>
        <v>6.6720377673730276E-3</v>
      </c>
      <c r="BV27" s="5">
        <f t="shared" ca="1" si="64"/>
        <v>6.6861325747032329E-3</v>
      </c>
      <c r="BW27" s="5">
        <f t="shared" ca="1" si="65"/>
        <v>6.7100676420826025E-3</v>
      </c>
      <c r="BX27" s="5">
        <f t="shared" ca="1" si="66"/>
        <v>6.6224686109965921E-3</v>
      </c>
      <c r="BY27" s="5">
        <f t="shared" ca="1" si="67"/>
        <v>6.422740088486513E-3</v>
      </c>
      <c r="BZ27" s="5">
        <f t="shared" ca="1" si="68"/>
        <v>6.4113670630260404E-3</v>
      </c>
      <c r="CA27" s="5">
        <f t="shared" ca="1" si="69"/>
        <v>5.9792612864338025E-3</v>
      </c>
      <c r="CB27" s="5">
        <f t="shared" ca="1" si="70"/>
        <v>6.3666990214359875E-3</v>
      </c>
      <c r="CC27" s="5">
        <f t="shared" ca="1" si="71"/>
        <v>6.653846157318977E-3</v>
      </c>
      <c r="CD27" s="5">
        <f t="shared" ca="1" si="72"/>
        <v>6.3226111331812314E-3</v>
      </c>
      <c r="CE27" s="5">
        <f t="shared" ca="1" si="73"/>
        <v>6.5234608739506914E-3</v>
      </c>
      <c r="CF27" s="5">
        <f t="shared" ca="1" si="74"/>
        <v>6.5016289595639168E-3</v>
      </c>
      <c r="CG27" s="5">
        <f t="shared" ca="1" si="75"/>
        <v>6.4836371520991887E-3</v>
      </c>
      <c r="CH27" s="5">
        <f t="shared" ca="1" si="76"/>
        <v>6.4413007634107891E-3</v>
      </c>
      <c r="CI27" s="5">
        <f t="shared" ca="1" si="77"/>
        <v>6.4915977010769847E-3</v>
      </c>
      <c r="CJ27" s="5">
        <f t="shared" ca="1" si="78"/>
        <v>6.7129863586893957E-3</v>
      </c>
      <c r="CK27" s="5">
        <f t="shared" ca="1" si="79"/>
        <v>6.4169816423890868E-3</v>
      </c>
      <c r="CL27" s="5">
        <f t="shared" ca="1" si="80"/>
        <v>6.3724207695246872E-3</v>
      </c>
      <c r="CM27" s="5">
        <f t="shared" ca="1" si="81"/>
        <v>6.4600012347915889E-3</v>
      </c>
      <c r="CN27" s="5">
        <f t="shared" ca="1" si="82"/>
        <v>6.4717457669568696E-3</v>
      </c>
      <c r="CO27" s="5">
        <f t="shared" ca="1" si="83"/>
        <v>6.5304446438481612E-3</v>
      </c>
      <c r="CP27" s="5">
        <f t="shared" ca="1" si="84"/>
        <v>6.9141048588812056E-3</v>
      </c>
      <c r="CQ27" s="5">
        <f t="shared" ca="1" si="85"/>
        <v>6.8043610176157822E-3</v>
      </c>
      <c r="CR27" s="5">
        <f t="shared" ca="1" si="86"/>
        <v>6.6988466263095212E-3</v>
      </c>
      <c r="CS27" s="5">
        <f t="shared" ca="1" si="87"/>
        <v>6.3817376826111249E-3</v>
      </c>
      <c r="CT27" s="5">
        <f t="shared" ca="1" si="88"/>
        <v>6.7697579889179895E-3</v>
      </c>
      <c r="CU27" s="5">
        <f t="shared" ca="1" si="89"/>
        <v>6.1896609874078782E-3</v>
      </c>
      <c r="CV27" s="5">
        <f t="shared" ca="1" si="90"/>
        <v>6.2429188187601084E-3</v>
      </c>
      <c r="CW27" s="5">
        <f t="shared" ca="1" si="91"/>
        <v>6.4307760557098378E-3</v>
      </c>
      <c r="CX27" s="5">
        <f t="shared" ca="1" si="92"/>
        <v>6.1922714949383482E-3</v>
      </c>
      <c r="CY27" s="5">
        <f t="shared" ca="1" si="93"/>
        <v>6.3338014357889215E-3</v>
      </c>
      <c r="CZ27" s="5">
        <f t="shared" ca="1" si="94"/>
        <v>6.2599792195828828E-3</v>
      </c>
      <c r="DA27" s="5">
        <f t="shared" ca="1" si="95"/>
        <v>6.5324836564055674E-3</v>
      </c>
      <c r="DB27" s="5">
        <f t="shared" ca="1" si="96"/>
        <v>6.6594745131939113E-3</v>
      </c>
      <c r="DC27" s="5">
        <f t="shared" ca="1" si="97"/>
        <v>6.3498451849026988E-3</v>
      </c>
      <c r="DD27" s="5">
        <f t="shared" ca="1" si="98"/>
        <v>6.4583970041569615E-3</v>
      </c>
      <c r="DE27" s="5">
        <f t="shared" ca="1" si="99"/>
        <v>6.7079206566318305E-3</v>
      </c>
      <c r="DF27" s="5">
        <f t="shared" ca="1" si="100"/>
        <v>6.5755473276856912E-3</v>
      </c>
      <c r="DG27" s="5">
        <f t="shared" ca="1" si="101"/>
        <v>6.3054562912752167E-3</v>
      </c>
      <c r="DH27" s="5">
        <f t="shared" ca="1" si="102"/>
        <v>6.5988449127458481E-3</v>
      </c>
      <c r="DI27" s="5">
        <f t="shared" ca="1" si="103"/>
        <v>6.4187697938378379E-3</v>
      </c>
      <c r="DJ27" s="5">
        <f t="shared" ca="1" si="104"/>
        <v>6.6218603938190705E-3</v>
      </c>
    </row>
    <row r="28" spans="1:114" outlineLevel="1" x14ac:dyDescent="0.2">
      <c r="E28" s="32">
        <v>45323</v>
      </c>
      <c r="F28" s="9">
        <v>2320.4999999999995</v>
      </c>
      <c r="G28" s="5">
        <f t="shared" ca="1" si="0"/>
        <v>-3.3071667438075533E-2</v>
      </c>
      <c r="H28" s="5">
        <f t="shared" ca="1" si="1"/>
        <v>6.4101353444563575E-3</v>
      </c>
      <c r="I28" s="9">
        <f t="shared" ca="1" si="2"/>
        <v>50426.130829920665</v>
      </c>
      <c r="K28" s="6">
        <v>24</v>
      </c>
      <c r="L28" s="5">
        <v>361544.03506072279</v>
      </c>
      <c r="N28" s="32">
        <v>45292</v>
      </c>
      <c r="O28" s="5">
        <f t="shared" ca="1" si="5"/>
        <v>6.9538173605529705E-3</v>
      </c>
      <c r="P28" s="5">
        <f t="shared" ca="1" si="6"/>
        <v>6.4513413329175835E-3</v>
      </c>
      <c r="Q28" s="5">
        <f t="shared" ca="1" si="7"/>
        <v>6.7589517537123868E-3</v>
      </c>
      <c r="R28" s="5">
        <f t="shared" ca="1" si="8"/>
        <v>6.6852585994518999E-3</v>
      </c>
      <c r="S28" s="5">
        <f t="shared" ca="1" si="9"/>
        <v>6.5788111174121195E-3</v>
      </c>
      <c r="T28" s="5">
        <f t="shared" ca="1" si="10"/>
        <v>6.1423196314076408E-3</v>
      </c>
      <c r="U28" s="5">
        <f t="shared" ca="1" si="11"/>
        <v>6.246099702437175E-3</v>
      </c>
      <c r="V28" s="5">
        <f t="shared" ca="1" si="12"/>
        <v>6.6483051891515097E-3</v>
      </c>
      <c r="W28" s="5">
        <f t="shared" ca="1" si="13"/>
        <v>6.4841878875228562E-3</v>
      </c>
      <c r="X28" s="5">
        <f t="shared" ca="1" si="14"/>
        <v>6.5080830753066858E-3</v>
      </c>
      <c r="Y28" s="5">
        <f t="shared" ca="1" si="15"/>
        <v>6.5359800402130068E-3</v>
      </c>
      <c r="Z28" s="5">
        <f t="shared" ca="1" si="16"/>
        <v>6.5156756668709754E-3</v>
      </c>
      <c r="AA28" s="5">
        <f t="shared" ca="1" si="17"/>
        <v>6.5738424698817801E-3</v>
      </c>
      <c r="AB28" s="5">
        <f t="shared" ca="1" si="18"/>
        <v>7.0471425639346925E-3</v>
      </c>
      <c r="AC28" s="5">
        <f t="shared" ca="1" si="19"/>
        <v>6.8145387896672372E-3</v>
      </c>
      <c r="AD28" s="5">
        <f t="shared" ca="1" si="20"/>
        <v>6.878210294012534E-3</v>
      </c>
      <c r="AE28" s="5">
        <f t="shared" ca="1" si="21"/>
        <v>6.756263530853652E-3</v>
      </c>
      <c r="AF28" s="5">
        <f t="shared" ca="1" si="22"/>
        <v>6.2278405077246897E-3</v>
      </c>
      <c r="AG28" s="5">
        <f t="shared" ca="1" si="23"/>
        <v>6.3736391721446453E-3</v>
      </c>
      <c r="AH28" s="5">
        <f t="shared" ca="1" si="24"/>
        <v>6.4963939735712892E-3</v>
      </c>
      <c r="AI28" s="5">
        <f t="shared" ca="1" si="25"/>
        <v>6.5667876643852223E-3</v>
      </c>
      <c r="AJ28" s="5">
        <f t="shared" ca="1" si="26"/>
        <v>6.7622132696371637E-3</v>
      </c>
      <c r="AK28" s="5">
        <f t="shared" ca="1" si="27"/>
        <v>6.7186766411091144E-3</v>
      </c>
      <c r="AL28" s="5">
        <f t="shared" ca="1" si="28"/>
        <v>6.3649107210150269E-3</v>
      </c>
      <c r="AM28" s="5">
        <f t="shared" ca="1" si="29"/>
        <v>6.4206924865521167E-3</v>
      </c>
      <c r="AN28" s="5">
        <f t="shared" ca="1" si="30"/>
        <v>6.5832914865653243E-3</v>
      </c>
      <c r="AO28" s="5">
        <f t="shared" ca="1" si="31"/>
        <v>6.6099536714272654E-3</v>
      </c>
      <c r="AP28" s="5">
        <f t="shared" ca="1" si="32"/>
        <v>6.2622525759309022E-3</v>
      </c>
      <c r="AQ28" s="5">
        <f t="shared" ca="1" si="33"/>
        <v>6.324931475954804E-3</v>
      </c>
      <c r="AR28" s="5">
        <f t="shared" ca="1" si="34"/>
        <v>6.5198707117382487E-3</v>
      </c>
      <c r="AS28" s="5">
        <f t="shared" ca="1" si="35"/>
        <v>6.6726034775637056E-3</v>
      </c>
      <c r="AT28" s="5">
        <f t="shared" ca="1" si="36"/>
        <v>6.4138412980631982E-3</v>
      </c>
      <c r="AU28" s="5">
        <f t="shared" ca="1" si="37"/>
        <v>6.5674828081537674E-3</v>
      </c>
      <c r="AV28" s="5">
        <f t="shared" ca="1" si="38"/>
        <v>6.3888335811075293E-3</v>
      </c>
      <c r="AW28" s="5">
        <f t="shared" ca="1" si="39"/>
        <v>6.6935354913626038E-3</v>
      </c>
      <c r="AX28" s="5">
        <f t="shared" ca="1" si="40"/>
        <v>6.3656868603182799E-3</v>
      </c>
      <c r="AY28" s="5">
        <f t="shared" ca="1" si="41"/>
        <v>6.8029065929334541E-3</v>
      </c>
      <c r="AZ28" s="5">
        <f t="shared" ca="1" si="42"/>
        <v>6.4432493424249155E-3</v>
      </c>
      <c r="BA28" s="5">
        <f t="shared" ca="1" si="43"/>
        <v>6.3414969099899058E-3</v>
      </c>
      <c r="BB28" s="5">
        <f t="shared" ca="1" si="44"/>
        <v>6.338982139854149E-3</v>
      </c>
      <c r="BC28" s="5">
        <f t="shared" ca="1" si="45"/>
        <v>6.2042590764589053E-3</v>
      </c>
      <c r="BD28" s="5">
        <f t="shared" ca="1" si="46"/>
        <v>6.5059062587202255E-3</v>
      </c>
      <c r="BE28" s="5">
        <f t="shared" ca="1" si="47"/>
        <v>6.7556377374487489E-3</v>
      </c>
      <c r="BF28" s="5">
        <f t="shared" ca="1" si="48"/>
        <v>6.445756135470616E-3</v>
      </c>
      <c r="BG28" s="5">
        <f t="shared" ca="1" si="49"/>
        <v>6.3479681887438077E-3</v>
      </c>
      <c r="BH28" s="5">
        <f t="shared" ca="1" si="50"/>
        <v>6.397875494256914E-3</v>
      </c>
      <c r="BI28" s="5">
        <f t="shared" ca="1" si="51"/>
        <v>6.8667599346268517E-3</v>
      </c>
      <c r="BJ28" s="5">
        <f t="shared" ca="1" si="52"/>
        <v>6.6258297554274426E-3</v>
      </c>
      <c r="BK28" s="5">
        <f t="shared" ca="1" si="53"/>
        <v>6.6505311630019881E-3</v>
      </c>
      <c r="BL28" s="5">
        <f t="shared" ca="1" si="54"/>
        <v>6.2232547521536953E-3</v>
      </c>
      <c r="BM28" s="5">
        <f t="shared" ca="1" si="55"/>
        <v>6.1181941043727149E-3</v>
      </c>
      <c r="BN28" s="5">
        <f t="shared" ca="1" si="56"/>
        <v>6.691881518609194E-3</v>
      </c>
      <c r="BO28" s="5">
        <f t="shared" ca="1" si="57"/>
        <v>6.3473054835209665E-3</v>
      </c>
      <c r="BP28" s="5">
        <f t="shared" ca="1" si="58"/>
        <v>6.4309191054979535E-3</v>
      </c>
      <c r="BQ28" s="5">
        <f t="shared" ca="1" si="59"/>
        <v>6.1955925662170184E-3</v>
      </c>
      <c r="BR28" s="5">
        <f t="shared" ca="1" si="60"/>
        <v>6.6443276739571533E-3</v>
      </c>
      <c r="BS28" s="5">
        <f t="shared" ca="1" si="61"/>
        <v>6.6659055660647374E-3</v>
      </c>
      <c r="BT28" s="5">
        <f t="shared" ca="1" si="62"/>
        <v>6.2856314882100963E-3</v>
      </c>
      <c r="BU28" s="5">
        <f t="shared" ca="1" si="63"/>
        <v>6.6512426030886111E-3</v>
      </c>
      <c r="BV28" s="5">
        <f t="shared" ca="1" si="64"/>
        <v>6.7018895369936535E-3</v>
      </c>
      <c r="BW28" s="5">
        <f t="shared" ca="1" si="65"/>
        <v>6.7134382541883123E-3</v>
      </c>
      <c r="BX28" s="5">
        <f t="shared" ca="1" si="66"/>
        <v>6.6224926456276223E-3</v>
      </c>
      <c r="BY28" s="5">
        <f t="shared" ca="1" si="67"/>
        <v>6.3859099233303804E-3</v>
      </c>
      <c r="BZ28" s="5">
        <f t="shared" ca="1" si="68"/>
        <v>6.4031362240585784E-3</v>
      </c>
      <c r="CA28" s="5">
        <f t="shared" ca="1" si="69"/>
        <v>5.9307327356264887E-3</v>
      </c>
      <c r="CB28" s="5">
        <f t="shared" ca="1" si="70"/>
        <v>6.3964976200405138E-3</v>
      </c>
      <c r="CC28" s="5">
        <f t="shared" ca="1" si="71"/>
        <v>6.6373611991278137E-3</v>
      </c>
      <c r="CD28" s="5">
        <f t="shared" ca="1" si="72"/>
        <v>6.3713322619055419E-3</v>
      </c>
      <c r="CE28" s="5">
        <f t="shared" ca="1" si="73"/>
        <v>6.493366166628837E-3</v>
      </c>
      <c r="CF28" s="5">
        <f t="shared" ca="1" si="74"/>
        <v>6.4717118357235899E-3</v>
      </c>
      <c r="CG28" s="5">
        <f t="shared" ca="1" si="75"/>
        <v>6.4199547159165824E-3</v>
      </c>
      <c r="CH28" s="5">
        <f t="shared" ca="1" si="76"/>
        <v>6.5165821817805714E-3</v>
      </c>
      <c r="CI28" s="5">
        <f t="shared" ca="1" si="77"/>
        <v>6.5153557466647973E-3</v>
      </c>
      <c r="CJ28" s="5">
        <f t="shared" ca="1" si="78"/>
        <v>6.7004929877353707E-3</v>
      </c>
      <c r="CK28" s="5">
        <f t="shared" ca="1" si="79"/>
        <v>6.3642432293709687E-3</v>
      </c>
      <c r="CL28" s="5">
        <f t="shared" ca="1" si="80"/>
        <v>6.4199655181624345E-3</v>
      </c>
      <c r="CM28" s="5">
        <f t="shared" ca="1" si="81"/>
        <v>6.4624067532659734E-3</v>
      </c>
      <c r="CN28" s="5">
        <f t="shared" ca="1" si="82"/>
        <v>6.4971095073481037E-3</v>
      </c>
      <c r="CO28" s="5">
        <f t="shared" ca="1" si="83"/>
        <v>6.587811523027334E-3</v>
      </c>
      <c r="CP28" s="5">
        <f t="shared" ca="1" si="84"/>
        <v>6.9134004756462889E-3</v>
      </c>
      <c r="CQ28" s="5">
        <f t="shared" ca="1" si="85"/>
        <v>6.862818292757436E-3</v>
      </c>
      <c r="CR28" s="5">
        <f t="shared" ca="1" si="86"/>
        <v>6.7442627976490449E-3</v>
      </c>
      <c r="CS28" s="5">
        <f t="shared" ca="1" si="87"/>
        <v>6.4417479630631642E-3</v>
      </c>
      <c r="CT28" s="5">
        <f t="shared" ca="1" si="88"/>
        <v>6.7641994478214139E-3</v>
      </c>
      <c r="CU28" s="5">
        <f t="shared" ca="1" si="89"/>
        <v>6.2559747062169496E-3</v>
      </c>
      <c r="CV28" s="5">
        <f t="shared" ca="1" si="90"/>
        <v>6.2309404285806752E-3</v>
      </c>
      <c r="CW28" s="5">
        <f t="shared" ca="1" si="91"/>
        <v>6.3686874020239979E-3</v>
      </c>
      <c r="CX28" s="5">
        <f t="shared" ca="1" si="92"/>
        <v>6.2241434469094822E-3</v>
      </c>
      <c r="CY28" s="5">
        <f t="shared" ca="1" si="93"/>
        <v>6.3822547768918794E-3</v>
      </c>
      <c r="CZ28" s="5">
        <f t="shared" ca="1" si="94"/>
        <v>6.2504248174261581E-3</v>
      </c>
      <c r="DA28" s="5">
        <f t="shared" ca="1" si="95"/>
        <v>6.6046596796563153E-3</v>
      </c>
      <c r="DB28" s="5">
        <f t="shared" ca="1" si="96"/>
        <v>6.6263703906275784E-3</v>
      </c>
      <c r="DC28" s="5">
        <f t="shared" ca="1" si="97"/>
        <v>6.4382701780756725E-3</v>
      </c>
      <c r="DD28" s="5">
        <f t="shared" ca="1" si="98"/>
        <v>6.4762831183959122E-3</v>
      </c>
      <c r="DE28" s="5">
        <f t="shared" ca="1" si="99"/>
        <v>6.6519606754751066E-3</v>
      </c>
      <c r="DF28" s="5">
        <f t="shared" ca="1" si="100"/>
        <v>6.534945311940721E-3</v>
      </c>
      <c r="DG28" s="5">
        <f t="shared" ca="1" si="101"/>
        <v>6.3163329478594949E-3</v>
      </c>
      <c r="DH28" s="5">
        <f t="shared" ca="1" si="102"/>
        <v>6.5448902787933307E-3</v>
      </c>
      <c r="DI28" s="5">
        <f t="shared" ca="1" si="103"/>
        <v>6.4371423561545137E-3</v>
      </c>
      <c r="DJ28" s="5">
        <f t="shared" ca="1" si="104"/>
        <v>6.692630464194574E-3</v>
      </c>
    </row>
    <row r="29" spans="1:114" outlineLevel="1" x14ac:dyDescent="0.2">
      <c r="E29" s="32">
        <v>45352</v>
      </c>
      <c r="F29" s="9">
        <v>2320.4999999999995</v>
      </c>
      <c r="G29" s="5">
        <f t="shared" ca="1" si="0"/>
        <v>4.5554452414059317E-2</v>
      </c>
      <c r="H29" s="5">
        <f t="shared" ca="1" si="1"/>
        <v>6.3984946645377124E-3</v>
      </c>
      <c r="I29" s="9">
        <f t="shared" ca="1" si="2"/>
        <v>52773.525610293698</v>
      </c>
      <c r="K29" s="6">
        <v>25</v>
      </c>
      <c r="L29" s="5">
        <v>363166.13535490807</v>
      </c>
      <c r="N29" s="32">
        <v>45323</v>
      </c>
      <c r="O29" s="5">
        <f t="shared" ca="1" si="5"/>
        <v>6.9092225427297817E-3</v>
      </c>
      <c r="P29" s="5">
        <f t="shared" ca="1" si="6"/>
        <v>6.4576861970957831E-3</v>
      </c>
      <c r="Q29" s="5">
        <f t="shared" ca="1" si="7"/>
        <v>6.7953906248717586E-3</v>
      </c>
      <c r="R29" s="5">
        <f t="shared" ca="1" si="8"/>
        <v>6.6843555187063803E-3</v>
      </c>
      <c r="S29" s="5">
        <f t="shared" ca="1" si="9"/>
        <v>6.5555084706002886E-3</v>
      </c>
      <c r="T29" s="5">
        <f t="shared" ca="1" si="10"/>
        <v>6.0781872284546914E-3</v>
      </c>
      <c r="U29" s="5">
        <f t="shared" ca="1" si="11"/>
        <v>6.2307158488307023E-3</v>
      </c>
      <c r="V29" s="5">
        <f t="shared" ca="1" si="12"/>
        <v>6.7038876059631273E-3</v>
      </c>
      <c r="W29" s="5">
        <f t="shared" ca="1" si="13"/>
        <v>6.5279463557221858E-3</v>
      </c>
      <c r="X29" s="5">
        <f t="shared" ca="1" si="14"/>
        <v>6.5395171100809833E-3</v>
      </c>
      <c r="Y29" s="5">
        <f t="shared" ca="1" si="15"/>
        <v>6.5428482344456976E-3</v>
      </c>
      <c r="Z29" s="5">
        <f t="shared" ca="1" si="16"/>
        <v>6.5711024761394279E-3</v>
      </c>
      <c r="AA29" s="5">
        <f t="shared" ca="1" si="17"/>
        <v>6.6395156680901296E-3</v>
      </c>
      <c r="AB29" s="5">
        <f t="shared" ca="1" si="18"/>
        <v>7.0299426918801564E-3</v>
      </c>
      <c r="AC29" s="5">
        <f t="shared" ca="1" si="19"/>
        <v>6.8013441177677044E-3</v>
      </c>
      <c r="AD29" s="5">
        <f t="shared" ca="1" si="20"/>
        <v>6.918061406328788E-3</v>
      </c>
      <c r="AE29" s="5">
        <f t="shared" ca="1" si="21"/>
        <v>6.8068640375687113E-3</v>
      </c>
      <c r="AF29" s="5">
        <f t="shared" ca="1" si="22"/>
        <v>6.2233367557905667E-3</v>
      </c>
      <c r="AG29" s="5">
        <f t="shared" ca="1" si="23"/>
        <v>6.3491271190649389E-3</v>
      </c>
      <c r="AH29" s="5">
        <f t="shared" ca="1" si="24"/>
        <v>6.4008325483910231E-3</v>
      </c>
      <c r="AI29" s="5">
        <f t="shared" ca="1" si="25"/>
        <v>6.5431254778191327E-3</v>
      </c>
      <c r="AJ29" s="5">
        <f t="shared" ca="1" si="26"/>
        <v>6.7500519553870281E-3</v>
      </c>
      <c r="AK29" s="5">
        <f t="shared" ca="1" si="27"/>
        <v>6.7415430200330169E-3</v>
      </c>
      <c r="AL29" s="5">
        <f t="shared" ca="1" si="28"/>
        <v>6.3997331519334089E-3</v>
      </c>
      <c r="AM29" s="5">
        <f t="shared" ca="1" si="29"/>
        <v>6.5182946145320867E-3</v>
      </c>
      <c r="AN29" s="5">
        <f t="shared" ca="1" si="30"/>
        <v>6.6012235242221282E-3</v>
      </c>
      <c r="AO29" s="5">
        <f t="shared" ca="1" si="31"/>
        <v>6.6863182348211436E-3</v>
      </c>
      <c r="AP29" s="5">
        <f t="shared" ca="1" si="32"/>
        <v>6.2688910407043049E-3</v>
      </c>
      <c r="AQ29" s="5">
        <f t="shared" ca="1" si="33"/>
        <v>6.4444801518756863E-3</v>
      </c>
      <c r="AR29" s="5">
        <f t="shared" ca="1" si="34"/>
        <v>6.5180122871961923E-3</v>
      </c>
      <c r="AS29" s="5">
        <f t="shared" ca="1" si="35"/>
        <v>6.6620034359250293E-3</v>
      </c>
      <c r="AT29" s="5">
        <f t="shared" ca="1" si="36"/>
        <v>6.4635029427478011E-3</v>
      </c>
      <c r="AU29" s="5">
        <f t="shared" ca="1" si="37"/>
        <v>6.5363004519149942E-3</v>
      </c>
      <c r="AV29" s="5">
        <f t="shared" ca="1" si="38"/>
        <v>6.4046351979631776E-3</v>
      </c>
      <c r="AW29" s="5">
        <f t="shared" ca="1" si="39"/>
        <v>6.6855421047512433E-3</v>
      </c>
      <c r="AX29" s="5">
        <f t="shared" ca="1" si="40"/>
        <v>6.2652044318474709E-3</v>
      </c>
      <c r="AY29" s="5">
        <f t="shared" ca="1" si="41"/>
        <v>6.8065957871434636E-3</v>
      </c>
      <c r="AZ29" s="5">
        <f t="shared" ca="1" si="42"/>
        <v>6.3929156417442297E-3</v>
      </c>
      <c r="BA29" s="5">
        <f t="shared" ca="1" si="43"/>
        <v>6.4030545089642016E-3</v>
      </c>
      <c r="BB29" s="5">
        <f t="shared" ca="1" si="44"/>
        <v>6.4157275426881726E-3</v>
      </c>
      <c r="BC29" s="5">
        <f t="shared" ca="1" si="45"/>
        <v>6.2449856659331695E-3</v>
      </c>
      <c r="BD29" s="5">
        <f t="shared" ca="1" si="46"/>
        <v>6.4928772163686784E-3</v>
      </c>
      <c r="BE29" s="5">
        <f t="shared" ca="1" si="47"/>
        <v>6.7178849674003269E-3</v>
      </c>
      <c r="BF29" s="5">
        <f t="shared" ca="1" si="48"/>
        <v>6.4160095036255678E-3</v>
      </c>
      <c r="BG29" s="5">
        <f t="shared" ca="1" si="49"/>
        <v>6.4059357053282417E-3</v>
      </c>
      <c r="BH29" s="5">
        <f t="shared" ca="1" si="50"/>
        <v>6.4518178291813203E-3</v>
      </c>
      <c r="BI29" s="5">
        <f t="shared" ca="1" si="51"/>
        <v>6.9406115854539477E-3</v>
      </c>
      <c r="BJ29" s="5">
        <f t="shared" ca="1" si="52"/>
        <v>6.66047219173791E-3</v>
      </c>
      <c r="BK29" s="5">
        <f t="shared" ca="1" si="53"/>
        <v>6.7018373120746617E-3</v>
      </c>
      <c r="BL29" s="5">
        <f t="shared" ca="1" si="54"/>
        <v>6.1809655980968299E-3</v>
      </c>
      <c r="BM29" s="5">
        <f t="shared" ca="1" si="55"/>
        <v>6.074904796064289E-3</v>
      </c>
      <c r="BN29" s="5">
        <f t="shared" ca="1" si="56"/>
        <v>6.6595088208733421E-3</v>
      </c>
      <c r="BO29" s="5">
        <f t="shared" ca="1" si="57"/>
        <v>6.3659500478530882E-3</v>
      </c>
      <c r="BP29" s="5">
        <f t="shared" ca="1" si="58"/>
        <v>6.4912685660603068E-3</v>
      </c>
      <c r="BQ29" s="5">
        <f t="shared" ca="1" si="59"/>
        <v>6.1728444604926347E-3</v>
      </c>
      <c r="BR29" s="5">
        <f t="shared" ca="1" si="60"/>
        <v>6.7073005363121148E-3</v>
      </c>
      <c r="BS29" s="5">
        <f t="shared" ca="1" si="61"/>
        <v>6.6108336627106251E-3</v>
      </c>
      <c r="BT29" s="5">
        <f t="shared" ca="1" si="62"/>
        <v>6.326249830227143E-3</v>
      </c>
      <c r="BU29" s="5">
        <f t="shared" ca="1" si="63"/>
        <v>6.6697501288070175E-3</v>
      </c>
      <c r="BV29" s="5">
        <f t="shared" ca="1" si="64"/>
        <v>6.7209283005815737E-3</v>
      </c>
      <c r="BW29" s="5">
        <f t="shared" ca="1" si="65"/>
        <v>6.7722878655785889E-3</v>
      </c>
      <c r="BX29" s="5">
        <f t="shared" ca="1" si="66"/>
        <v>6.6940432680594013E-3</v>
      </c>
      <c r="BY29" s="5">
        <f t="shared" ca="1" si="67"/>
        <v>6.4028503159356204E-3</v>
      </c>
      <c r="BZ29" s="5">
        <f t="shared" ca="1" si="68"/>
        <v>6.4502127054264207E-3</v>
      </c>
      <c r="CA29" s="5">
        <f t="shared" ca="1" si="69"/>
        <v>5.8887604006349235E-3</v>
      </c>
      <c r="CB29" s="5">
        <f t="shared" ca="1" si="70"/>
        <v>6.325214754951583E-3</v>
      </c>
      <c r="CC29" s="5">
        <f t="shared" ca="1" si="71"/>
        <v>6.6364318288863614E-3</v>
      </c>
      <c r="CD29" s="5">
        <f t="shared" ca="1" si="72"/>
        <v>6.4026068530134359E-3</v>
      </c>
      <c r="CE29" s="5">
        <f t="shared" ca="1" si="73"/>
        <v>6.4661954220600571E-3</v>
      </c>
      <c r="CF29" s="5">
        <f t="shared" ca="1" si="74"/>
        <v>6.4730694106553809E-3</v>
      </c>
      <c r="CG29" s="5">
        <f t="shared" ca="1" si="75"/>
        <v>6.4540809644129844E-3</v>
      </c>
      <c r="CH29" s="5">
        <f t="shared" ca="1" si="76"/>
        <v>6.5034440680678393E-3</v>
      </c>
      <c r="CI29" s="5">
        <f t="shared" ca="1" si="77"/>
        <v>6.5364750379240397E-3</v>
      </c>
      <c r="CJ29" s="5">
        <f t="shared" ca="1" si="78"/>
        <v>6.747418817808582E-3</v>
      </c>
      <c r="CK29" s="5">
        <f t="shared" ca="1" si="79"/>
        <v>6.3836448075706423E-3</v>
      </c>
      <c r="CL29" s="5">
        <f t="shared" ca="1" si="80"/>
        <v>6.4300219765967923E-3</v>
      </c>
      <c r="CM29" s="5">
        <f t="shared" ca="1" si="81"/>
        <v>6.5100289412304982E-3</v>
      </c>
      <c r="CN29" s="5">
        <f t="shared" ca="1" si="82"/>
        <v>6.5176860111390662E-3</v>
      </c>
      <c r="CO29" s="5">
        <f t="shared" ca="1" si="83"/>
        <v>6.6349808150782414E-3</v>
      </c>
      <c r="CP29" s="5">
        <f t="shared" ca="1" si="84"/>
        <v>6.9143676379801906E-3</v>
      </c>
      <c r="CQ29" s="5">
        <f t="shared" ca="1" si="85"/>
        <v>6.872022522858354E-3</v>
      </c>
      <c r="CR29" s="5">
        <f t="shared" ca="1" si="86"/>
        <v>6.8070079522227177E-3</v>
      </c>
      <c r="CS29" s="5">
        <f t="shared" ca="1" si="87"/>
        <v>6.4340524147100207E-3</v>
      </c>
      <c r="CT29" s="5">
        <f t="shared" ca="1" si="88"/>
        <v>6.7347052062789363E-3</v>
      </c>
      <c r="CU29" s="5">
        <f t="shared" ca="1" si="89"/>
        <v>6.2719302362909497E-3</v>
      </c>
      <c r="CV29" s="5">
        <f t="shared" ca="1" si="90"/>
        <v>6.2359795720463521E-3</v>
      </c>
      <c r="CW29" s="5">
        <f t="shared" ca="1" si="91"/>
        <v>6.3367300590646495E-3</v>
      </c>
      <c r="CX29" s="5">
        <f t="shared" ca="1" si="92"/>
        <v>6.1824196921637861E-3</v>
      </c>
      <c r="CY29" s="5">
        <f t="shared" ca="1" si="93"/>
        <v>6.413781528845865E-3</v>
      </c>
      <c r="CZ29" s="5">
        <f t="shared" ca="1" si="94"/>
        <v>6.2970097439059933E-3</v>
      </c>
      <c r="DA29" s="5">
        <f t="shared" ca="1" si="95"/>
        <v>6.6125721144832993E-3</v>
      </c>
      <c r="DB29" s="5">
        <f t="shared" ca="1" si="96"/>
        <v>6.6761898224024195E-3</v>
      </c>
      <c r="DC29" s="5">
        <f t="shared" ca="1" si="97"/>
        <v>6.5011840549061579E-3</v>
      </c>
      <c r="DD29" s="5">
        <f t="shared" ca="1" si="98"/>
        <v>6.5039176357727839E-3</v>
      </c>
      <c r="DE29" s="5">
        <f t="shared" ca="1" si="99"/>
        <v>6.6335989484353737E-3</v>
      </c>
      <c r="DF29" s="5">
        <f t="shared" ca="1" si="100"/>
        <v>6.4806229295440512E-3</v>
      </c>
      <c r="DG29" s="5">
        <f t="shared" ca="1" si="101"/>
        <v>6.3091254543268154E-3</v>
      </c>
      <c r="DH29" s="5">
        <f t="shared" ca="1" si="102"/>
        <v>6.5944349556133798E-3</v>
      </c>
      <c r="DI29" s="5">
        <f t="shared" ca="1" si="103"/>
        <v>6.4031921923813776E-3</v>
      </c>
      <c r="DJ29" s="5">
        <f t="shared" ca="1" si="104"/>
        <v>6.5608707853240297E-3</v>
      </c>
    </row>
    <row r="30" spans="1:114" outlineLevel="1" x14ac:dyDescent="0.2">
      <c r="E30" s="32">
        <v>45383</v>
      </c>
      <c r="F30" s="9">
        <v>2320.4999999999995</v>
      </c>
      <c r="G30" s="5">
        <f t="shared" ca="1" si="0"/>
        <v>-8.8001099869395166E-3</v>
      </c>
      <c r="H30" s="5">
        <f t="shared" ca="1" si="1"/>
        <v>6.4276484124065787E-3</v>
      </c>
      <c r="I30" s="9">
        <f t="shared" ca="1" si="2"/>
        <v>55122.300654544983</v>
      </c>
      <c r="K30" s="6">
        <v>26</v>
      </c>
      <c r="L30" s="5">
        <v>362462.56047294516</v>
      </c>
      <c r="N30" s="32">
        <v>45352</v>
      </c>
      <c r="O30" s="5">
        <f t="shared" ca="1" si="5"/>
        <v>6.8871258712802294E-3</v>
      </c>
      <c r="P30" s="5">
        <f t="shared" ca="1" si="6"/>
        <v>6.4117940115095773E-3</v>
      </c>
      <c r="Q30" s="5">
        <f t="shared" ca="1" si="7"/>
        <v>6.7733356340526994E-3</v>
      </c>
      <c r="R30" s="5">
        <f t="shared" ca="1" si="8"/>
        <v>6.691149051471214E-3</v>
      </c>
      <c r="S30" s="5">
        <f t="shared" ca="1" si="9"/>
        <v>6.6282855641339568E-3</v>
      </c>
      <c r="T30" s="5">
        <f t="shared" ca="1" si="10"/>
        <v>6.02033410174296E-3</v>
      </c>
      <c r="U30" s="5">
        <f t="shared" ca="1" si="11"/>
        <v>6.2228659399307705E-3</v>
      </c>
      <c r="V30" s="5">
        <f t="shared" ca="1" si="12"/>
        <v>6.7068933630875212E-3</v>
      </c>
      <c r="W30" s="5">
        <f t="shared" ca="1" si="13"/>
        <v>6.5060004756492314E-3</v>
      </c>
      <c r="X30" s="5">
        <f t="shared" ca="1" si="14"/>
        <v>6.5101566573744964E-3</v>
      </c>
      <c r="Y30" s="5">
        <f t="shared" ca="1" si="15"/>
        <v>6.5501619040504505E-3</v>
      </c>
      <c r="Z30" s="5">
        <f t="shared" ca="1" si="16"/>
        <v>6.603767966091521E-3</v>
      </c>
      <c r="AA30" s="5">
        <f t="shared" ca="1" si="17"/>
        <v>6.6105228001731688E-3</v>
      </c>
      <c r="AB30" s="5">
        <f t="shared" ca="1" si="18"/>
        <v>6.9533993214982185E-3</v>
      </c>
      <c r="AC30" s="5">
        <f t="shared" ca="1" si="19"/>
        <v>6.8692665671570511E-3</v>
      </c>
      <c r="AD30" s="5">
        <f t="shared" ca="1" si="20"/>
        <v>6.9126041393095684E-3</v>
      </c>
      <c r="AE30" s="5">
        <f t="shared" ca="1" si="21"/>
        <v>6.8112707986075173E-3</v>
      </c>
      <c r="AF30" s="5">
        <f t="shared" ca="1" si="22"/>
        <v>6.2257965869195473E-3</v>
      </c>
      <c r="AG30" s="5">
        <f t="shared" ca="1" si="23"/>
        <v>6.3907385437141397E-3</v>
      </c>
      <c r="AH30" s="5">
        <f t="shared" ca="1" si="24"/>
        <v>6.4091349375027763E-3</v>
      </c>
      <c r="AI30" s="5">
        <f t="shared" ca="1" si="25"/>
        <v>6.5879313170262377E-3</v>
      </c>
      <c r="AJ30" s="5">
        <f t="shared" ca="1" si="26"/>
        <v>6.7818991422928252E-3</v>
      </c>
      <c r="AK30" s="5">
        <f t="shared" ca="1" si="27"/>
        <v>6.7513468508986043E-3</v>
      </c>
      <c r="AL30" s="5">
        <f t="shared" ca="1" si="28"/>
        <v>6.3608931135768418E-3</v>
      </c>
      <c r="AM30" s="5">
        <f t="shared" ca="1" si="29"/>
        <v>6.4543393733788677E-3</v>
      </c>
      <c r="AN30" s="5">
        <f t="shared" ca="1" si="30"/>
        <v>6.5487501481879947E-3</v>
      </c>
      <c r="AO30" s="5">
        <f t="shared" ca="1" si="31"/>
        <v>6.8101068711260366E-3</v>
      </c>
      <c r="AP30" s="5">
        <f t="shared" ca="1" si="32"/>
        <v>6.2411900942184054E-3</v>
      </c>
      <c r="AQ30" s="5">
        <f t="shared" ca="1" si="33"/>
        <v>6.4403848667630159E-3</v>
      </c>
      <c r="AR30" s="5">
        <f t="shared" ca="1" si="34"/>
        <v>6.51684269669928E-3</v>
      </c>
      <c r="AS30" s="5">
        <f t="shared" ca="1" si="35"/>
        <v>6.6255842469815727E-3</v>
      </c>
      <c r="AT30" s="5">
        <f t="shared" ca="1" si="36"/>
        <v>6.4395110296084097E-3</v>
      </c>
      <c r="AU30" s="5">
        <f t="shared" ca="1" si="37"/>
        <v>6.5095089010491205E-3</v>
      </c>
      <c r="AV30" s="5">
        <f t="shared" ca="1" si="38"/>
        <v>6.3974409482006412E-3</v>
      </c>
      <c r="AW30" s="5">
        <f t="shared" ca="1" si="39"/>
        <v>6.7160531826576534E-3</v>
      </c>
      <c r="AX30" s="5">
        <f t="shared" ca="1" si="40"/>
        <v>6.193221126701046E-3</v>
      </c>
      <c r="AY30" s="5">
        <f t="shared" ca="1" si="41"/>
        <v>6.8166421474935386E-3</v>
      </c>
      <c r="AZ30" s="5">
        <f t="shared" ca="1" si="42"/>
        <v>6.4399231558943983E-3</v>
      </c>
      <c r="BA30" s="5">
        <f t="shared" ca="1" si="43"/>
        <v>6.465920585759506E-3</v>
      </c>
      <c r="BB30" s="5">
        <f t="shared" ca="1" si="44"/>
        <v>6.4833301256442995E-3</v>
      </c>
      <c r="BC30" s="5">
        <f t="shared" ca="1" si="45"/>
        <v>6.2074125553116602E-3</v>
      </c>
      <c r="BD30" s="5">
        <f t="shared" ca="1" si="46"/>
        <v>6.4963469068273433E-3</v>
      </c>
      <c r="BE30" s="5">
        <f t="shared" ca="1" si="47"/>
        <v>6.6878298190437757E-3</v>
      </c>
      <c r="BF30" s="5">
        <f t="shared" ca="1" si="48"/>
        <v>6.4054699836553599E-3</v>
      </c>
      <c r="BG30" s="5">
        <f t="shared" ca="1" si="49"/>
        <v>6.4140472504023464E-3</v>
      </c>
      <c r="BH30" s="5">
        <f t="shared" ca="1" si="50"/>
        <v>6.401384555541346E-3</v>
      </c>
      <c r="BI30" s="5">
        <f t="shared" ca="1" si="51"/>
        <v>6.9451641832774221E-3</v>
      </c>
      <c r="BJ30" s="5">
        <f t="shared" ca="1" si="52"/>
        <v>6.686457569922412E-3</v>
      </c>
      <c r="BK30" s="5">
        <f t="shared" ca="1" si="53"/>
        <v>6.6997670591324391E-3</v>
      </c>
      <c r="BL30" s="5">
        <f t="shared" ca="1" si="54"/>
        <v>6.2983200939538643E-3</v>
      </c>
      <c r="BM30" s="5">
        <f t="shared" ca="1" si="55"/>
        <v>6.1437628868841387E-3</v>
      </c>
      <c r="BN30" s="5">
        <f t="shared" ca="1" si="56"/>
        <v>6.6681230501384981E-3</v>
      </c>
      <c r="BO30" s="5">
        <f t="shared" ca="1" si="57"/>
        <v>6.3830007391522375E-3</v>
      </c>
      <c r="BP30" s="5">
        <f t="shared" ca="1" si="58"/>
        <v>6.5229963651370418E-3</v>
      </c>
      <c r="BQ30" s="5">
        <f t="shared" ca="1" si="59"/>
        <v>6.2813487399488036E-3</v>
      </c>
      <c r="BR30" s="5">
        <f t="shared" ca="1" si="60"/>
        <v>6.7006790301803593E-3</v>
      </c>
      <c r="BS30" s="5">
        <f t="shared" ca="1" si="61"/>
        <v>6.6702627798810466E-3</v>
      </c>
      <c r="BT30" s="5">
        <f t="shared" ca="1" si="62"/>
        <v>6.2724968767897682E-3</v>
      </c>
      <c r="BU30" s="5">
        <f t="shared" ca="1" si="63"/>
        <v>6.6694259035708706E-3</v>
      </c>
      <c r="BV30" s="5">
        <f t="shared" ca="1" si="64"/>
        <v>6.7225446121576653E-3</v>
      </c>
      <c r="BW30" s="5">
        <f t="shared" ca="1" si="65"/>
        <v>6.884197732187047E-3</v>
      </c>
      <c r="BX30" s="5">
        <f t="shared" ca="1" si="66"/>
        <v>6.7341187780048887E-3</v>
      </c>
      <c r="BY30" s="5">
        <f t="shared" ca="1" si="67"/>
        <v>6.2846893860973325E-3</v>
      </c>
      <c r="BZ30" s="5">
        <f t="shared" ca="1" si="68"/>
        <v>6.435736624439292E-3</v>
      </c>
      <c r="CA30" s="5">
        <f t="shared" ca="1" si="69"/>
        <v>5.913929544404172E-3</v>
      </c>
      <c r="CB30" s="5">
        <f t="shared" ca="1" si="70"/>
        <v>6.3074803207433632E-3</v>
      </c>
      <c r="CC30" s="5">
        <f t="shared" ca="1" si="71"/>
        <v>6.640354122067235E-3</v>
      </c>
      <c r="CD30" s="5">
        <f t="shared" ca="1" si="72"/>
        <v>6.2956116083653542E-3</v>
      </c>
      <c r="CE30" s="5">
        <f t="shared" ca="1" si="73"/>
        <v>6.5111996895354457E-3</v>
      </c>
      <c r="CF30" s="5">
        <f t="shared" ca="1" si="74"/>
        <v>6.6037934981588477E-3</v>
      </c>
      <c r="CG30" s="5">
        <f t="shared" ca="1" si="75"/>
        <v>6.4866920524312014E-3</v>
      </c>
      <c r="CH30" s="5">
        <f t="shared" ca="1" si="76"/>
        <v>6.4281422062430066E-3</v>
      </c>
      <c r="CI30" s="5">
        <f t="shared" ca="1" si="77"/>
        <v>6.5534564880142254E-3</v>
      </c>
      <c r="CJ30" s="5">
        <f t="shared" ca="1" si="78"/>
        <v>6.7772494569165245E-3</v>
      </c>
      <c r="CK30" s="5">
        <f t="shared" ca="1" si="79"/>
        <v>6.4971549374053415E-3</v>
      </c>
      <c r="CL30" s="5">
        <f t="shared" ca="1" si="80"/>
        <v>6.4722411668282926E-3</v>
      </c>
      <c r="CM30" s="5">
        <f t="shared" ca="1" si="81"/>
        <v>6.5577151606309985E-3</v>
      </c>
      <c r="CN30" s="5">
        <f t="shared" ca="1" si="82"/>
        <v>6.475047265115874E-3</v>
      </c>
      <c r="CO30" s="5">
        <f t="shared" ca="1" si="83"/>
        <v>6.6995427916791642E-3</v>
      </c>
      <c r="CP30" s="5">
        <f t="shared" ca="1" si="84"/>
        <v>6.9322955403082719E-3</v>
      </c>
      <c r="CQ30" s="5">
        <f t="shared" ca="1" si="85"/>
        <v>6.91756471304634E-3</v>
      </c>
      <c r="CR30" s="5">
        <f t="shared" ca="1" si="86"/>
        <v>6.8813118156713215E-3</v>
      </c>
      <c r="CS30" s="5">
        <f t="shared" ca="1" si="87"/>
        <v>6.4490530902638517E-3</v>
      </c>
      <c r="CT30" s="5">
        <f t="shared" ca="1" si="88"/>
        <v>6.770800579577403E-3</v>
      </c>
      <c r="CU30" s="5">
        <f t="shared" ca="1" si="89"/>
        <v>6.2241166773435042E-3</v>
      </c>
      <c r="CV30" s="5">
        <f t="shared" ca="1" si="90"/>
        <v>6.2250962158196905E-3</v>
      </c>
      <c r="CW30" s="5">
        <f t="shared" ca="1" si="91"/>
        <v>6.3561335792073886E-3</v>
      </c>
      <c r="CX30" s="5">
        <f t="shared" ca="1" si="92"/>
        <v>6.1727724446509116E-3</v>
      </c>
      <c r="CY30" s="5">
        <f t="shared" ca="1" si="93"/>
        <v>6.4877543734987954E-3</v>
      </c>
      <c r="CZ30" s="5">
        <f t="shared" ca="1" si="94"/>
        <v>6.3186105560777452E-3</v>
      </c>
      <c r="DA30" s="5">
        <f t="shared" ca="1" si="95"/>
        <v>6.5814144376567189E-3</v>
      </c>
      <c r="DB30" s="5">
        <f t="shared" ca="1" si="96"/>
        <v>6.6990871901141027E-3</v>
      </c>
      <c r="DC30" s="5">
        <f t="shared" ca="1" si="97"/>
        <v>6.5357556310270968E-3</v>
      </c>
      <c r="DD30" s="5">
        <f t="shared" ca="1" si="98"/>
        <v>6.4019400230603193E-3</v>
      </c>
      <c r="DE30" s="5">
        <f t="shared" ca="1" si="99"/>
        <v>6.5996434974341499E-3</v>
      </c>
      <c r="DF30" s="5">
        <f t="shared" ca="1" si="100"/>
        <v>6.4299772226050463E-3</v>
      </c>
      <c r="DG30" s="5">
        <f t="shared" ca="1" si="101"/>
        <v>6.3338661591176831E-3</v>
      </c>
      <c r="DH30" s="5">
        <f t="shared" ca="1" si="102"/>
        <v>6.6042805436817252E-3</v>
      </c>
      <c r="DI30" s="5">
        <f t="shared" ca="1" si="103"/>
        <v>6.3886338813670092E-3</v>
      </c>
      <c r="DJ30" s="5">
        <f t="shared" ca="1" si="104"/>
        <v>6.5787511817108008E-3</v>
      </c>
    </row>
    <row r="31" spans="1:114" outlineLevel="1" x14ac:dyDescent="0.2">
      <c r="E31" s="32">
        <v>45413</v>
      </c>
      <c r="F31" s="9">
        <v>2320.4999999999995</v>
      </c>
      <c r="G31" s="5">
        <f t="shared" ca="1" si="0"/>
        <v>3.509112091022E-2</v>
      </c>
      <c r="H31" s="5">
        <f t="shared" ca="1" si="1"/>
        <v>6.4285237214152637E-3</v>
      </c>
      <c r="I31" s="9">
        <f t="shared" ca="1" si="2"/>
        <v>57472.338150387171</v>
      </c>
      <c r="K31" s="6">
        <v>27</v>
      </c>
      <c r="L31" s="5">
        <v>362208.68168571865</v>
      </c>
      <c r="N31" s="32">
        <v>45383</v>
      </c>
      <c r="O31" s="5">
        <f t="shared" ca="1" si="5"/>
        <v>6.8695220433427334E-3</v>
      </c>
      <c r="P31" s="5">
        <f t="shared" ca="1" si="6"/>
        <v>6.3752066198183759E-3</v>
      </c>
      <c r="Q31" s="5">
        <f t="shared" ca="1" si="7"/>
        <v>6.7708206754463615E-3</v>
      </c>
      <c r="R31" s="5">
        <f t="shared" ca="1" si="8"/>
        <v>6.5757629428914678E-3</v>
      </c>
      <c r="S31" s="5">
        <f t="shared" ca="1" si="9"/>
        <v>6.6761704035812781E-3</v>
      </c>
      <c r="T31" s="5">
        <f t="shared" ca="1" si="10"/>
        <v>6.0037808052253649E-3</v>
      </c>
      <c r="U31" s="5">
        <f t="shared" ca="1" si="11"/>
        <v>6.238377675210678E-3</v>
      </c>
      <c r="V31" s="5">
        <f t="shared" ca="1" si="12"/>
        <v>6.7014253610009067E-3</v>
      </c>
      <c r="W31" s="5">
        <f t="shared" ca="1" si="13"/>
        <v>6.5305284211497183E-3</v>
      </c>
      <c r="X31" s="5">
        <f t="shared" ca="1" si="14"/>
        <v>6.4734781746608521E-3</v>
      </c>
      <c r="Y31" s="5">
        <f t="shared" ca="1" si="15"/>
        <v>6.5677513284059953E-3</v>
      </c>
      <c r="Z31" s="5">
        <f t="shared" ca="1" si="16"/>
        <v>6.5521480637985028E-3</v>
      </c>
      <c r="AA31" s="5">
        <f t="shared" ca="1" si="17"/>
        <v>6.5987621726861477E-3</v>
      </c>
      <c r="AB31" s="5">
        <f t="shared" ca="1" si="18"/>
        <v>6.9851778655682919E-3</v>
      </c>
      <c r="AC31" s="5">
        <f t="shared" ca="1" si="19"/>
        <v>6.844998886615921E-3</v>
      </c>
      <c r="AD31" s="5">
        <f t="shared" ca="1" si="20"/>
        <v>6.9027690544319264E-3</v>
      </c>
      <c r="AE31" s="5">
        <f t="shared" ca="1" si="21"/>
        <v>6.8296812451179769E-3</v>
      </c>
      <c r="AF31" s="5">
        <f t="shared" ca="1" si="22"/>
        <v>6.1994041801836991E-3</v>
      </c>
      <c r="AG31" s="5">
        <f t="shared" ca="1" si="23"/>
        <v>6.3709739130824563E-3</v>
      </c>
      <c r="AH31" s="5">
        <f t="shared" ca="1" si="24"/>
        <v>6.4117814648822742E-3</v>
      </c>
      <c r="AI31" s="5">
        <f t="shared" ca="1" si="25"/>
        <v>6.6156861317413574E-3</v>
      </c>
      <c r="AJ31" s="5">
        <f t="shared" ca="1" si="26"/>
        <v>6.7343013009285814E-3</v>
      </c>
      <c r="AK31" s="5">
        <f t="shared" ca="1" si="27"/>
        <v>6.7032408692038487E-3</v>
      </c>
      <c r="AL31" s="5">
        <f t="shared" ca="1" si="28"/>
        <v>6.3953544215979248E-3</v>
      </c>
      <c r="AM31" s="5">
        <f t="shared" ca="1" si="29"/>
        <v>6.3828714266150758E-3</v>
      </c>
      <c r="AN31" s="5">
        <f t="shared" ca="1" si="30"/>
        <v>6.6160876500500126E-3</v>
      </c>
      <c r="AO31" s="5">
        <f t="shared" ca="1" si="31"/>
        <v>6.8406926994737426E-3</v>
      </c>
      <c r="AP31" s="5">
        <f t="shared" ca="1" si="32"/>
        <v>6.2849748757374396E-3</v>
      </c>
      <c r="AQ31" s="5">
        <f t="shared" ca="1" si="33"/>
        <v>6.4723236283557428E-3</v>
      </c>
      <c r="AR31" s="5">
        <f t="shared" ca="1" si="34"/>
        <v>6.5228997113421228E-3</v>
      </c>
      <c r="AS31" s="5">
        <f t="shared" ca="1" si="35"/>
        <v>6.6436026756497299E-3</v>
      </c>
      <c r="AT31" s="5">
        <f t="shared" ca="1" si="36"/>
        <v>6.4177700383355324E-3</v>
      </c>
      <c r="AU31" s="5">
        <f t="shared" ca="1" si="37"/>
        <v>6.5133572116385929E-3</v>
      </c>
      <c r="AV31" s="5">
        <f t="shared" ca="1" si="38"/>
        <v>6.3648986283678646E-3</v>
      </c>
      <c r="AW31" s="5">
        <f t="shared" ca="1" si="39"/>
        <v>6.6788517729660666E-3</v>
      </c>
      <c r="AX31" s="5">
        <f t="shared" ca="1" si="40"/>
        <v>6.2225859485030184E-3</v>
      </c>
      <c r="AY31" s="5">
        <f t="shared" ca="1" si="41"/>
        <v>6.8119361843474238E-3</v>
      </c>
      <c r="AZ31" s="5">
        <f t="shared" ca="1" si="42"/>
        <v>6.5295854422718052E-3</v>
      </c>
      <c r="BA31" s="5">
        <f t="shared" ca="1" si="43"/>
        <v>6.4488883707337135E-3</v>
      </c>
      <c r="BB31" s="5">
        <f t="shared" ca="1" si="44"/>
        <v>6.5200498752576597E-3</v>
      </c>
      <c r="BC31" s="5">
        <f t="shared" ca="1" si="45"/>
        <v>6.1838215183284929E-3</v>
      </c>
      <c r="BD31" s="5">
        <f t="shared" ca="1" si="46"/>
        <v>6.4924374701698772E-3</v>
      </c>
      <c r="BE31" s="5">
        <f t="shared" ca="1" si="47"/>
        <v>6.7771241539225299E-3</v>
      </c>
      <c r="BF31" s="5">
        <f t="shared" ca="1" si="48"/>
        <v>6.3786703652136435E-3</v>
      </c>
      <c r="BG31" s="5">
        <f t="shared" ca="1" si="49"/>
        <v>6.4055335525845915E-3</v>
      </c>
      <c r="BH31" s="5">
        <f t="shared" ca="1" si="50"/>
        <v>6.3864983978970365E-3</v>
      </c>
      <c r="BI31" s="5">
        <f t="shared" ca="1" si="51"/>
        <v>6.9679396121105942E-3</v>
      </c>
      <c r="BJ31" s="5">
        <f t="shared" ca="1" si="52"/>
        <v>6.7066911376099537E-3</v>
      </c>
      <c r="BK31" s="5">
        <f t="shared" ca="1" si="53"/>
        <v>6.6915265273053493E-3</v>
      </c>
      <c r="BL31" s="5">
        <f t="shared" ca="1" si="54"/>
        <v>6.300529422795834E-3</v>
      </c>
      <c r="BM31" s="5">
        <f t="shared" ca="1" si="55"/>
        <v>6.1954202641688119E-3</v>
      </c>
      <c r="BN31" s="5">
        <f t="shared" ca="1" si="56"/>
        <v>6.6427224228574194E-3</v>
      </c>
      <c r="BO31" s="5">
        <f t="shared" ca="1" si="57"/>
        <v>6.3945508212145865E-3</v>
      </c>
      <c r="BP31" s="5">
        <f t="shared" ca="1" si="58"/>
        <v>6.5300552226946534E-3</v>
      </c>
      <c r="BQ31" s="5">
        <f t="shared" ca="1" si="59"/>
        <v>6.2373930107745062E-3</v>
      </c>
      <c r="BR31" s="5">
        <f t="shared" ca="1" si="60"/>
        <v>6.6651061924814037E-3</v>
      </c>
      <c r="BS31" s="5">
        <f t="shared" ca="1" si="61"/>
        <v>6.6254890880498817E-3</v>
      </c>
      <c r="BT31" s="5">
        <f t="shared" ca="1" si="62"/>
        <v>6.2860580215700554E-3</v>
      </c>
      <c r="BU31" s="5">
        <f t="shared" ca="1" si="63"/>
        <v>6.7421094718913901E-3</v>
      </c>
      <c r="BV31" s="5">
        <f t="shared" ca="1" si="64"/>
        <v>6.7884036391751253E-3</v>
      </c>
      <c r="BW31" s="5">
        <f t="shared" ca="1" si="65"/>
        <v>6.8254193540406268E-3</v>
      </c>
      <c r="BX31" s="5">
        <f t="shared" ca="1" si="66"/>
        <v>6.7249225905143279E-3</v>
      </c>
      <c r="BY31" s="5">
        <f t="shared" ca="1" si="67"/>
        <v>6.2420482197395009E-3</v>
      </c>
      <c r="BZ31" s="5">
        <f t="shared" ca="1" si="68"/>
        <v>6.3796474829789342E-3</v>
      </c>
      <c r="CA31" s="5">
        <f t="shared" ca="1" si="69"/>
        <v>5.904103314192004E-3</v>
      </c>
      <c r="CB31" s="5">
        <f t="shared" ca="1" si="70"/>
        <v>6.4123515647592222E-3</v>
      </c>
      <c r="CC31" s="5">
        <f t="shared" ca="1" si="71"/>
        <v>6.616801448103715E-3</v>
      </c>
      <c r="CD31" s="5">
        <f t="shared" ca="1" si="72"/>
        <v>6.2864161591524451E-3</v>
      </c>
      <c r="CE31" s="5">
        <f t="shared" ca="1" si="73"/>
        <v>6.4592989885343339E-3</v>
      </c>
      <c r="CF31" s="5">
        <f t="shared" ca="1" si="74"/>
        <v>6.7031303166963287E-3</v>
      </c>
      <c r="CG31" s="5">
        <f t="shared" ca="1" si="75"/>
        <v>6.4580441988162053E-3</v>
      </c>
      <c r="CH31" s="5">
        <f t="shared" ca="1" si="76"/>
        <v>6.3753288853783214E-3</v>
      </c>
      <c r="CI31" s="5">
        <f t="shared" ca="1" si="77"/>
        <v>6.627601504648464E-3</v>
      </c>
      <c r="CJ31" s="5">
        <f t="shared" ca="1" si="78"/>
        <v>6.7201192257172349E-3</v>
      </c>
      <c r="CK31" s="5">
        <f t="shared" ca="1" si="79"/>
        <v>6.4770171935551596E-3</v>
      </c>
      <c r="CL31" s="5">
        <f t="shared" ca="1" si="80"/>
        <v>6.5008029054310166E-3</v>
      </c>
      <c r="CM31" s="5">
        <f t="shared" ca="1" si="81"/>
        <v>6.6383867641060116E-3</v>
      </c>
      <c r="CN31" s="5">
        <f t="shared" ca="1" si="82"/>
        <v>6.4799941114422558E-3</v>
      </c>
      <c r="CO31" s="5">
        <f t="shared" ca="1" si="83"/>
        <v>6.6448786514713672E-3</v>
      </c>
      <c r="CP31" s="5">
        <f t="shared" ca="1" si="84"/>
        <v>6.929006695234656E-3</v>
      </c>
      <c r="CQ31" s="5">
        <f t="shared" ca="1" si="85"/>
        <v>6.8394486959901159E-3</v>
      </c>
      <c r="CR31" s="5">
        <f t="shared" ca="1" si="86"/>
        <v>6.8283907008521967E-3</v>
      </c>
      <c r="CS31" s="5">
        <f t="shared" ca="1" si="87"/>
        <v>6.4915341708235395E-3</v>
      </c>
      <c r="CT31" s="5">
        <f t="shared" ca="1" si="88"/>
        <v>6.7753441385634185E-3</v>
      </c>
      <c r="CU31" s="5">
        <f t="shared" ca="1" si="89"/>
        <v>6.3372062441598978E-3</v>
      </c>
      <c r="CV31" s="5">
        <f t="shared" ca="1" si="90"/>
        <v>6.2194401992983206E-3</v>
      </c>
      <c r="CW31" s="5">
        <f t="shared" ca="1" si="91"/>
        <v>6.3545954595393781E-3</v>
      </c>
      <c r="CX31" s="5">
        <f t="shared" ca="1" si="92"/>
        <v>6.1807117704060412E-3</v>
      </c>
      <c r="CY31" s="5">
        <f t="shared" ca="1" si="93"/>
        <v>6.4796938523897906E-3</v>
      </c>
      <c r="CZ31" s="5">
        <f t="shared" ca="1" si="94"/>
        <v>6.3739318263075695E-3</v>
      </c>
      <c r="DA31" s="5">
        <f t="shared" ca="1" si="95"/>
        <v>6.6219904110637728E-3</v>
      </c>
      <c r="DB31" s="5">
        <f t="shared" ca="1" si="96"/>
        <v>6.6491936383661718E-3</v>
      </c>
      <c r="DC31" s="5">
        <f t="shared" ca="1" si="97"/>
        <v>6.570496873007408E-3</v>
      </c>
      <c r="DD31" s="5">
        <f t="shared" ca="1" si="98"/>
        <v>6.4137327635035487E-3</v>
      </c>
      <c r="DE31" s="5">
        <f t="shared" ca="1" si="99"/>
        <v>6.6146571729643732E-3</v>
      </c>
      <c r="DF31" s="5">
        <f t="shared" ca="1" si="100"/>
        <v>6.4237984500471286E-3</v>
      </c>
      <c r="DG31" s="5">
        <f t="shared" ca="1" si="101"/>
        <v>6.3808405217348051E-3</v>
      </c>
      <c r="DH31" s="5">
        <f t="shared" ca="1" si="102"/>
        <v>6.6111554042647446E-3</v>
      </c>
      <c r="DI31" s="5">
        <f t="shared" ca="1" si="103"/>
        <v>6.5015382966627051E-3</v>
      </c>
      <c r="DJ31" s="5">
        <f t="shared" ca="1" si="104"/>
        <v>6.5844052096512874E-3</v>
      </c>
    </row>
    <row r="32" spans="1:114" outlineLevel="1" x14ac:dyDescent="0.2">
      <c r="E32" s="32">
        <v>45444</v>
      </c>
      <c r="F32" s="9">
        <v>2320.4999999999995</v>
      </c>
      <c r="G32" s="5">
        <f t="shared" ca="1" si="0"/>
        <v>-0.14510743565651169</v>
      </c>
      <c r="H32" s="5">
        <f t="shared" ca="1" si="1"/>
        <v>6.4521888102511311E-3</v>
      </c>
      <c r="I32" s="9">
        <f t="shared" ca="1" si="2"/>
        <v>59823.748324330169</v>
      </c>
      <c r="K32" s="6">
        <v>28</v>
      </c>
      <c r="L32" s="5">
        <v>362370.75369743857</v>
      </c>
      <c r="N32" s="32">
        <v>45413</v>
      </c>
      <c r="O32" s="5">
        <f t="shared" ca="1" si="5"/>
        <v>6.821356194642459E-3</v>
      </c>
      <c r="P32" s="5">
        <f t="shared" ca="1" si="6"/>
        <v>6.4121469460630964E-3</v>
      </c>
      <c r="Q32" s="5">
        <f t="shared" ca="1" si="7"/>
        <v>6.7741986294900941E-3</v>
      </c>
      <c r="R32" s="5">
        <f t="shared" ca="1" si="8"/>
        <v>6.5580102678880784E-3</v>
      </c>
      <c r="S32" s="5">
        <f t="shared" ca="1" si="9"/>
        <v>6.7352977949455871E-3</v>
      </c>
      <c r="T32" s="5">
        <f t="shared" ca="1" si="10"/>
        <v>6.0115373846446806E-3</v>
      </c>
      <c r="U32" s="5">
        <f t="shared" ca="1" si="11"/>
        <v>6.2254805349647386E-3</v>
      </c>
      <c r="V32" s="5">
        <f t="shared" ca="1" si="12"/>
        <v>6.7005452625665835E-3</v>
      </c>
      <c r="W32" s="5">
        <f t="shared" ca="1" si="13"/>
        <v>6.5270041516588663E-3</v>
      </c>
      <c r="X32" s="5">
        <f t="shared" ca="1" si="14"/>
        <v>6.4901252302481758E-3</v>
      </c>
      <c r="Y32" s="5">
        <f t="shared" ca="1" si="15"/>
        <v>6.6060216359105006E-3</v>
      </c>
      <c r="Z32" s="5">
        <f t="shared" ca="1" si="16"/>
        <v>6.5969872269394632E-3</v>
      </c>
      <c r="AA32" s="5">
        <f t="shared" ca="1" si="17"/>
        <v>6.5954847796380178E-3</v>
      </c>
      <c r="AB32" s="5">
        <f t="shared" ca="1" si="18"/>
        <v>7.0582508556360935E-3</v>
      </c>
      <c r="AC32" s="5">
        <f t="shared" ca="1" si="19"/>
        <v>6.9178647382027213E-3</v>
      </c>
      <c r="AD32" s="5">
        <f t="shared" ca="1" si="20"/>
        <v>6.9125441531538616E-3</v>
      </c>
      <c r="AE32" s="5">
        <f t="shared" ca="1" si="21"/>
        <v>6.7535812029412843E-3</v>
      </c>
      <c r="AF32" s="5">
        <f t="shared" ca="1" si="22"/>
        <v>6.2101353608347018E-3</v>
      </c>
      <c r="AG32" s="5">
        <f t="shared" ca="1" si="23"/>
        <v>6.4415116152124847E-3</v>
      </c>
      <c r="AH32" s="5">
        <f t="shared" ca="1" si="24"/>
        <v>6.4252360219559622E-3</v>
      </c>
      <c r="AI32" s="5">
        <f t="shared" ca="1" si="25"/>
        <v>6.5582741757568954E-3</v>
      </c>
      <c r="AJ32" s="5">
        <f t="shared" ca="1" si="26"/>
        <v>6.6680136667998961E-3</v>
      </c>
      <c r="AK32" s="5">
        <f t="shared" ca="1" si="27"/>
        <v>6.7928324523002463E-3</v>
      </c>
      <c r="AL32" s="5">
        <f t="shared" ca="1" si="28"/>
        <v>6.3873184518582508E-3</v>
      </c>
      <c r="AM32" s="5">
        <f t="shared" ca="1" si="29"/>
        <v>6.3305067386961369E-3</v>
      </c>
      <c r="AN32" s="5">
        <f t="shared" ca="1" si="30"/>
        <v>6.6633488986863505E-3</v>
      </c>
      <c r="AO32" s="5">
        <f t="shared" ca="1" si="31"/>
        <v>6.8542474439743407E-3</v>
      </c>
      <c r="AP32" s="5">
        <f t="shared" ca="1" si="32"/>
        <v>6.3136138929273658E-3</v>
      </c>
      <c r="AQ32" s="5">
        <f t="shared" ca="1" si="33"/>
        <v>6.5133723905357209E-3</v>
      </c>
      <c r="AR32" s="5">
        <f t="shared" ca="1" si="34"/>
        <v>6.4289022090060896E-3</v>
      </c>
      <c r="AS32" s="5">
        <f t="shared" ca="1" si="35"/>
        <v>6.7200875886741038E-3</v>
      </c>
      <c r="AT32" s="5">
        <f t="shared" ca="1" si="36"/>
        <v>6.3820673039079769E-3</v>
      </c>
      <c r="AU32" s="5">
        <f t="shared" ca="1" si="37"/>
        <v>6.4485893421976437E-3</v>
      </c>
      <c r="AV32" s="5">
        <f t="shared" ca="1" si="38"/>
        <v>6.387459811516857E-3</v>
      </c>
      <c r="AW32" s="5">
        <f t="shared" ca="1" si="39"/>
        <v>6.7173179897282121E-3</v>
      </c>
      <c r="AX32" s="5">
        <f t="shared" ca="1" si="40"/>
        <v>6.2951905916069665E-3</v>
      </c>
      <c r="AY32" s="5">
        <f t="shared" ca="1" si="41"/>
        <v>6.7681986794535052E-3</v>
      </c>
      <c r="AZ32" s="5">
        <f t="shared" ca="1" si="42"/>
        <v>6.5053984909323034E-3</v>
      </c>
      <c r="BA32" s="5">
        <f t="shared" ca="1" si="43"/>
        <v>6.4981646952432491E-3</v>
      </c>
      <c r="BB32" s="5">
        <f t="shared" ca="1" si="44"/>
        <v>6.5198458438509594E-3</v>
      </c>
      <c r="BC32" s="5">
        <f t="shared" ca="1" si="45"/>
        <v>6.1876712413477244E-3</v>
      </c>
      <c r="BD32" s="5">
        <f t="shared" ca="1" si="46"/>
        <v>6.5272889454927752E-3</v>
      </c>
      <c r="BE32" s="5">
        <f t="shared" ca="1" si="47"/>
        <v>6.7616301924708633E-3</v>
      </c>
      <c r="BF32" s="5">
        <f t="shared" ca="1" si="48"/>
        <v>6.4130856092505144E-3</v>
      </c>
      <c r="BG32" s="5">
        <f t="shared" ca="1" si="49"/>
        <v>6.3624891224241314E-3</v>
      </c>
      <c r="BH32" s="5">
        <f t="shared" ca="1" si="50"/>
        <v>6.4112840274693442E-3</v>
      </c>
      <c r="BI32" s="5">
        <f t="shared" ca="1" si="51"/>
        <v>6.986501626929837E-3</v>
      </c>
      <c r="BJ32" s="5">
        <f t="shared" ca="1" si="52"/>
        <v>6.6228965195396878E-3</v>
      </c>
      <c r="BK32" s="5">
        <f t="shared" ca="1" si="53"/>
        <v>6.7469929465296691E-3</v>
      </c>
      <c r="BL32" s="5">
        <f t="shared" ca="1" si="54"/>
        <v>6.3207981251138011E-3</v>
      </c>
      <c r="BM32" s="5">
        <f t="shared" ca="1" si="55"/>
        <v>6.1591685933449639E-3</v>
      </c>
      <c r="BN32" s="5">
        <f t="shared" ca="1" si="56"/>
        <v>6.6011688329090882E-3</v>
      </c>
      <c r="BO32" s="5">
        <f t="shared" ca="1" si="57"/>
        <v>6.3764907406194324E-3</v>
      </c>
      <c r="BP32" s="5">
        <f t="shared" ca="1" si="58"/>
        <v>6.4986823859510719E-3</v>
      </c>
      <c r="BQ32" s="5">
        <f t="shared" ca="1" si="59"/>
        <v>6.2246909586183884E-3</v>
      </c>
      <c r="BR32" s="5">
        <f t="shared" ca="1" si="60"/>
        <v>6.6601374660297296E-3</v>
      </c>
      <c r="BS32" s="5">
        <f t="shared" ca="1" si="61"/>
        <v>6.5921535280235016E-3</v>
      </c>
      <c r="BT32" s="5">
        <f t="shared" ca="1" si="62"/>
        <v>6.3320579311111893E-3</v>
      </c>
      <c r="BU32" s="5">
        <f t="shared" ca="1" si="63"/>
        <v>6.6657625550183997E-3</v>
      </c>
      <c r="BV32" s="5">
        <f t="shared" ca="1" si="64"/>
        <v>6.7410682637512459E-3</v>
      </c>
      <c r="BW32" s="5">
        <f t="shared" ca="1" si="65"/>
        <v>6.9620768442776523E-3</v>
      </c>
      <c r="BX32" s="5">
        <f t="shared" ca="1" si="66"/>
        <v>6.8069106915269167E-3</v>
      </c>
      <c r="BY32" s="5">
        <f t="shared" ca="1" si="67"/>
        <v>6.2918028098142634E-3</v>
      </c>
      <c r="BZ32" s="5">
        <f t="shared" ca="1" si="68"/>
        <v>6.405516350408205E-3</v>
      </c>
      <c r="CA32" s="5">
        <f t="shared" ca="1" si="69"/>
        <v>5.8925825236791369E-3</v>
      </c>
      <c r="CB32" s="5">
        <f t="shared" ca="1" si="70"/>
        <v>6.3819888944992003E-3</v>
      </c>
      <c r="CC32" s="5">
        <f t="shared" ca="1" si="71"/>
        <v>6.6225128412741837E-3</v>
      </c>
      <c r="CD32" s="5">
        <f t="shared" ca="1" si="72"/>
        <v>6.3052576121021674E-3</v>
      </c>
      <c r="CE32" s="5">
        <f t="shared" ca="1" si="73"/>
        <v>6.4667234288791351E-3</v>
      </c>
      <c r="CF32" s="5">
        <f t="shared" ca="1" si="74"/>
        <v>6.6761820366517052E-3</v>
      </c>
      <c r="CG32" s="5">
        <f t="shared" ca="1" si="75"/>
        <v>6.5019204636206345E-3</v>
      </c>
      <c r="CH32" s="5">
        <f t="shared" ca="1" si="76"/>
        <v>6.3473112766104659E-3</v>
      </c>
      <c r="CI32" s="5">
        <f t="shared" ca="1" si="77"/>
        <v>6.6293543551304698E-3</v>
      </c>
      <c r="CJ32" s="5">
        <f t="shared" ca="1" si="78"/>
        <v>6.7198409809379848E-3</v>
      </c>
      <c r="CK32" s="5">
        <f t="shared" ca="1" si="79"/>
        <v>6.5051045732432379E-3</v>
      </c>
      <c r="CL32" s="5">
        <f t="shared" ca="1" si="80"/>
        <v>6.5145011763201024E-3</v>
      </c>
      <c r="CM32" s="5">
        <f t="shared" ca="1" si="81"/>
        <v>6.6661766818954388E-3</v>
      </c>
      <c r="CN32" s="5">
        <f t="shared" ca="1" si="82"/>
        <v>6.5165166539447889E-3</v>
      </c>
      <c r="CO32" s="5">
        <f t="shared" ca="1" si="83"/>
        <v>6.6288112631842167E-3</v>
      </c>
      <c r="CP32" s="5">
        <f t="shared" ca="1" si="84"/>
        <v>6.8801315502417118E-3</v>
      </c>
      <c r="CQ32" s="5">
        <f t="shared" ca="1" si="85"/>
        <v>6.8131267059918709E-3</v>
      </c>
      <c r="CR32" s="5">
        <f t="shared" ca="1" si="86"/>
        <v>6.7712382202916666E-3</v>
      </c>
      <c r="CS32" s="5">
        <f t="shared" ca="1" si="87"/>
        <v>6.4982386189344323E-3</v>
      </c>
      <c r="CT32" s="5">
        <f t="shared" ca="1" si="88"/>
        <v>6.7928284437868249E-3</v>
      </c>
      <c r="CU32" s="5">
        <f t="shared" ca="1" si="89"/>
        <v>6.3840235173596204E-3</v>
      </c>
      <c r="CV32" s="5">
        <f t="shared" ca="1" si="90"/>
        <v>6.2621294934008661E-3</v>
      </c>
      <c r="CW32" s="5">
        <f t="shared" ca="1" si="91"/>
        <v>6.3143256551481206E-3</v>
      </c>
      <c r="CX32" s="5">
        <f t="shared" ca="1" si="92"/>
        <v>6.173282177974024E-3</v>
      </c>
      <c r="CY32" s="5">
        <f t="shared" ca="1" si="93"/>
        <v>6.4713322757418571E-3</v>
      </c>
      <c r="CZ32" s="5">
        <f t="shared" ca="1" si="94"/>
        <v>6.4357142232701666E-3</v>
      </c>
      <c r="DA32" s="5">
        <f t="shared" ca="1" si="95"/>
        <v>6.5926731929610276E-3</v>
      </c>
      <c r="DB32" s="5">
        <f t="shared" ca="1" si="96"/>
        <v>6.6384436720143599E-3</v>
      </c>
      <c r="DC32" s="5">
        <f t="shared" ca="1" si="97"/>
        <v>6.6193548452811533E-3</v>
      </c>
      <c r="DD32" s="5">
        <f t="shared" ca="1" si="98"/>
        <v>6.4245599124624943E-3</v>
      </c>
      <c r="DE32" s="5">
        <f t="shared" ca="1" si="99"/>
        <v>6.5825946668314405E-3</v>
      </c>
      <c r="DF32" s="5">
        <f t="shared" ca="1" si="100"/>
        <v>6.4841994089933968E-3</v>
      </c>
      <c r="DG32" s="5">
        <f t="shared" ca="1" si="101"/>
        <v>6.3957157309377016E-3</v>
      </c>
      <c r="DH32" s="5">
        <f t="shared" ca="1" si="102"/>
        <v>6.6015060589269935E-3</v>
      </c>
      <c r="DI32" s="5">
        <f t="shared" ca="1" si="103"/>
        <v>6.4647162274991191E-3</v>
      </c>
      <c r="DJ32" s="5">
        <f t="shared" ca="1" si="104"/>
        <v>6.5481754450343469E-3</v>
      </c>
    </row>
    <row r="33" spans="5:114" outlineLevel="1" x14ac:dyDescent="0.2">
      <c r="E33" s="32">
        <v>45474</v>
      </c>
      <c r="F33" s="9">
        <v>2320.4999999999995</v>
      </c>
      <c r="G33" s="5">
        <f t="shared" ca="1" si="0"/>
        <v>1.7090888679248697E-2</v>
      </c>
      <c r="H33" s="5">
        <f t="shared" ca="1" si="1"/>
        <v>6.3820489311240108E-3</v>
      </c>
      <c r="I33" s="9">
        <f t="shared" ca="1" si="2"/>
        <v>62176.073293855479</v>
      </c>
      <c r="K33" s="6">
        <v>29</v>
      </c>
      <c r="L33" s="5">
        <v>362002.35078264866</v>
      </c>
      <c r="N33" s="32">
        <v>45444</v>
      </c>
      <c r="O33" s="5">
        <f t="shared" ca="1" si="5"/>
        <v>6.7858272376820315E-3</v>
      </c>
      <c r="P33" s="5">
        <f t="shared" ca="1" si="6"/>
        <v>6.4346437912058433E-3</v>
      </c>
      <c r="Q33" s="5">
        <f t="shared" ca="1" si="7"/>
        <v>6.7868069939791527E-3</v>
      </c>
      <c r="R33" s="5">
        <f t="shared" ca="1" si="8"/>
        <v>6.4752823959978159E-3</v>
      </c>
      <c r="S33" s="5">
        <f t="shared" ca="1" si="9"/>
        <v>6.6525010161011342E-3</v>
      </c>
      <c r="T33" s="5">
        <f t="shared" ca="1" si="10"/>
        <v>5.9845088448308133E-3</v>
      </c>
      <c r="U33" s="5">
        <f t="shared" ca="1" si="11"/>
        <v>6.1915310884990485E-3</v>
      </c>
      <c r="V33" s="5">
        <f t="shared" ca="1" si="12"/>
        <v>6.6855329871863657E-3</v>
      </c>
      <c r="W33" s="5">
        <f t="shared" ca="1" si="13"/>
        <v>6.5668616744471555E-3</v>
      </c>
      <c r="X33" s="5">
        <f t="shared" ca="1" si="14"/>
        <v>6.5080746095635142E-3</v>
      </c>
      <c r="Y33" s="5">
        <f t="shared" ca="1" si="15"/>
        <v>6.5264093331316095E-3</v>
      </c>
      <c r="Z33" s="5">
        <f t="shared" ca="1" si="16"/>
        <v>6.6483631064198226E-3</v>
      </c>
      <c r="AA33" s="5">
        <f t="shared" ca="1" si="17"/>
        <v>6.5924798045610298E-3</v>
      </c>
      <c r="AB33" s="5">
        <f t="shared" ca="1" si="18"/>
        <v>7.1655437619253318E-3</v>
      </c>
      <c r="AC33" s="5">
        <f t="shared" ca="1" si="19"/>
        <v>6.9542753969248378E-3</v>
      </c>
      <c r="AD33" s="5">
        <f t="shared" ca="1" si="20"/>
        <v>6.9114823614759612E-3</v>
      </c>
      <c r="AE33" s="5">
        <f t="shared" ca="1" si="21"/>
        <v>6.6663731936913171E-3</v>
      </c>
      <c r="AF33" s="5">
        <f t="shared" ca="1" si="22"/>
        <v>6.2998019332974929E-3</v>
      </c>
      <c r="AG33" s="5">
        <f t="shared" ca="1" si="23"/>
        <v>6.4082186036688062E-3</v>
      </c>
      <c r="AH33" s="5">
        <f t="shared" ca="1" si="24"/>
        <v>6.49445086492217E-3</v>
      </c>
      <c r="AI33" s="5">
        <f t="shared" ca="1" si="25"/>
        <v>6.5509818063356658E-3</v>
      </c>
      <c r="AJ33" s="5">
        <f t="shared" ca="1" si="26"/>
        <v>6.7005718678311765E-3</v>
      </c>
      <c r="AK33" s="5">
        <f t="shared" ca="1" si="27"/>
        <v>6.7819447954162821E-3</v>
      </c>
      <c r="AL33" s="5">
        <f t="shared" ca="1" si="28"/>
        <v>6.3502083404364676E-3</v>
      </c>
      <c r="AM33" s="5">
        <f t="shared" ca="1" si="29"/>
        <v>6.408477346859529E-3</v>
      </c>
      <c r="AN33" s="5">
        <f t="shared" ca="1" si="30"/>
        <v>6.6423715392701418E-3</v>
      </c>
      <c r="AO33" s="5">
        <f t="shared" ca="1" si="31"/>
        <v>6.8860584112841574E-3</v>
      </c>
      <c r="AP33" s="5">
        <f t="shared" ca="1" si="32"/>
        <v>6.2546258723914097E-3</v>
      </c>
      <c r="AQ33" s="5">
        <f t="shared" ca="1" si="33"/>
        <v>6.4945871831149941E-3</v>
      </c>
      <c r="AR33" s="5">
        <f t="shared" ca="1" si="34"/>
        <v>6.4929436605148712E-3</v>
      </c>
      <c r="AS33" s="5">
        <f t="shared" ca="1" si="35"/>
        <v>6.7166296293362385E-3</v>
      </c>
      <c r="AT33" s="5">
        <f t="shared" ca="1" si="36"/>
        <v>6.4262863678780265E-3</v>
      </c>
      <c r="AU33" s="5">
        <f t="shared" ca="1" si="37"/>
        <v>6.4620953765967964E-3</v>
      </c>
      <c r="AV33" s="5">
        <f t="shared" ca="1" si="38"/>
        <v>6.3733764806851948E-3</v>
      </c>
      <c r="AW33" s="5">
        <f t="shared" ca="1" si="39"/>
        <v>6.7333189289432872E-3</v>
      </c>
      <c r="AX33" s="5">
        <f t="shared" ca="1" si="40"/>
        <v>6.2897517643018134E-3</v>
      </c>
      <c r="AY33" s="5">
        <f t="shared" ca="1" si="41"/>
        <v>6.8254214614957894E-3</v>
      </c>
      <c r="AZ33" s="5">
        <f t="shared" ca="1" si="42"/>
        <v>6.5544459121968691E-3</v>
      </c>
      <c r="BA33" s="5">
        <f t="shared" ca="1" si="43"/>
        <v>6.4909788692686012E-3</v>
      </c>
      <c r="BB33" s="5">
        <f t="shared" ca="1" si="44"/>
        <v>6.559150200081426E-3</v>
      </c>
      <c r="BC33" s="5">
        <f t="shared" ca="1" si="45"/>
        <v>6.1007979648338932E-3</v>
      </c>
      <c r="BD33" s="5">
        <f t="shared" ca="1" si="46"/>
        <v>6.5875255095275646E-3</v>
      </c>
      <c r="BE33" s="5">
        <f t="shared" ca="1" si="47"/>
        <v>6.8307431199692552E-3</v>
      </c>
      <c r="BF33" s="5">
        <f t="shared" ca="1" si="48"/>
        <v>6.4331491059653667E-3</v>
      </c>
      <c r="BG33" s="5">
        <f t="shared" ca="1" si="49"/>
        <v>6.3191623294569788E-3</v>
      </c>
      <c r="BH33" s="5">
        <f t="shared" ca="1" si="50"/>
        <v>6.4086324393643835E-3</v>
      </c>
      <c r="BI33" s="5">
        <f t="shared" ca="1" si="51"/>
        <v>7.0705088344351075E-3</v>
      </c>
      <c r="BJ33" s="5">
        <f t="shared" ca="1" si="52"/>
        <v>6.6950769721257934E-3</v>
      </c>
      <c r="BK33" s="5">
        <f t="shared" ca="1" si="53"/>
        <v>6.7292463673491419E-3</v>
      </c>
      <c r="BL33" s="5">
        <f t="shared" ca="1" si="54"/>
        <v>6.3508745146583171E-3</v>
      </c>
      <c r="BM33" s="5">
        <f t="shared" ca="1" si="55"/>
        <v>6.1582783545425729E-3</v>
      </c>
      <c r="BN33" s="5">
        <f t="shared" ca="1" si="56"/>
        <v>6.5928983011932412E-3</v>
      </c>
      <c r="BO33" s="5">
        <f t="shared" ca="1" si="57"/>
        <v>6.4059068586965542E-3</v>
      </c>
      <c r="BP33" s="5">
        <f t="shared" ca="1" si="58"/>
        <v>6.482483660886309E-3</v>
      </c>
      <c r="BQ33" s="5">
        <f t="shared" ca="1" si="59"/>
        <v>6.1493352726529581E-3</v>
      </c>
      <c r="BR33" s="5">
        <f t="shared" ca="1" si="60"/>
        <v>6.7368965467528418E-3</v>
      </c>
      <c r="BS33" s="5">
        <f t="shared" ca="1" si="61"/>
        <v>6.6139648343247802E-3</v>
      </c>
      <c r="BT33" s="5">
        <f t="shared" ca="1" si="62"/>
        <v>6.3365959998392136E-3</v>
      </c>
      <c r="BU33" s="5">
        <f t="shared" ca="1" si="63"/>
        <v>6.6667473372135199E-3</v>
      </c>
      <c r="BV33" s="5">
        <f t="shared" ca="1" si="64"/>
        <v>6.7999438567174835E-3</v>
      </c>
      <c r="BW33" s="5">
        <f t="shared" ca="1" si="65"/>
        <v>6.9678075537364329E-3</v>
      </c>
      <c r="BX33" s="5">
        <f t="shared" ca="1" si="66"/>
        <v>6.8098040696380757E-3</v>
      </c>
      <c r="BY33" s="5">
        <f t="shared" ca="1" si="67"/>
        <v>6.3533133961323962E-3</v>
      </c>
      <c r="BZ33" s="5">
        <f t="shared" ca="1" si="68"/>
        <v>6.4714762023909108E-3</v>
      </c>
      <c r="CA33" s="5">
        <f t="shared" ca="1" si="69"/>
        <v>5.973011831606743E-3</v>
      </c>
      <c r="CB33" s="5">
        <f t="shared" ca="1" si="70"/>
        <v>6.4129318696797199E-3</v>
      </c>
      <c r="CC33" s="5">
        <f t="shared" ca="1" si="71"/>
        <v>6.5752903171516454E-3</v>
      </c>
      <c r="CD33" s="5">
        <f t="shared" ca="1" si="72"/>
        <v>6.2514050531550652E-3</v>
      </c>
      <c r="CE33" s="5">
        <f t="shared" ca="1" si="73"/>
        <v>6.3827502831248877E-3</v>
      </c>
      <c r="CF33" s="5">
        <f t="shared" ca="1" si="74"/>
        <v>6.6832096393174816E-3</v>
      </c>
      <c r="CG33" s="5">
        <f t="shared" ca="1" si="75"/>
        <v>6.5778862259141761E-3</v>
      </c>
      <c r="CH33" s="5">
        <f t="shared" ca="1" si="76"/>
        <v>6.3638937436252202E-3</v>
      </c>
      <c r="CI33" s="5">
        <f t="shared" ca="1" si="77"/>
        <v>6.635460600515489E-3</v>
      </c>
      <c r="CJ33" s="5">
        <f t="shared" ca="1" si="78"/>
        <v>6.7070703288037688E-3</v>
      </c>
      <c r="CK33" s="5">
        <f t="shared" ca="1" si="79"/>
        <v>6.548389678570128E-3</v>
      </c>
      <c r="CL33" s="5">
        <f t="shared" ca="1" si="80"/>
        <v>6.521510279992127E-3</v>
      </c>
      <c r="CM33" s="5">
        <f t="shared" ca="1" si="81"/>
        <v>6.6133672451178533E-3</v>
      </c>
      <c r="CN33" s="5">
        <f t="shared" ca="1" si="82"/>
        <v>6.5370560270896797E-3</v>
      </c>
      <c r="CO33" s="5">
        <f t="shared" ca="1" si="83"/>
        <v>6.6568801153050134E-3</v>
      </c>
      <c r="CP33" s="5">
        <f t="shared" ca="1" si="84"/>
        <v>6.8454069155476499E-3</v>
      </c>
      <c r="CQ33" s="5">
        <f t="shared" ca="1" si="85"/>
        <v>6.8240920090454488E-3</v>
      </c>
      <c r="CR33" s="5">
        <f t="shared" ca="1" si="86"/>
        <v>6.7523553859676379E-3</v>
      </c>
      <c r="CS33" s="5">
        <f t="shared" ca="1" si="87"/>
        <v>6.5265451939883349E-3</v>
      </c>
      <c r="CT33" s="5">
        <f t="shared" ca="1" si="88"/>
        <v>6.8119485036609488E-3</v>
      </c>
      <c r="CU33" s="5">
        <f t="shared" ca="1" si="89"/>
        <v>6.3569360114472777E-3</v>
      </c>
      <c r="CV33" s="5">
        <f t="shared" ca="1" si="90"/>
        <v>6.313840810692673E-3</v>
      </c>
      <c r="CW33" s="5">
        <f t="shared" ca="1" si="91"/>
        <v>6.3206888802929285E-3</v>
      </c>
      <c r="CX33" s="5">
        <f t="shared" ca="1" si="92"/>
        <v>6.2484782715264229E-3</v>
      </c>
      <c r="CY33" s="5">
        <f t="shared" ca="1" si="93"/>
        <v>6.5013251862894297E-3</v>
      </c>
      <c r="CZ33" s="5">
        <f t="shared" ca="1" si="94"/>
        <v>6.4268605657407793E-3</v>
      </c>
      <c r="DA33" s="5">
        <f t="shared" ca="1" si="95"/>
        <v>6.6867871387661084E-3</v>
      </c>
      <c r="DB33" s="5">
        <f t="shared" ca="1" si="96"/>
        <v>6.6977972558292442E-3</v>
      </c>
      <c r="DC33" s="5">
        <f t="shared" ca="1" si="97"/>
        <v>6.6306287478062609E-3</v>
      </c>
      <c r="DD33" s="5">
        <f t="shared" ca="1" si="98"/>
        <v>6.4028675162951555E-3</v>
      </c>
      <c r="DE33" s="5">
        <f t="shared" ca="1" si="99"/>
        <v>6.5274149805183848E-3</v>
      </c>
      <c r="DF33" s="5">
        <f t="shared" ca="1" si="100"/>
        <v>6.4568076830105563E-3</v>
      </c>
      <c r="DG33" s="5">
        <f t="shared" ca="1" si="101"/>
        <v>6.4390042469310346E-3</v>
      </c>
      <c r="DH33" s="5">
        <f t="shared" ca="1" si="102"/>
        <v>6.6629755102203397E-3</v>
      </c>
      <c r="DI33" s="5">
        <f t="shared" ca="1" si="103"/>
        <v>6.4113331810948223E-3</v>
      </c>
      <c r="DJ33" s="5">
        <f t="shared" ca="1" si="104"/>
        <v>6.5812340693838902E-3</v>
      </c>
    </row>
    <row r="34" spans="5:114" outlineLevel="1" x14ac:dyDescent="0.2">
      <c r="E34" s="32">
        <v>45505</v>
      </c>
      <c r="F34" s="9">
        <v>2320.4999999999995</v>
      </c>
      <c r="G34" s="5">
        <f t="shared" ca="1" si="0"/>
        <v>3.3787845171884094E-2</v>
      </c>
      <c r="H34" s="5">
        <f t="shared" ca="1" si="1"/>
        <v>6.3965047147809158E-3</v>
      </c>
      <c r="I34" s="9">
        <f t="shared" ca="1" si="2"/>
        <v>64529.724590752536</v>
      </c>
      <c r="K34" s="6">
        <v>30</v>
      </c>
      <c r="L34" s="5">
        <v>362032.51654114999</v>
      </c>
      <c r="N34" s="32">
        <v>45474</v>
      </c>
      <c r="O34" s="5">
        <f t="shared" ca="1" si="5"/>
        <v>6.7938792438796795E-3</v>
      </c>
      <c r="P34" s="5">
        <f t="shared" ca="1" si="6"/>
        <v>6.4266927866647389E-3</v>
      </c>
      <c r="Q34" s="5">
        <f t="shared" ca="1" si="7"/>
        <v>6.8387094449049463E-3</v>
      </c>
      <c r="R34" s="5">
        <f t="shared" ca="1" si="8"/>
        <v>6.4655018984690754E-3</v>
      </c>
      <c r="S34" s="5">
        <f t="shared" ca="1" si="9"/>
        <v>6.5953252007882263E-3</v>
      </c>
      <c r="T34" s="5">
        <f t="shared" ca="1" si="10"/>
        <v>6.0221919310664025E-3</v>
      </c>
      <c r="U34" s="5">
        <f t="shared" ca="1" si="11"/>
        <v>6.1951148315193376E-3</v>
      </c>
      <c r="V34" s="5">
        <f t="shared" ca="1" si="12"/>
        <v>6.6792223222302011E-3</v>
      </c>
      <c r="W34" s="5">
        <f t="shared" ca="1" si="13"/>
        <v>6.5251836428710441E-3</v>
      </c>
      <c r="X34" s="5">
        <f t="shared" ca="1" si="14"/>
        <v>6.5167395200731925E-3</v>
      </c>
      <c r="Y34" s="5">
        <f t="shared" ca="1" si="15"/>
        <v>6.5601502267952456E-3</v>
      </c>
      <c r="Z34" s="5">
        <f t="shared" ca="1" si="16"/>
        <v>6.6411068458495865E-3</v>
      </c>
      <c r="AA34" s="5">
        <f t="shared" ca="1" si="17"/>
        <v>6.5784387395871535E-3</v>
      </c>
      <c r="AB34" s="5">
        <f t="shared" ca="1" si="18"/>
        <v>7.197576365957593E-3</v>
      </c>
      <c r="AC34" s="5">
        <f t="shared" ca="1" si="19"/>
        <v>6.9466514520636347E-3</v>
      </c>
      <c r="AD34" s="5">
        <f t="shared" ca="1" si="20"/>
        <v>6.9240739656540682E-3</v>
      </c>
      <c r="AE34" s="5">
        <f t="shared" ca="1" si="21"/>
        <v>6.6190771070519933E-3</v>
      </c>
      <c r="AF34" s="5">
        <f t="shared" ca="1" si="22"/>
        <v>6.2387262653062926E-3</v>
      </c>
      <c r="AG34" s="5">
        <f t="shared" ca="1" si="23"/>
        <v>6.4046302921724344E-3</v>
      </c>
      <c r="AH34" s="5">
        <f t="shared" ca="1" si="24"/>
        <v>6.4739172905406922E-3</v>
      </c>
      <c r="AI34" s="5">
        <f t="shared" ca="1" si="25"/>
        <v>6.6396828869551153E-3</v>
      </c>
      <c r="AJ34" s="5">
        <f t="shared" ca="1" si="26"/>
        <v>6.7374347249785291E-3</v>
      </c>
      <c r="AK34" s="5">
        <f t="shared" ca="1" si="27"/>
        <v>6.7186500013020622E-3</v>
      </c>
      <c r="AL34" s="5">
        <f t="shared" ca="1" si="28"/>
        <v>6.3533037668407864E-3</v>
      </c>
      <c r="AM34" s="5">
        <f t="shared" ca="1" si="29"/>
        <v>6.4257243920154859E-3</v>
      </c>
      <c r="AN34" s="5">
        <f t="shared" ca="1" si="30"/>
        <v>6.6824969075686578E-3</v>
      </c>
      <c r="AO34" s="5">
        <f t="shared" ca="1" si="31"/>
        <v>6.8987356887964344E-3</v>
      </c>
      <c r="AP34" s="5">
        <f t="shared" ca="1" si="32"/>
        <v>6.1817602957828467E-3</v>
      </c>
      <c r="AQ34" s="5">
        <f t="shared" ca="1" si="33"/>
        <v>6.4118153912825016E-3</v>
      </c>
      <c r="AR34" s="5">
        <f t="shared" ca="1" si="34"/>
        <v>6.4466846891906545E-3</v>
      </c>
      <c r="AS34" s="5">
        <f t="shared" ca="1" si="35"/>
        <v>6.7563308847450902E-3</v>
      </c>
      <c r="AT34" s="5">
        <f t="shared" ca="1" si="36"/>
        <v>6.4901012966133396E-3</v>
      </c>
      <c r="AU34" s="5">
        <f t="shared" ca="1" si="37"/>
        <v>6.4399431786023587E-3</v>
      </c>
      <c r="AV34" s="5">
        <f t="shared" ca="1" si="38"/>
        <v>6.3551205063908768E-3</v>
      </c>
      <c r="AW34" s="5">
        <f t="shared" ca="1" si="39"/>
        <v>6.6895660680390641E-3</v>
      </c>
      <c r="AX34" s="5">
        <f t="shared" ca="1" si="40"/>
        <v>6.327102815073809E-3</v>
      </c>
      <c r="AY34" s="5">
        <f t="shared" ca="1" si="41"/>
        <v>6.8334932753799094E-3</v>
      </c>
      <c r="AZ34" s="5">
        <f t="shared" ca="1" si="42"/>
        <v>6.4657468563175209E-3</v>
      </c>
      <c r="BA34" s="5">
        <f t="shared" ca="1" si="43"/>
        <v>6.5218254943661749E-3</v>
      </c>
      <c r="BB34" s="5">
        <f t="shared" ca="1" si="44"/>
        <v>6.5333019726630066E-3</v>
      </c>
      <c r="BC34" s="5">
        <f t="shared" ca="1" si="45"/>
        <v>6.0336716476375738E-3</v>
      </c>
      <c r="BD34" s="5">
        <f t="shared" ca="1" si="46"/>
        <v>6.6013790206220606E-3</v>
      </c>
      <c r="BE34" s="5">
        <f t="shared" ca="1" si="47"/>
        <v>6.8212471357735893E-3</v>
      </c>
      <c r="BF34" s="5">
        <f t="shared" ca="1" si="48"/>
        <v>6.4459218087981468E-3</v>
      </c>
      <c r="BG34" s="5">
        <f t="shared" ca="1" si="49"/>
        <v>6.335522475297433E-3</v>
      </c>
      <c r="BH34" s="5">
        <f t="shared" ca="1" si="50"/>
        <v>6.418184765076552E-3</v>
      </c>
      <c r="BI34" s="5">
        <f t="shared" ca="1" si="51"/>
        <v>6.9995054268618658E-3</v>
      </c>
      <c r="BJ34" s="5">
        <f t="shared" ca="1" si="52"/>
        <v>6.7598491404183177E-3</v>
      </c>
      <c r="BK34" s="5">
        <f t="shared" ca="1" si="53"/>
        <v>6.7716409019998843E-3</v>
      </c>
      <c r="BL34" s="5">
        <f t="shared" ca="1" si="54"/>
        <v>6.3309730333030254E-3</v>
      </c>
      <c r="BM34" s="5">
        <f t="shared" ca="1" si="55"/>
        <v>6.1511097914521027E-3</v>
      </c>
      <c r="BN34" s="5">
        <f t="shared" ca="1" si="56"/>
        <v>6.52928521087887E-3</v>
      </c>
      <c r="BO34" s="5">
        <f t="shared" ca="1" si="57"/>
        <v>6.4115700802595977E-3</v>
      </c>
      <c r="BP34" s="5">
        <f t="shared" ca="1" si="58"/>
        <v>6.4488983298969854E-3</v>
      </c>
      <c r="BQ34" s="5">
        <f t="shared" ca="1" si="59"/>
        <v>6.2135522849159708E-3</v>
      </c>
      <c r="BR34" s="5">
        <f t="shared" ca="1" si="60"/>
        <v>6.718261751862081E-3</v>
      </c>
      <c r="BS34" s="5">
        <f t="shared" ca="1" si="61"/>
        <v>6.6497323635487512E-3</v>
      </c>
      <c r="BT34" s="5">
        <f t="shared" ca="1" si="62"/>
        <v>6.3787360296012289E-3</v>
      </c>
      <c r="BU34" s="5">
        <f t="shared" ca="1" si="63"/>
        <v>6.6694995226002692E-3</v>
      </c>
      <c r="BV34" s="5">
        <f t="shared" ca="1" si="64"/>
        <v>6.7755112654957093E-3</v>
      </c>
      <c r="BW34" s="5">
        <f t="shared" ca="1" si="65"/>
        <v>7.0275135461980356E-3</v>
      </c>
      <c r="BX34" s="5">
        <f t="shared" ca="1" si="66"/>
        <v>6.8327814791625209E-3</v>
      </c>
      <c r="BY34" s="5">
        <f t="shared" ca="1" si="67"/>
        <v>6.3993164321789614E-3</v>
      </c>
      <c r="BZ34" s="5">
        <f t="shared" ca="1" si="68"/>
        <v>6.506033410365852E-3</v>
      </c>
      <c r="CA34" s="5">
        <f t="shared" ca="1" si="69"/>
        <v>5.9918887431970984E-3</v>
      </c>
      <c r="CB34" s="5">
        <f t="shared" ca="1" si="70"/>
        <v>6.435369638727019E-3</v>
      </c>
      <c r="CC34" s="5">
        <f t="shared" ca="1" si="71"/>
        <v>6.6125083138648651E-3</v>
      </c>
      <c r="CD34" s="5">
        <f t="shared" ca="1" si="72"/>
        <v>6.281728431008971E-3</v>
      </c>
      <c r="CE34" s="5">
        <f t="shared" ca="1" si="73"/>
        <v>6.3520936593855666E-3</v>
      </c>
      <c r="CF34" s="5">
        <f t="shared" ca="1" si="74"/>
        <v>6.6506944903131264E-3</v>
      </c>
      <c r="CG34" s="5">
        <f t="shared" ca="1" si="75"/>
        <v>6.6130118859249196E-3</v>
      </c>
      <c r="CH34" s="5">
        <f t="shared" ca="1" si="76"/>
        <v>6.3786593826467633E-3</v>
      </c>
      <c r="CI34" s="5">
        <f t="shared" ca="1" si="77"/>
        <v>6.6101390869317978E-3</v>
      </c>
      <c r="CJ34" s="5">
        <f t="shared" ca="1" si="78"/>
        <v>6.7451074598001946E-3</v>
      </c>
      <c r="CK34" s="5">
        <f t="shared" ca="1" si="79"/>
        <v>6.5909514009071177E-3</v>
      </c>
      <c r="CL34" s="5">
        <f t="shared" ca="1" si="80"/>
        <v>6.4831304720171989E-3</v>
      </c>
      <c r="CM34" s="5">
        <f t="shared" ca="1" si="81"/>
        <v>6.5904119766584798E-3</v>
      </c>
      <c r="CN34" s="5">
        <f t="shared" ca="1" si="82"/>
        <v>6.5279123759819915E-3</v>
      </c>
      <c r="CO34" s="5">
        <f t="shared" ca="1" si="83"/>
        <v>6.6712046587192961E-3</v>
      </c>
      <c r="CP34" s="5">
        <f t="shared" ca="1" si="84"/>
        <v>6.818722933413685E-3</v>
      </c>
      <c r="CQ34" s="5">
        <f t="shared" ca="1" si="85"/>
        <v>6.7895592054188431E-3</v>
      </c>
      <c r="CR34" s="5">
        <f t="shared" ca="1" si="86"/>
        <v>6.6547926041324295E-3</v>
      </c>
      <c r="CS34" s="5">
        <f t="shared" ca="1" si="87"/>
        <v>6.6185113097648419E-3</v>
      </c>
      <c r="CT34" s="5">
        <f t="shared" ca="1" si="88"/>
        <v>6.8582209493230437E-3</v>
      </c>
      <c r="CU34" s="5">
        <f t="shared" ca="1" si="89"/>
        <v>6.3192598905349867E-3</v>
      </c>
      <c r="CV34" s="5">
        <f t="shared" ca="1" si="90"/>
        <v>6.3938695592720435E-3</v>
      </c>
      <c r="CW34" s="5">
        <f t="shared" ca="1" si="91"/>
        <v>6.3081522679432856E-3</v>
      </c>
      <c r="CX34" s="5">
        <f t="shared" ca="1" si="92"/>
        <v>6.2160952897102771E-3</v>
      </c>
      <c r="CY34" s="5">
        <f t="shared" ca="1" si="93"/>
        <v>6.4653940541914996E-3</v>
      </c>
      <c r="CZ34" s="5">
        <f t="shared" ca="1" si="94"/>
        <v>6.4229487367460343E-3</v>
      </c>
      <c r="DA34" s="5">
        <f t="shared" ca="1" si="95"/>
        <v>6.6322075850227882E-3</v>
      </c>
      <c r="DB34" s="5">
        <f t="shared" ca="1" si="96"/>
        <v>6.735356682502555E-3</v>
      </c>
      <c r="DC34" s="5">
        <f t="shared" ca="1" si="97"/>
        <v>6.5921697633222935E-3</v>
      </c>
      <c r="DD34" s="5">
        <f t="shared" ca="1" si="98"/>
        <v>6.3673994814311087E-3</v>
      </c>
      <c r="DE34" s="5">
        <f t="shared" ca="1" si="99"/>
        <v>6.4894776334549912E-3</v>
      </c>
      <c r="DF34" s="5">
        <f t="shared" ca="1" si="100"/>
        <v>6.4689112320132297E-3</v>
      </c>
      <c r="DG34" s="5">
        <f t="shared" ca="1" si="101"/>
        <v>6.4447994684154629E-3</v>
      </c>
      <c r="DH34" s="5">
        <f t="shared" ca="1" si="102"/>
        <v>6.6598995378283699E-3</v>
      </c>
      <c r="DI34" s="5">
        <f t="shared" ca="1" si="103"/>
        <v>6.4280700753387909E-3</v>
      </c>
      <c r="DJ34" s="5">
        <f t="shared" ca="1" si="104"/>
        <v>6.5453144041910521E-3</v>
      </c>
    </row>
    <row r="35" spans="5:114" outlineLevel="1" x14ac:dyDescent="0.2">
      <c r="E35" s="32">
        <v>45536</v>
      </c>
      <c r="F35" s="9">
        <v>2320.4999999999995</v>
      </c>
      <c r="G35" s="5">
        <f t="shared" ca="1" si="0"/>
        <v>-2.1203999677914524E-2</v>
      </c>
      <c r="H35" s="5">
        <f t="shared" ca="1" si="1"/>
        <v>6.4195667767895093E-3</v>
      </c>
      <c r="I35" s="9">
        <f t="shared" ca="1" si="2"/>
        <v>66884.754899171399</v>
      </c>
      <c r="K35" s="6">
        <v>31</v>
      </c>
      <c r="L35" s="5">
        <v>363589.92390827846</v>
      </c>
      <c r="N35" s="32">
        <v>45505</v>
      </c>
      <c r="O35" s="5">
        <f t="shared" ca="1" si="5"/>
        <v>6.7999860191776422E-3</v>
      </c>
      <c r="P35" s="5">
        <f t="shared" ca="1" si="6"/>
        <v>6.4475251368543525E-3</v>
      </c>
      <c r="Q35" s="5">
        <f t="shared" ca="1" si="7"/>
        <v>6.8663032998303904E-3</v>
      </c>
      <c r="R35" s="5">
        <f t="shared" ca="1" si="8"/>
        <v>6.4652190144756693E-3</v>
      </c>
      <c r="S35" s="5">
        <f t="shared" ca="1" si="9"/>
        <v>6.5504648461171353E-3</v>
      </c>
      <c r="T35" s="5">
        <f t="shared" ca="1" si="10"/>
        <v>5.9637101017348789E-3</v>
      </c>
      <c r="U35" s="5">
        <f t="shared" ca="1" si="11"/>
        <v>6.168064715349808E-3</v>
      </c>
      <c r="V35" s="5">
        <f t="shared" ca="1" si="12"/>
        <v>6.7379145894335421E-3</v>
      </c>
      <c r="W35" s="5">
        <f t="shared" ca="1" si="13"/>
        <v>6.5940419487724505E-3</v>
      </c>
      <c r="X35" s="5">
        <f t="shared" ca="1" si="14"/>
        <v>6.5870504454410006E-3</v>
      </c>
      <c r="Y35" s="5">
        <f t="shared" ca="1" si="15"/>
        <v>6.6588691715995501E-3</v>
      </c>
      <c r="Z35" s="5">
        <f t="shared" ca="1" si="16"/>
        <v>6.6723906526147446E-3</v>
      </c>
      <c r="AA35" s="5">
        <f t="shared" ca="1" si="17"/>
        <v>6.6027825427045495E-3</v>
      </c>
      <c r="AB35" s="5">
        <f t="shared" ca="1" si="18"/>
        <v>7.2431764925401151E-3</v>
      </c>
      <c r="AC35" s="5">
        <f t="shared" ca="1" si="19"/>
        <v>6.9382809645984434E-3</v>
      </c>
      <c r="AD35" s="5">
        <f t="shared" ca="1" si="20"/>
        <v>6.8224408544902164E-3</v>
      </c>
      <c r="AE35" s="5">
        <f t="shared" ca="1" si="21"/>
        <v>6.6229012473443582E-3</v>
      </c>
      <c r="AF35" s="5">
        <f t="shared" ca="1" si="22"/>
        <v>6.2548004601478639E-3</v>
      </c>
      <c r="AG35" s="5">
        <f t="shared" ca="1" si="23"/>
        <v>6.4716092961605489E-3</v>
      </c>
      <c r="AH35" s="5">
        <f t="shared" ca="1" si="24"/>
        <v>6.4186384654135436E-3</v>
      </c>
      <c r="AI35" s="5">
        <f t="shared" ca="1" si="25"/>
        <v>6.6410993699643067E-3</v>
      </c>
      <c r="AJ35" s="5">
        <f t="shared" ca="1" si="26"/>
        <v>6.6579274378894176E-3</v>
      </c>
      <c r="AK35" s="5">
        <f t="shared" ca="1" si="27"/>
        <v>6.6609839631159651E-3</v>
      </c>
      <c r="AL35" s="5">
        <f t="shared" ca="1" si="28"/>
        <v>6.3587218182513281E-3</v>
      </c>
      <c r="AM35" s="5">
        <f t="shared" ca="1" si="29"/>
        <v>6.3592575531713248E-3</v>
      </c>
      <c r="AN35" s="5">
        <f t="shared" ca="1" si="30"/>
        <v>6.7083795875856741E-3</v>
      </c>
      <c r="AO35" s="5">
        <f t="shared" ca="1" si="31"/>
        <v>6.9422497484172337E-3</v>
      </c>
      <c r="AP35" s="5">
        <f t="shared" ca="1" si="32"/>
        <v>6.2974412579344212E-3</v>
      </c>
      <c r="AQ35" s="5">
        <f t="shared" ca="1" si="33"/>
        <v>6.3681652270503736E-3</v>
      </c>
      <c r="AR35" s="5">
        <f t="shared" ca="1" si="34"/>
        <v>6.4403796014039002E-3</v>
      </c>
      <c r="AS35" s="5">
        <f t="shared" ca="1" si="35"/>
        <v>6.8289110954254289E-3</v>
      </c>
      <c r="AT35" s="5">
        <f t="shared" ca="1" si="36"/>
        <v>6.5287835089773505E-3</v>
      </c>
      <c r="AU35" s="5">
        <f t="shared" ca="1" si="37"/>
        <v>6.375831914049751E-3</v>
      </c>
      <c r="AV35" s="5">
        <f t="shared" ca="1" si="38"/>
        <v>6.3307546826481403E-3</v>
      </c>
      <c r="AW35" s="5">
        <f t="shared" ca="1" si="39"/>
        <v>6.6710105651653223E-3</v>
      </c>
      <c r="AX35" s="5">
        <f t="shared" ca="1" si="40"/>
        <v>6.2833301827999871E-3</v>
      </c>
      <c r="AY35" s="5">
        <f t="shared" ca="1" si="41"/>
        <v>6.7991352585580131E-3</v>
      </c>
      <c r="AZ35" s="5">
        <f t="shared" ca="1" si="42"/>
        <v>6.4622969730654851E-3</v>
      </c>
      <c r="BA35" s="5">
        <f t="shared" ca="1" si="43"/>
        <v>6.5826340541456857E-3</v>
      </c>
      <c r="BB35" s="5">
        <f t="shared" ca="1" si="44"/>
        <v>6.5748442509224077E-3</v>
      </c>
      <c r="BC35" s="5">
        <f t="shared" ca="1" si="45"/>
        <v>5.9755484149597764E-3</v>
      </c>
      <c r="BD35" s="5">
        <f t="shared" ca="1" si="46"/>
        <v>6.6706055644197406E-3</v>
      </c>
      <c r="BE35" s="5">
        <f t="shared" ca="1" si="47"/>
        <v>6.8170254622135261E-3</v>
      </c>
      <c r="BF35" s="5">
        <f t="shared" ca="1" si="48"/>
        <v>6.4756870268431101E-3</v>
      </c>
      <c r="BG35" s="5">
        <f t="shared" ca="1" si="49"/>
        <v>6.320812751502836E-3</v>
      </c>
      <c r="BH35" s="5">
        <f t="shared" ca="1" si="50"/>
        <v>6.4634470541596323E-3</v>
      </c>
      <c r="BI35" s="5">
        <f t="shared" ca="1" si="51"/>
        <v>6.907050533381958E-3</v>
      </c>
      <c r="BJ35" s="5">
        <f t="shared" ca="1" si="52"/>
        <v>6.8094985118215328E-3</v>
      </c>
      <c r="BK35" s="5">
        <f t="shared" ca="1" si="53"/>
        <v>6.7685225496584324E-3</v>
      </c>
      <c r="BL35" s="5">
        <f t="shared" ca="1" si="54"/>
        <v>6.3420615871890964E-3</v>
      </c>
      <c r="BM35" s="5">
        <f t="shared" ca="1" si="55"/>
        <v>6.1499900912511526E-3</v>
      </c>
      <c r="BN35" s="5">
        <f t="shared" ca="1" si="56"/>
        <v>6.5126295973048677E-3</v>
      </c>
      <c r="BO35" s="5">
        <f t="shared" ca="1" si="57"/>
        <v>6.4262369432167487E-3</v>
      </c>
      <c r="BP35" s="5">
        <f t="shared" ca="1" si="58"/>
        <v>6.4944800119529278E-3</v>
      </c>
      <c r="BQ35" s="5">
        <f t="shared" ca="1" si="59"/>
        <v>6.2312165119706546E-3</v>
      </c>
      <c r="BR35" s="5">
        <f t="shared" ca="1" si="60"/>
        <v>6.6760475202855968E-3</v>
      </c>
      <c r="BS35" s="5">
        <f t="shared" ca="1" si="61"/>
        <v>6.7630402613101199E-3</v>
      </c>
      <c r="BT35" s="5">
        <f t="shared" ca="1" si="62"/>
        <v>6.4278001945187752E-3</v>
      </c>
      <c r="BU35" s="5">
        <f t="shared" ca="1" si="63"/>
        <v>6.7332160650758078E-3</v>
      </c>
      <c r="BV35" s="5">
        <f t="shared" ca="1" si="64"/>
        <v>6.7447647593292725E-3</v>
      </c>
      <c r="BW35" s="5">
        <f t="shared" ca="1" si="65"/>
        <v>7.0426178911076383E-3</v>
      </c>
      <c r="BX35" s="5">
        <f t="shared" ca="1" si="66"/>
        <v>6.7943238125556015E-3</v>
      </c>
      <c r="BY35" s="5">
        <f t="shared" ca="1" si="67"/>
        <v>6.419427815445378E-3</v>
      </c>
      <c r="BZ35" s="5">
        <f t="shared" ca="1" si="68"/>
        <v>6.4384461184537368E-3</v>
      </c>
      <c r="CA35" s="5">
        <f t="shared" ca="1" si="69"/>
        <v>6.0337209619362852E-3</v>
      </c>
      <c r="CB35" s="5">
        <f t="shared" ca="1" si="70"/>
        <v>6.500057054416454E-3</v>
      </c>
      <c r="CC35" s="5">
        <f t="shared" ca="1" si="71"/>
        <v>6.6591795760497403E-3</v>
      </c>
      <c r="CD35" s="5">
        <f t="shared" ca="1" si="72"/>
        <v>6.2642445366117988E-3</v>
      </c>
      <c r="CE35" s="5">
        <f t="shared" ca="1" si="73"/>
        <v>6.3731269688956345E-3</v>
      </c>
      <c r="CF35" s="5">
        <f t="shared" ca="1" si="74"/>
        <v>6.6299916839321999E-3</v>
      </c>
      <c r="CG35" s="5">
        <f t="shared" ca="1" si="75"/>
        <v>6.612746715992158E-3</v>
      </c>
      <c r="CH35" s="5">
        <f t="shared" ca="1" si="76"/>
        <v>6.423144910542679E-3</v>
      </c>
      <c r="CI35" s="5">
        <f t="shared" ca="1" si="77"/>
        <v>6.5957062415765051E-3</v>
      </c>
      <c r="CJ35" s="5">
        <f t="shared" ca="1" si="78"/>
        <v>6.80602406416452E-3</v>
      </c>
      <c r="CK35" s="5">
        <f t="shared" ca="1" si="79"/>
        <v>6.6548997662093674E-3</v>
      </c>
      <c r="CL35" s="5">
        <f t="shared" ca="1" si="80"/>
        <v>6.448882386993606E-3</v>
      </c>
      <c r="CM35" s="5">
        <f t="shared" ca="1" si="81"/>
        <v>6.6007267325219323E-3</v>
      </c>
      <c r="CN35" s="5">
        <f t="shared" ca="1" si="82"/>
        <v>6.5742642006371369E-3</v>
      </c>
      <c r="CO35" s="5">
        <f t="shared" ca="1" si="83"/>
        <v>6.7638081242645358E-3</v>
      </c>
      <c r="CP35" s="5">
        <f t="shared" ca="1" si="84"/>
        <v>6.8040607330839536E-3</v>
      </c>
      <c r="CQ35" s="5">
        <f t="shared" ca="1" si="85"/>
        <v>6.7870741047910679E-3</v>
      </c>
      <c r="CR35" s="5">
        <f t="shared" ca="1" si="86"/>
        <v>6.6577330555335577E-3</v>
      </c>
      <c r="CS35" s="5">
        <f t="shared" ca="1" si="87"/>
        <v>6.6529358439506008E-3</v>
      </c>
      <c r="CT35" s="5">
        <f t="shared" ca="1" si="88"/>
        <v>6.9219998579679249E-3</v>
      </c>
      <c r="CU35" s="5">
        <f t="shared" ca="1" si="89"/>
        <v>6.3319328586221493E-3</v>
      </c>
      <c r="CV35" s="5">
        <f t="shared" ca="1" si="90"/>
        <v>6.3611033567563041E-3</v>
      </c>
      <c r="CW35" s="5">
        <f t="shared" ca="1" si="91"/>
        <v>6.3398051766017103E-3</v>
      </c>
      <c r="CX35" s="5">
        <f t="shared" ca="1" si="92"/>
        <v>6.1667627418019863E-3</v>
      </c>
      <c r="CY35" s="5">
        <f t="shared" ca="1" si="93"/>
        <v>6.4489559165227051E-3</v>
      </c>
      <c r="CZ35" s="5">
        <f t="shared" ca="1" si="94"/>
        <v>6.4559710762544997E-3</v>
      </c>
      <c r="DA35" s="5">
        <f t="shared" ca="1" si="95"/>
        <v>6.6667536295170931E-3</v>
      </c>
      <c r="DB35" s="5">
        <f t="shared" ca="1" si="96"/>
        <v>6.7039845954652132E-3</v>
      </c>
      <c r="DC35" s="5">
        <f t="shared" ca="1" si="97"/>
        <v>6.5926087152526841E-3</v>
      </c>
      <c r="DD35" s="5">
        <f t="shared" ca="1" si="98"/>
        <v>6.3198728166909916E-3</v>
      </c>
      <c r="DE35" s="5">
        <f t="shared" ca="1" si="99"/>
        <v>6.4730170879890494E-3</v>
      </c>
      <c r="DF35" s="5">
        <f t="shared" ca="1" si="100"/>
        <v>6.4889858603220472E-3</v>
      </c>
      <c r="DG35" s="5">
        <f t="shared" ca="1" si="101"/>
        <v>6.5109788660301813E-3</v>
      </c>
      <c r="DH35" s="5">
        <f t="shared" ca="1" si="102"/>
        <v>6.6965066779745971E-3</v>
      </c>
      <c r="DI35" s="5">
        <f t="shared" ca="1" si="103"/>
        <v>6.418179581577566E-3</v>
      </c>
      <c r="DJ35" s="5">
        <f t="shared" ca="1" si="104"/>
        <v>6.5914625542229325E-3</v>
      </c>
    </row>
    <row r="36" spans="5:114" outlineLevel="1" x14ac:dyDescent="0.2">
      <c r="E36" s="32">
        <v>45566</v>
      </c>
      <c r="F36" s="9">
        <v>2320.4999999999995</v>
      </c>
      <c r="G36" s="5">
        <f t="shared" ref="G36:G67" ca="1" si="105">_xlfn.NORM.INV(RAND(),0,Deltat)</f>
        <v>-0.11117594432425443</v>
      </c>
      <c r="H36" s="5">
        <f t="shared" ca="1" si="1"/>
        <v>6.4140376082132628E-3</v>
      </c>
      <c r="I36" s="9">
        <f t="shared" ca="1" si="2"/>
        <v>69241.014566258731</v>
      </c>
      <c r="K36" s="6">
        <v>32</v>
      </c>
      <c r="L36" s="5">
        <v>362382.65612474631</v>
      </c>
      <c r="N36" s="32">
        <v>45536</v>
      </c>
      <c r="O36" s="5">
        <f t="shared" ca="1" si="5"/>
        <v>6.8002035093855636E-3</v>
      </c>
      <c r="P36" s="5">
        <f t="shared" ca="1" si="6"/>
        <v>6.4609283743587483E-3</v>
      </c>
      <c r="Q36" s="5">
        <f t="shared" ca="1" si="7"/>
        <v>6.9010617746632762E-3</v>
      </c>
      <c r="R36" s="5">
        <f t="shared" ca="1" si="8"/>
        <v>6.4804820705339364E-3</v>
      </c>
      <c r="S36" s="5">
        <f t="shared" ca="1" si="9"/>
        <v>6.6101397703616869E-3</v>
      </c>
      <c r="T36" s="5">
        <f t="shared" ca="1" si="10"/>
        <v>5.90715564536228E-3</v>
      </c>
      <c r="U36" s="5">
        <f t="shared" ca="1" si="11"/>
        <v>6.18092649665976E-3</v>
      </c>
      <c r="V36" s="5">
        <f t="shared" ca="1" si="12"/>
        <v>6.7305674660956497E-3</v>
      </c>
      <c r="W36" s="5">
        <f t="shared" ca="1" si="13"/>
        <v>6.5915694034504218E-3</v>
      </c>
      <c r="X36" s="5">
        <f t="shared" ca="1" si="14"/>
        <v>6.568714644495665E-3</v>
      </c>
      <c r="Y36" s="5">
        <f t="shared" ca="1" si="15"/>
        <v>6.6528226418017386E-3</v>
      </c>
      <c r="Z36" s="5">
        <f t="shared" ca="1" si="16"/>
        <v>6.6999594693458488E-3</v>
      </c>
      <c r="AA36" s="5">
        <f t="shared" ca="1" si="17"/>
        <v>6.5358893506163238E-3</v>
      </c>
      <c r="AB36" s="5">
        <f t="shared" ca="1" si="18"/>
        <v>7.3437381250062578E-3</v>
      </c>
      <c r="AC36" s="5">
        <f t="shared" ca="1" si="19"/>
        <v>6.9549671452935969E-3</v>
      </c>
      <c r="AD36" s="5">
        <f t="shared" ca="1" si="20"/>
        <v>6.7526826025965641E-3</v>
      </c>
      <c r="AE36" s="5">
        <f t="shared" ca="1" si="21"/>
        <v>6.5387967162185813E-3</v>
      </c>
      <c r="AF36" s="5">
        <f t="shared" ca="1" si="22"/>
        <v>6.2940119048515734E-3</v>
      </c>
      <c r="AG36" s="5">
        <f t="shared" ca="1" si="23"/>
        <v>6.4409891844646686E-3</v>
      </c>
      <c r="AH36" s="5">
        <f t="shared" ca="1" si="24"/>
        <v>6.480902087149373E-3</v>
      </c>
      <c r="AI36" s="5">
        <f t="shared" ca="1" si="25"/>
        <v>6.6679993268166709E-3</v>
      </c>
      <c r="AJ36" s="5">
        <f t="shared" ca="1" si="26"/>
        <v>6.6012347218457829E-3</v>
      </c>
      <c r="AK36" s="5">
        <f t="shared" ca="1" si="27"/>
        <v>6.5838272140860939E-3</v>
      </c>
      <c r="AL36" s="5">
        <f t="shared" ca="1" si="28"/>
        <v>6.317135509398635E-3</v>
      </c>
      <c r="AM36" s="5">
        <f t="shared" ca="1" si="29"/>
        <v>6.3745461101168957E-3</v>
      </c>
      <c r="AN36" s="5">
        <f t="shared" ca="1" si="30"/>
        <v>6.7681289382670101E-3</v>
      </c>
      <c r="AO36" s="5">
        <f t="shared" ca="1" si="31"/>
        <v>6.96186712067382E-3</v>
      </c>
      <c r="AP36" s="5">
        <f t="shared" ca="1" si="32"/>
        <v>6.2590947243512272E-3</v>
      </c>
      <c r="AQ36" s="5">
        <f t="shared" ca="1" si="33"/>
        <v>6.3625125966564004E-3</v>
      </c>
      <c r="AR36" s="5">
        <f t="shared" ca="1" si="34"/>
        <v>6.4413430573556129E-3</v>
      </c>
      <c r="AS36" s="5">
        <f t="shared" ca="1" si="35"/>
        <v>6.7781264668528452E-3</v>
      </c>
      <c r="AT36" s="5">
        <f t="shared" ca="1" si="36"/>
        <v>6.418497119351765E-3</v>
      </c>
      <c r="AU36" s="5">
        <f t="shared" ca="1" si="37"/>
        <v>6.4300149072375572E-3</v>
      </c>
      <c r="AV36" s="5">
        <f t="shared" ca="1" si="38"/>
        <v>6.2828528767499628E-3</v>
      </c>
      <c r="AW36" s="5">
        <f t="shared" ca="1" si="39"/>
        <v>6.6303392037240175E-3</v>
      </c>
      <c r="AX36" s="5">
        <f t="shared" ca="1" si="40"/>
        <v>6.3184399261955121E-3</v>
      </c>
      <c r="AY36" s="5">
        <f t="shared" ca="1" si="41"/>
        <v>6.8029859308102762E-3</v>
      </c>
      <c r="AZ36" s="5">
        <f t="shared" ca="1" si="42"/>
        <v>6.4153638615233426E-3</v>
      </c>
      <c r="BA36" s="5">
        <f t="shared" ca="1" si="43"/>
        <v>6.5836609824122131E-3</v>
      </c>
      <c r="BB36" s="5">
        <f t="shared" ca="1" si="44"/>
        <v>6.6272669135460614E-3</v>
      </c>
      <c r="BC36" s="5">
        <f t="shared" ca="1" si="45"/>
        <v>5.9833874561688177E-3</v>
      </c>
      <c r="BD36" s="5">
        <f t="shared" ca="1" si="46"/>
        <v>6.5984839487654295E-3</v>
      </c>
      <c r="BE36" s="5">
        <f t="shared" ca="1" si="47"/>
        <v>6.8247893234652367E-3</v>
      </c>
      <c r="BF36" s="5">
        <f t="shared" ca="1" si="48"/>
        <v>6.5211725643967468E-3</v>
      </c>
      <c r="BG36" s="5">
        <f t="shared" ca="1" si="49"/>
        <v>6.3067361008697911E-3</v>
      </c>
      <c r="BH36" s="5">
        <f t="shared" ca="1" si="50"/>
        <v>6.4787979075026196E-3</v>
      </c>
      <c r="BI36" s="5">
        <f t="shared" ca="1" si="51"/>
        <v>6.8906322869094257E-3</v>
      </c>
      <c r="BJ36" s="5">
        <f t="shared" ca="1" si="52"/>
        <v>6.8089113764604591E-3</v>
      </c>
      <c r="BK36" s="5">
        <f t="shared" ca="1" si="53"/>
        <v>6.7781986035139402E-3</v>
      </c>
      <c r="BL36" s="5">
        <f t="shared" ca="1" si="54"/>
        <v>6.3260676235166995E-3</v>
      </c>
      <c r="BM36" s="5">
        <f t="shared" ca="1" si="55"/>
        <v>6.166289247726808E-3</v>
      </c>
      <c r="BN36" s="5">
        <f t="shared" ca="1" si="56"/>
        <v>6.5604444210489174E-3</v>
      </c>
      <c r="BO36" s="5">
        <f t="shared" ca="1" si="57"/>
        <v>6.4174619941412088E-3</v>
      </c>
      <c r="BP36" s="5">
        <f t="shared" ca="1" si="58"/>
        <v>6.4297186146685444E-3</v>
      </c>
      <c r="BQ36" s="5">
        <f t="shared" ca="1" si="59"/>
        <v>6.2264229154929199E-3</v>
      </c>
      <c r="BR36" s="5">
        <f t="shared" ca="1" si="60"/>
        <v>6.6328562109298139E-3</v>
      </c>
      <c r="BS36" s="5">
        <f t="shared" ca="1" si="61"/>
        <v>6.7188305954401064E-3</v>
      </c>
      <c r="BT36" s="5">
        <f t="shared" ca="1" si="62"/>
        <v>6.4617362873716968E-3</v>
      </c>
      <c r="BU36" s="5">
        <f t="shared" ca="1" si="63"/>
        <v>6.7438675978141512E-3</v>
      </c>
      <c r="BV36" s="5">
        <f t="shared" ca="1" si="64"/>
        <v>6.7958572090976027E-3</v>
      </c>
      <c r="BW36" s="5">
        <f t="shared" ca="1" si="65"/>
        <v>7.0060983822938178E-3</v>
      </c>
      <c r="BX36" s="5">
        <f t="shared" ca="1" si="66"/>
        <v>6.7674373738014718E-3</v>
      </c>
      <c r="BY36" s="5">
        <f t="shared" ca="1" si="67"/>
        <v>6.3902294611658432E-3</v>
      </c>
      <c r="BZ36" s="5">
        <f t="shared" ca="1" si="68"/>
        <v>6.4168650666666096E-3</v>
      </c>
      <c r="CA36" s="5">
        <f t="shared" ca="1" si="69"/>
        <v>6.098555870621798E-3</v>
      </c>
      <c r="CB36" s="5">
        <f t="shared" ca="1" si="70"/>
        <v>6.5651060580789395E-3</v>
      </c>
      <c r="CC36" s="5">
        <f t="shared" ca="1" si="71"/>
        <v>6.5811980352679118E-3</v>
      </c>
      <c r="CD36" s="5">
        <f t="shared" ca="1" si="72"/>
        <v>6.3320026585922283E-3</v>
      </c>
      <c r="CE36" s="5">
        <f t="shared" ca="1" si="73"/>
        <v>6.3966324703454624E-3</v>
      </c>
      <c r="CF36" s="5">
        <f t="shared" ca="1" si="74"/>
        <v>6.7024708370217404E-3</v>
      </c>
      <c r="CG36" s="5">
        <f t="shared" ca="1" si="75"/>
        <v>6.6586070468495117E-3</v>
      </c>
      <c r="CH36" s="5">
        <f t="shared" ca="1" si="76"/>
        <v>6.3882687977709473E-3</v>
      </c>
      <c r="CI36" s="5">
        <f t="shared" ca="1" si="77"/>
        <v>6.5938210446339412E-3</v>
      </c>
      <c r="CJ36" s="5">
        <f t="shared" ca="1" si="78"/>
        <v>6.7211381236830462E-3</v>
      </c>
      <c r="CK36" s="5">
        <f t="shared" ca="1" si="79"/>
        <v>6.6695059202957216E-3</v>
      </c>
      <c r="CL36" s="5">
        <f t="shared" ca="1" si="80"/>
        <v>6.4753450489562926E-3</v>
      </c>
      <c r="CM36" s="5">
        <f t="shared" ca="1" si="81"/>
        <v>6.6237966722843215E-3</v>
      </c>
      <c r="CN36" s="5">
        <f t="shared" ca="1" si="82"/>
        <v>6.555972813438081E-3</v>
      </c>
      <c r="CO36" s="5">
        <f t="shared" ca="1" si="83"/>
        <v>6.8034357200037511E-3</v>
      </c>
      <c r="CP36" s="5">
        <f t="shared" ca="1" si="84"/>
        <v>6.7865290050182379E-3</v>
      </c>
      <c r="CQ36" s="5">
        <f t="shared" ca="1" si="85"/>
        <v>6.836728019841508E-3</v>
      </c>
      <c r="CR36" s="5">
        <f t="shared" ca="1" si="86"/>
        <v>6.6871768354762441E-3</v>
      </c>
      <c r="CS36" s="5">
        <f t="shared" ca="1" si="87"/>
        <v>6.6212136694834478E-3</v>
      </c>
      <c r="CT36" s="5">
        <f t="shared" ca="1" si="88"/>
        <v>6.9142774304203668E-3</v>
      </c>
      <c r="CU36" s="5">
        <f t="shared" ca="1" si="89"/>
        <v>6.2885788634454683E-3</v>
      </c>
      <c r="CV36" s="5">
        <f t="shared" ca="1" si="90"/>
        <v>6.3525484018603024E-3</v>
      </c>
      <c r="CW36" s="5">
        <f t="shared" ca="1" si="91"/>
        <v>6.3372386591324433E-3</v>
      </c>
      <c r="CX36" s="5">
        <f t="shared" ca="1" si="92"/>
        <v>6.1496179500388744E-3</v>
      </c>
      <c r="CY36" s="5">
        <f t="shared" ca="1" si="93"/>
        <v>6.427729334239571E-3</v>
      </c>
      <c r="CZ36" s="5">
        <f t="shared" ca="1" si="94"/>
        <v>6.4827426633389277E-3</v>
      </c>
      <c r="DA36" s="5">
        <f t="shared" ca="1" si="95"/>
        <v>6.6908762326768206E-3</v>
      </c>
      <c r="DB36" s="5">
        <f t="shared" ca="1" si="96"/>
        <v>6.7307931401000033E-3</v>
      </c>
      <c r="DC36" s="5">
        <f t="shared" ca="1" si="97"/>
        <v>6.6265628140462695E-3</v>
      </c>
      <c r="DD36" s="5">
        <f t="shared" ca="1" si="98"/>
        <v>6.3397888827670668E-3</v>
      </c>
      <c r="DE36" s="5">
        <f t="shared" ca="1" si="99"/>
        <v>6.4801764058614207E-3</v>
      </c>
      <c r="DF36" s="5">
        <f t="shared" ca="1" si="100"/>
        <v>6.5357107578057488E-3</v>
      </c>
      <c r="DG36" s="5">
        <f t="shared" ca="1" si="101"/>
        <v>6.5025791366030566E-3</v>
      </c>
      <c r="DH36" s="5">
        <f t="shared" ca="1" si="102"/>
        <v>6.7457593466500087E-3</v>
      </c>
      <c r="DI36" s="5">
        <f t="shared" ca="1" si="103"/>
        <v>6.4236670533162317E-3</v>
      </c>
      <c r="DJ36" s="5">
        <f t="shared" ca="1" si="104"/>
        <v>6.6170679208808359E-3</v>
      </c>
    </row>
    <row r="37" spans="5:114" outlineLevel="1" x14ac:dyDescent="0.2">
      <c r="E37" s="32">
        <v>45597</v>
      </c>
      <c r="F37" s="9">
        <v>2320.4999999999995</v>
      </c>
      <c r="G37" s="5">
        <f t="shared" ca="1" si="105"/>
        <v>7.2803780268507062E-2</v>
      </c>
      <c r="H37" s="5">
        <f t="shared" ref="H37:H68" ca="1" si="106">H36+Kappa*(Theta-H36)*Deltat+Sigma*SQRT(H36)*G36</f>
        <v>6.3618625133725001E-3</v>
      </c>
      <c r="I37" s="9">
        <f t="shared" ref="I37:I68" ca="1" si="107">EXP(H37*Deltat)*I36+F37</f>
        <v>71598.232783155443</v>
      </c>
      <c r="K37" s="6">
        <v>33</v>
      </c>
      <c r="L37" s="5">
        <v>362552.19540054584</v>
      </c>
      <c r="N37" s="32">
        <v>45566</v>
      </c>
      <c r="O37" s="5">
        <f t="shared" ca="1" si="5"/>
        <v>6.7804876317056409E-3</v>
      </c>
      <c r="P37" s="5">
        <f t="shared" ca="1" si="6"/>
        <v>6.4468586201493787E-3</v>
      </c>
      <c r="Q37" s="5">
        <f t="shared" ca="1" si="7"/>
        <v>6.9333548686376359E-3</v>
      </c>
      <c r="R37" s="5">
        <f t="shared" ca="1" si="8"/>
        <v>6.4702944706535905E-3</v>
      </c>
      <c r="S37" s="5">
        <f t="shared" ca="1" si="9"/>
        <v>6.6445692709754447E-3</v>
      </c>
      <c r="T37" s="5">
        <f t="shared" ca="1" si="10"/>
        <v>5.8428047768996922E-3</v>
      </c>
      <c r="U37" s="5">
        <f t="shared" ca="1" si="11"/>
        <v>6.1770706951655863E-3</v>
      </c>
      <c r="V37" s="5">
        <f t="shared" ca="1" si="12"/>
        <v>6.7098183457249385E-3</v>
      </c>
      <c r="W37" s="5">
        <f t="shared" ca="1" si="13"/>
        <v>6.5583397723700627E-3</v>
      </c>
      <c r="X37" s="5">
        <f t="shared" ca="1" si="14"/>
        <v>6.5638841534730024E-3</v>
      </c>
      <c r="Y37" s="5">
        <f t="shared" ca="1" si="15"/>
        <v>6.6281693942172922E-3</v>
      </c>
      <c r="Z37" s="5">
        <f t="shared" ca="1" si="16"/>
        <v>6.7636419426125669E-3</v>
      </c>
      <c r="AA37" s="5">
        <f t="shared" ca="1" si="17"/>
        <v>6.5775145219810986E-3</v>
      </c>
      <c r="AB37" s="5">
        <f t="shared" ca="1" si="18"/>
        <v>7.3173135529493076E-3</v>
      </c>
      <c r="AC37" s="5">
        <f t="shared" ca="1" si="19"/>
        <v>7.0441271663116171E-3</v>
      </c>
      <c r="AD37" s="5">
        <f t="shared" ca="1" si="20"/>
        <v>6.7504062593119352E-3</v>
      </c>
      <c r="AE37" s="5">
        <f t="shared" ca="1" si="21"/>
        <v>6.6386383374626989E-3</v>
      </c>
      <c r="AF37" s="5">
        <f t="shared" ca="1" si="22"/>
        <v>6.2344358249078252E-3</v>
      </c>
      <c r="AG37" s="5">
        <f t="shared" ca="1" si="23"/>
        <v>6.4956490650590927E-3</v>
      </c>
      <c r="AH37" s="5">
        <f t="shared" ca="1" si="24"/>
        <v>6.4325916518352582E-3</v>
      </c>
      <c r="AI37" s="5">
        <f t="shared" ca="1" si="25"/>
        <v>6.7033686456654008E-3</v>
      </c>
      <c r="AJ37" s="5">
        <f t="shared" ca="1" si="26"/>
        <v>6.4947908516278571E-3</v>
      </c>
      <c r="AK37" s="5">
        <f t="shared" ca="1" si="27"/>
        <v>6.5756624280561352E-3</v>
      </c>
      <c r="AL37" s="5">
        <f t="shared" ca="1" si="28"/>
        <v>6.3304632908415589E-3</v>
      </c>
      <c r="AM37" s="5">
        <f t="shared" ca="1" si="29"/>
        <v>6.3725102746688472E-3</v>
      </c>
      <c r="AN37" s="5">
        <f t="shared" ca="1" si="30"/>
        <v>6.6900227889300128E-3</v>
      </c>
      <c r="AO37" s="5">
        <f t="shared" ca="1" si="31"/>
        <v>6.9733471375356447E-3</v>
      </c>
      <c r="AP37" s="5">
        <f t="shared" ca="1" si="32"/>
        <v>6.2162821045795872E-3</v>
      </c>
      <c r="AQ37" s="5">
        <f t="shared" ca="1" si="33"/>
        <v>6.387704221899328E-3</v>
      </c>
      <c r="AR37" s="5">
        <f t="shared" ca="1" si="34"/>
        <v>6.3870581786735717E-3</v>
      </c>
      <c r="AS37" s="5">
        <f t="shared" ca="1" si="35"/>
        <v>6.7392025030599718E-3</v>
      </c>
      <c r="AT37" s="5">
        <f t="shared" ca="1" si="36"/>
        <v>6.3954085270777642E-3</v>
      </c>
      <c r="AU37" s="5">
        <f t="shared" ca="1" si="37"/>
        <v>6.428653310394202E-3</v>
      </c>
      <c r="AV37" s="5">
        <f t="shared" ca="1" si="38"/>
        <v>6.2527018300320937E-3</v>
      </c>
      <c r="AW37" s="5">
        <f t="shared" ca="1" si="39"/>
        <v>6.6154737453898022E-3</v>
      </c>
      <c r="AX37" s="5">
        <f t="shared" ca="1" si="40"/>
        <v>6.299081711442691E-3</v>
      </c>
      <c r="AY37" s="5">
        <f t="shared" ca="1" si="41"/>
        <v>6.87804030607626E-3</v>
      </c>
      <c r="AZ37" s="5">
        <f t="shared" ca="1" si="42"/>
        <v>6.4177516015185739E-3</v>
      </c>
      <c r="BA37" s="5">
        <f t="shared" ca="1" si="43"/>
        <v>6.6518417911137799E-3</v>
      </c>
      <c r="BB37" s="5">
        <f t="shared" ca="1" si="44"/>
        <v>6.6414269752234434E-3</v>
      </c>
      <c r="BC37" s="5">
        <f t="shared" ca="1" si="45"/>
        <v>5.9795063530756528E-3</v>
      </c>
      <c r="BD37" s="5">
        <f t="shared" ca="1" si="46"/>
        <v>6.5700700987456383E-3</v>
      </c>
      <c r="BE37" s="5">
        <f t="shared" ca="1" si="47"/>
        <v>6.8609645540453372E-3</v>
      </c>
      <c r="BF37" s="5">
        <f t="shared" ca="1" si="48"/>
        <v>6.5170374537633228E-3</v>
      </c>
      <c r="BG37" s="5">
        <f t="shared" ca="1" si="49"/>
        <v>6.3054418996362398E-3</v>
      </c>
      <c r="BH37" s="5">
        <f t="shared" ca="1" si="50"/>
        <v>6.4282592875746156E-3</v>
      </c>
      <c r="BI37" s="5">
        <f t="shared" ca="1" si="51"/>
        <v>6.8222639903168418E-3</v>
      </c>
      <c r="BJ37" s="5">
        <f t="shared" ca="1" si="52"/>
        <v>6.866323313154234E-3</v>
      </c>
      <c r="BK37" s="5">
        <f t="shared" ca="1" si="53"/>
        <v>6.8342354150145515E-3</v>
      </c>
      <c r="BL37" s="5">
        <f t="shared" ca="1" si="54"/>
        <v>6.442933165232049E-3</v>
      </c>
      <c r="BM37" s="5">
        <f t="shared" ca="1" si="55"/>
        <v>6.1637394588245319E-3</v>
      </c>
      <c r="BN37" s="5">
        <f t="shared" ca="1" si="56"/>
        <v>6.6227235930412477E-3</v>
      </c>
      <c r="BO37" s="5">
        <f t="shared" ca="1" si="57"/>
        <v>6.3585513633437696E-3</v>
      </c>
      <c r="BP37" s="5">
        <f t="shared" ca="1" si="58"/>
        <v>6.3421587127609497E-3</v>
      </c>
      <c r="BQ37" s="5">
        <f t="shared" ca="1" si="59"/>
        <v>6.2259184205398837E-3</v>
      </c>
      <c r="BR37" s="5">
        <f t="shared" ca="1" si="60"/>
        <v>6.6686035902972576E-3</v>
      </c>
      <c r="BS37" s="5">
        <f t="shared" ca="1" si="61"/>
        <v>6.7450624439489926E-3</v>
      </c>
      <c r="BT37" s="5">
        <f t="shared" ca="1" si="62"/>
        <v>6.505982612015378E-3</v>
      </c>
      <c r="BU37" s="5">
        <f t="shared" ca="1" si="63"/>
        <v>6.7214295195121799E-3</v>
      </c>
      <c r="BV37" s="5">
        <f t="shared" ca="1" si="64"/>
        <v>6.7630594742498721E-3</v>
      </c>
      <c r="BW37" s="5">
        <f t="shared" ca="1" si="65"/>
        <v>6.9732422446921885E-3</v>
      </c>
      <c r="BX37" s="5">
        <f t="shared" ca="1" si="66"/>
        <v>6.7214541602462832E-3</v>
      </c>
      <c r="BY37" s="5">
        <f t="shared" ca="1" si="67"/>
        <v>6.3260216779434768E-3</v>
      </c>
      <c r="BZ37" s="5">
        <f t="shared" ca="1" si="68"/>
        <v>6.4906336474874291E-3</v>
      </c>
      <c r="CA37" s="5">
        <f t="shared" ca="1" si="69"/>
        <v>6.1486377479519098E-3</v>
      </c>
      <c r="CB37" s="5">
        <f t="shared" ca="1" si="70"/>
        <v>6.6031356106790555E-3</v>
      </c>
      <c r="CC37" s="5">
        <f t="shared" ca="1" si="71"/>
        <v>6.5964085547998794E-3</v>
      </c>
      <c r="CD37" s="5">
        <f t="shared" ca="1" si="72"/>
        <v>6.3425455795457627E-3</v>
      </c>
      <c r="CE37" s="5">
        <f t="shared" ca="1" si="73"/>
        <v>6.3753626784070257E-3</v>
      </c>
      <c r="CF37" s="5">
        <f t="shared" ca="1" si="74"/>
        <v>6.7423791815286599E-3</v>
      </c>
      <c r="CG37" s="5">
        <f t="shared" ca="1" si="75"/>
        <v>6.6023278687641984E-3</v>
      </c>
      <c r="CH37" s="5">
        <f t="shared" ca="1" si="76"/>
        <v>6.3100745402700862E-3</v>
      </c>
      <c r="CI37" s="5">
        <f t="shared" ca="1" si="77"/>
        <v>6.648776874180186E-3</v>
      </c>
      <c r="CJ37" s="5">
        <f t="shared" ca="1" si="78"/>
        <v>6.7631710252623808E-3</v>
      </c>
      <c r="CK37" s="5">
        <f t="shared" ca="1" si="79"/>
        <v>6.6784712711630591E-3</v>
      </c>
      <c r="CL37" s="5">
        <f t="shared" ca="1" si="80"/>
        <v>6.4485294376792008E-3</v>
      </c>
      <c r="CM37" s="5">
        <f t="shared" ca="1" si="81"/>
        <v>6.6321133908829426E-3</v>
      </c>
      <c r="CN37" s="5">
        <f t="shared" ca="1" si="82"/>
        <v>6.5720472566126601E-3</v>
      </c>
      <c r="CO37" s="5">
        <f t="shared" ca="1" si="83"/>
        <v>6.736025944882219E-3</v>
      </c>
      <c r="CP37" s="5">
        <f t="shared" ca="1" si="84"/>
        <v>6.7800157152907254E-3</v>
      </c>
      <c r="CQ37" s="5">
        <f t="shared" ca="1" si="85"/>
        <v>6.8782085740029773E-3</v>
      </c>
      <c r="CR37" s="5">
        <f t="shared" ca="1" si="86"/>
        <v>6.5445198928972383E-3</v>
      </c>
      <c r="CS37" s="5">
        <f t="shared" ca="1" si="87"/>
        <v>6.627905796441699E-3</v>
      </c>
      <c r="CT37" s="5">
        <f t="shared" ca="1" si="88"/>
        <v>6.9864830681445333E-3</v>
      </c>
      <c r="CU37" s="5">
        <f t="shared" ca="1" si="89"/>
        <v>6.3085290099858804E-3</v>
      </c>
      <c r="CV37" s="5">
        <f t="shared" ca="1" si="90"/>
        <v>6.3535269726457616E-3</v>
      </c>
      <c r="CW37" s="5">
        <f t="shared" ca="1" si="91"/>
        <v>6.3804217587922251E-3</v>
      </c>
      <c r="CX37" s="5">
        <f t="shared" ca="1" si="92"/>
        <v>6.1586663220904985E-3</v>
      </c>
      <c r="CY37" s="5">
        <f t="shared" ca="1" si="93"/>
        <v>6.4742451049666725E-3</v>
      </c>
      <c r="CZ37" s="5">
        <f t="shared" ca="1" si="94"/>
        <v>6.436075472095148E-3</v>
      </c>
      <c r="DA37" s="5">
        <f t="shared" ca="1" si="95"/>
        <v>6.6656280399449777E-3</v>
      </c>
      <c r="DB37" s="5">
        <f t="shared" ca="1" si="96"/>
        <v>6.763449708729107E-3</v>
      </c>
      <c r="DC37" s="5">
        <f t="shared" ca="1" si="97"/>
        <v>6.5606390540016339E-3</v>
      </c>
      <c r="DD37" s="5">
        <f t="shared" ca="1" si="98"/>
        <v>6.391646211686218E-3</v>
      </c>
      <c r="DE37" s="5">
        <f t="shared" ca="1" si="99"/>
        <v>6.4923209178336496E-3</v>
      </c>
      <c r="DF37" s="5">
        <f t="shared" ca="1" si="100"/>
        <v>6.5085179542929616E-3</v>
      </c>
      <c r="DG37" s="5">
        <f t="shared" ca="1" si="101"/>
        <v>6.4851963309043104E-3</v>
      </c>
      <c r="DH37" s="5">
        <f t="shared" ca="1" si="102"/>
        <v>6.7772570309505087E-3</v>
      </c>
      <c r="DI37" s="5">
        <f t="shared" ca="1" si="103"/>
        <v>6.4157419640816799E-3</v>
      </c>
      <c r="DJ37" s="5">
        <f t="shared" ca="1" si="104"/>
        <v>6.6497452020632319E-3</v>
      </c>
    </row>
    <row r="38" spans="5:114" outlineLevel="1" x14ac:dyDescent="0.2">
      <c r="E38" s="32">
        <v>45627</v>
      </c>
      <c r="F38" s="9">
        <v>2320.4999999999995</v>
      </c>
      <c r="G38" s="5">
        <f t="shared" ca="1" si="105"/>
        <v>1.5811545733848291E-2</v>
      </c>
      <c r="H38" s="5">
        <f t="shared" ca="1" si="106"/>
        <v>6.4051604502956836E-3</v>
      </c>
      <c r="I38" s="9">
        <f t="shared" ca="1" si="107"/>
        <v>73956.959498335855</v>
      </c>
      <c r="K38" s="6">
        <v>34</v>
      </c>
      <c r="L38" s="5">
        <v>362506.50870273437</v>
      </c>
      <c r="N38" s="32">
        <v>45597</v>
      </c>
      <c r="O38" s="5">
        <f t="shared" ref="O38:O69" ca="1" si="108">O37+Kappa*(Theta-O37)*Deltat+Sigma*SQRT(O37)*_xlfn.NORM.INV(RAND(),0,Deltat)</f>
        <v>6.8175389241767574E-3</v>
      </c>
      <c r="P38" s="5">
        <f t="shared" ref="P38:P69" ca="1" si="109">P37+Kappa*(Theta-P37)*Deltat+Sigma*SQRT(P37)*_xlfn.NORM.INV(RAND(),0,Deltat)</f>
        <v>6.5279844230369923E-3</v>
      </c>
      <c r="Q38" s="5">
        <f t="shared" ref="Q38:Q69" ca="1" si="110">Q37+Kappa*(Theta-Q37)*Deltat+Sigma*SQRT(Q37)*_xlfn.NORM.INV(RAND(),0,Deltat)</f>
        <v>6.8313595863105248E-3</v>
      </c>
      <c r="R38" s="5">
        <f t="shared" ref="R38:R69" ca="1" si="111">R37+Kappa*(Theta-R37)*Deltat+Sigma*SQRT(R37)*_xlfn.NORM.INV(RAND(),0,Deltat)</f>
        <v>6.433688298440582E-3</v>
      </c>
      <c r="S38" s="5">
        <f t="shared" ref="S38:S69" ca="1" si="112">S37+Kappa*(Theta-S37)*Deltat+Sigma*SQRT(S37)*_xlfn.NORM.INV(RAND(),0,Deltat)</f>
        <v>6.5729671881619885E-3</v>
      </c>
      <c r="T38" s="5">
        <f t="shared" ref="T38:T69" ca="1" si="113">T37+Kappa*(Theta-T37)*Deltat+Sigma*SQRT(T37)*_xlfn.NORM.INV(RAND(),0,Deltat)</f>
        <v>5.8602686453116115E-3</v>
      </c>
      <c r="U38" s="5">
        <f t="shared" ref="U38:U69" ca="1" si="114">U37+Kappa*(Theta-U37)*Deltat+Sigma*SQRT(U37)*_xlfn.NORM.INV(RAND(),0,Deltat)</f>
        <v>6.2181861171588682E-3</v>
      </c>
      <c r="V38" s="5">
        <f t="shared" ref="V38:V69" ca="1" si="115">V37+Kappa*(Theta-V37)*Deltat+Sigma*SQRT(V37)*_xlfn.NORM.INV(RAND(),0,Deltat)</f>
        <v>6.7155239128374187E-3</v>
      </c>
      <c r="W38" s="5">
        <f t="shared" ref="W38:W69" ca="1" si="116">W37+Kappa*(Theta-W37)*Deltat+Sigma*SQRT(W37)*_xlfn.NORM.INV(RAND(),0,Deltat)</f>
        <v>6.4983135431309043E-3</v>
      </c>
      <c r="X38" s="5">
        <f t="shared" ref="X38:X69" ca="1" si="117">X37+Kappa*(Theta-X37)*Deltat+Sigma*SQRT(X37)*_xlfn.NORM.INV(RAND(),0,Deltat)</f>
        <v>6.5432464696590954E-3</v>
      </c>
      <c r="Y38" s="5">
        <f t="shared" ref="Y38:Y69" ca="1" si="118">Y37+Kappa*(Theta-Y37)*Deltat+Sigma*SQRT(Y37)*_xlfn.NORM.INV(RAND(),0,Deltat)</f>
        <v>6.6333091832975147E-3</v>
      </c>
      <c r="Z38" s="5">
        <f t="shared" ref="Z38:Z69" ca="1" si="119">Z37+Kappa*(Theta-Z37)*Deltat+Sigma*SQRT(Z37)*_xlfn.NORM.INV(RAND(),0,Deltat)</f>
        <v>6.7583391916565174E-3</v>
      </c>
      <c r="AA38" s="5">
        <f t="shared" ref="AA38:AA69" ca="1" si="120">AA37+Kappa*(Theta-AA37)*Deltat+Sigma*SQRT(AA37)*_xlfn.NORM.INV(RAND(),0,Deltat)</f>
        <v>6.6305071495049326E-3</v>
      </c>
      <c r="AB38" s="5">
        <f t="shared" ref="AB38:AB69" ca="1" si="121">AB37+Kappa*(Theta-AB37)*Deltat+Sigma*SQRT(AB37)*_xlfn.NORM.INV(RAND(),0,Deltat)</f>
        <v>7.3182862088126358E-3</v>
      </c>
      <c r="AC38" s="5">
        <f t="shared" ref="AC38:AC69" ca="1" si="122">AC37+Kappa*(Theta-AC37)*Deltat+Sigma*SQRT(AC37)*_xlfn.NORM.INV(RAND(),0,Deltat)</f>
        <v>7.039561529376682E-3</v>
      </c>
      <c r="AD38" s="5">
        <f t="shared" ref="AD38:AD69" ca="1" si="123">AD37+Kappa*(Theta-AD37)*Deltat+Sigma*SQRT(AD37)*_xlfn.NORM.INV(RAND(),0,Deltat)</f>
        <v>6.8699560137494694E-3</v>
      </c>
      <c r="AE38" s="5">
        <f t="shared" ref="AE38:AE69" ca="1" si="124">AE37+Kappa*(Theta-AE37)*Deltat+Sigma*SQRT(AE37)*_xlfn.NORM.INV(RAND(),0,Deltat)</f>
        <v>6.6337940868819298E-3</v>
      </c>
      <c r="AF38" s="5">
        <f t="shared" ref="AF38:AF69" ca="1" si="125">AF37+Kappa*(Theta-AF37)*Deltat+Sigma*SQRT(AF37)*_xlfn.NORM.INV(RAND(),0,Deltat)</f>
        <v>6.2369161045451879E-3</v>
      </c>
      <c r="AG38" s="5">
        <f t="shared" ref="AG38:AG69" ca="1" si="126">AG37+Kappa*(Theta-AG37)*Deltat+Sigma*SQRT(AG37)*_xlfn.NORM.INV(RAND(),0,Deltat)</f>
        <v>6.507813383339626E-3</v>
      </c>
      <c r="AH38" s="5">
        <f t="shared" ref="AH38:AH69" ca="1" si="127">AH37+Kappa*(Theta-AH37)*Deltat+Sigma*SQRT(AH37)*_xlfn.NORM.INV(RAND(),0,Deltat)</f>
        <v>6.3994632515528621E-3</v>
      </c>
      <c r="AI38" s="5">
        <f t="shared" ref="AI38:AI69" ca="1" si="128">AI37+Kappa*(Theta-AI37)*Deltat+Sigma*SQRT(AI37)*_xlfn.NORM.INV(RAND(),0,Deltat)</f>
        <v>6.7823987941627324E-3</v>
      </c>
      <c r="AJ38" s="5">
        <f t="shared" ref="AJ38:AJ69" ca="1" si="129">AJ37+Kappa*(Theta-AJ37)*Deltat+Sigma*SQRT(AJ37)*_xlfn.NORM.INV(RAND(),0,Deltat)</f>
        <v>6.5039502529210449E-3</v>
      </c>
      <c r="AK38" s="5">
        <f t="shared" ref="AK38:AK69" ca="1" si="130">AK37+Kappa*(Theta-AK37)*Deltat+Sigma*SQRT(AK37)*_xlfn.NORM.INV(RAND(),0,Deltat)</f>
        <v>6.5976088278288537E-3</v>
      </c>
      <c r="AL38" s="5">
        <f t="shared" ref="AL38:AL69" ca="1" si="131">AL37+Kappa*(Theta-AL37)*Deltat+Sigma*SQRT(AL37)*_xlfn.NORM.INV(RAND(),0,Deltat)</f>
        <v>6.4203497382646644E-3</v>
      </c>
      <c r="AM38" s="5">
        <f t="shared" ref="AM38:AM69" ca="1" si="132">AM37+Kappa*(Theta-AM37)*Deltat+Sigma*SQRT(AM37)*_xlfn.NORM.INV(RAND(),0,Deltat)</f>
        <v>6.3605403140007486E-3</v>
      </c>
      <c r="AN38" s="5">
        <f t="shared" ref="AN38:AN69" ca="1" si="133">AN37+Kappa*(Theta-AN37)*Deltat+Sigma*SQRT(AN37)*_xlfn.NORM.INV(RAND(),0,Deltat)</f>
        <v>6.6601588149876201E-3</v>
      </c>
      <c r="AO38" s="5">
        <f t="shared" ref="AO38:AO69" ca="1" si="134">AO37+Kappa*(Theta-AO37)*Deltat+Sigma*SQRT(AO37)*_xlfn.NORM.INV(RAND(),0,Deltat)</f>
        <v>6.9508028575782504E-3</v>
      </c>
      <c r="AP38" s="5">
        <f t="shared" ref="AP38:AP69" ca="1" si="135">AP37+Kappa*(Theta-AP37)*Deltat+Sigma*SQRT(AP37)*_xlfn.NORM.INV(RAND(),0,Deltat)</f>
        <v>6.2303003492952171E-3</v>
      </c>
      <c r="AQ38" s="5">
        <f t="shared" ref="AQ38:AQ69" ca="1" si="136">AQ37+Kappa*(Theta-AQ37)*Deltat+Sigma*SQRT(AQ37)*_xlfn.NORM.INV(RAND(),0,Deltat)</f>
        <v>6.4017163190781337E-3</v>
      </c>
      <c r="AR38" s="5">
        <f t="shared" ref="AR38:AR69" ca="1" si="137">AR37+Kappa*(Theta-AR37)*Deltat+Sigma*SQRT(AR37)*_xlfn.NORM.INV(RAND(),0,Deltat)</f>
        <v>6.3974469838218636E-3</v>
      </c>
      <c r="AS38" s="5">
        <f t="shared" ref="AS38:AS69" ca="1" si="138">AS37+Kappa*(Theta-AS37)*Deltat+Sigma*SQRT(AS37)*_xlfn.NORM.INV(RAND(),0,Deltat)</f>
        <v>6.7390653479604849E-3</v>
      </c>
      <c r="AT38" s="5">
        <f t="shared" ref="AT38:AT69" ca="1" si="139">AT37+Kappa*(Theta-AT37)*Deltat+Sigma*SQRT(AT37)*_xlfn.NORM.INV(RAND(),0,Deltat)</f>
        <v>6.4516848766927133E-3</v>
      </c>
      <c r="AU38" s="5">
        <f t="shared" ref="AU38:AU69" ca="1" si="140">AU37+Kappa*(Theta-AU37)*Deltat+Sigma*SQRT(AU37)*_xlfn.NORM.INV(RAND(),0,Deltat)</f>
        <v>6.4297924987192223E-3</v>
      </c>
      <c r="AV38" s="5">
        <f t="shared" ref="AV38:AV69" ca="1" si="141">AV37+Kappa*(Theta-AV37)*Deltat+Sigma*SQRT(AV37)*_xlfn.NORM.INV(RAND(),0,Deltat)</f>
        <v>6.2926936779573294E-3</v>
      </c>
      <c r="AW38" s="5">
        <f t="shared" ref="AW38:AW69" ca="1" si="142">AW37+Kappa*(Theta-AW37)*Deltat+Sigma*SQRT(AW37)*_xlfn.NORM.INV(RAND(),0,Deltat)</f>
        <v>6.6090681962695953E-3</v>
      </c>
      <c r="AX38" s="5">
        <f t="shared" ref="AX38:AX69" ca="1" si="143">AX37+Kappa*(Theta-AX37)*Deltat+Sigma*SQRT(AX37)*_xlfn.NORM.INV(RAND(),0,Deltat)</f>
        <v>6.3382998788849365E-3</v>
      </c>
      <c r="AY38" s="5">
        <f t="shared" ref="AY38:AY69" ca="1" si="144">AY37+Kappa*(Theta-AY37)*Deltat+Sigma*SQRT(AY37)*_xlfn.NORM.INV(RAND(),0,Deltat)</f>
        <v>6.9581943322239203E-3</v>
      </c>
      <c r="AZ38" s="5">
        <f t="shared" ref="AZ38:AZ69" ca="1" si="145">AZ37+Kappa*(Theta-AZ37)*Deltat+Sigma*SQRT(AZ37)*_xlfn.NORM.INV(RAND(),0,Deltat)</f>
        <v>6.5189024315884803E-3</v>
      </c>
      <c r="BA38" s="5">
        <f t="shared" ref="BA38:BA69" ca="1" si="146">BA37+Kappa*(Theta-BA37)*Deltat+Sigma*SQRT(BA37)*_xlfn.NORM.INV(RAND(),0,Deltat)</f>
        <v>6.6789352080022036E-3</v>
      </c>
      <c r="BB38" s="5">
        <f t="shared" ref="BB38:BB69" ca="1" si="147">BB37+Kappa*(Theta-BB37)*Deltat+Sigma*SQRT(BB37)*_xlfn.NORM.INV(RAND(),0,Deltat)</f>
        <v>6.5947775444553589E-3</v>
      </c>
      <c r="BC38" s="5">
        <f t="shared" ref="BC38:BC69" ca="1" si="148">BC37+Kappa*(Theta-BC37)*Deltat+Sigma*SQRT(BC37)*_xlfn.NORM.INV(RAND(),0,Deltat)</f>
        <v>6.036003523748756E-3</v>
      </c>
      <c r="BD38" s="5">
        <f t="shared" ref="BD38:BD69" ca="1" si="149">BD37+Kappa*(Theta-BD37)*Deltat+Sigma*SQRT(BD37)*_xlfn.NORM.INV(RAND(),0,Deltat)</f>
        <v>6.6052770895013565E-3</v>
      </c>
      <c r="BE38" s="5">
        <f t="shared" ref="BE38:BE69" ca="1" si="150">BE37+Kappa*(Theta-BE37)*Deltat+Sigma*SQRT(BE37)*_xlfn.NORM.INV(RAND(),0,Deltat)</f>
        <v>6.823135588257488E-3</v>
      </c>
      <c r="BF38" s="5">
        <f t="shared" ref="BF38:BF69" ca="1" si="151">BF37+Kappa*(Theta-BF37)*Deltat+Sigma*SQRT(BF37)*_xlfn.NORM.INV(RAND(),0,Deltat)</f>
        <v>6.5818059308295936E-3</v>
      </c>
      <c r="BG38" s="5">
        <f t="shared" ref="BG38:BG69" ca="1" si="152">BG37+Kappa*(Theta-BG37)*Deltat+Sigma*SQRT(BG37)*_xlfn.NORM.INV(RAND(),0,Deltat)</f>
        <v>6.2827960452806484E-3</v>
      </c>
      <c r="BH38" s="5">
        <f t="shared" ref="BH38:BH69" ca="1" si="153">BH37+Kappa*(Theta-BH37)*Deltat+Sigma*SQRT(BH37)*_xlfn.NORM.INV(RAND(),0,Deltat)</f>
        <v>6.3887419205453239E-3</v>
      </c>
      <c r="BI38" s="5">
        <f t="shared" ref="BI38:BI69" ca="1" si="154">BI37+Kappa*(Theta-BI37)*Deltat+Sigma*SQRT(BI37)*_xlfn.NORM.INV(RAND(),0,Deltat)</f>
        <v>6.8128372176575061E-3</v>
      </c>
      <c r="BJ38" s="5">
        <f t="shared" ref="BJ38:BJ69" ca="1" si="155">BJ37+Kappa*(Theta-BJ37)*Deltat+Sigma*SQRT(BJ37)*_xlfn.NORM.INV(RAND(),0,Deltat)</f>
        <v>6.8039534266900025E-3</v>
      </c>
      <c r="BK38" s="5">
        <f t="shared" ref="BK38:BK69" ca="1" si="156">BK37+Kappa*(Theta-BK37)*Deltat+Sigma*SQRT(BK37)*_xlfn.NORM.INV(RAND(),0,Deltat)</f>
        <v>6.8202267121728688E-3</v>
      </c>
      <c r="BL38" s="5">
        <f t="shared" ref="BL38:BL69" ca="1" si="157">BL37+Kappa*(Theta-BL37)*Deltat+Sigma*SQRT(BL37)*_xlfn.NORM.INV(RAND(),0,Deltat)</f>
        <v>6.4819339196209727E-3</v>
      </c>
      <c r="BM38" s="5">
        <f t="shared" ref="BM38:BM69" ca="1" si="158">BM37+Kappa*(Theta-BM37)*Deltat+Sigma*SQRT(BM37)*_xlfn.NORM.INV(RAND(),0,Deltat)</f>
        <v>6.1178787874933338E-3</v>
      </c>
      <c r="BN38" s="5">
        <f t="shared" ref="BN38:BN69" ca="1" si="159">BN37+Kappa*(Theta-BN37)*Deltat+Sigma*SQRT(BN37)*_xlfn.NORM.INV(RAND(),0,Deltat)</f>
        <v>6.6644285071503937E-3</v>
      </c>
      <c r="BO38" s="5">
        <f t="shared" ref="BO38:BO69" ca="1" si="160">BO37+Kappa*(Theta-BO37)*Deltat+Sigma*SQRT(BO37)*_xlfn.NORM.INV(RAND(),0,Deltat)</f>
        <v>6.397212000195533E-3</v>
      </c>
      <c r="BP38" s="5">
        <f t="shared" ref="BP38:BP69" ca="1" si="161">BP37+Kappa*(Theta-BP37)*Deltat+Sigma*SQRT(BP37)*_xlfn.NORM.INV(RAND(),0,Deltat)</f>
        <v>6.3826543297705847E-3</v>
      </c>
      <c r="BQ38" s="5">
        <f t="shared" ref="BQ38:BQ69" ca="1" si="162">BQ37+Kappa*(Theta-BQ37)*Deltat+Sigma*SQRT(BQ37)*_xlfn.NORM.INV(RAND(),0,Deltat)</f>
        <v>6.2515519262984947E-3</v>
      </c>
      <c r="BR38" s="5">
        <f t="shared" ref="BR38:BR69" ca="1" si="163">BR37+Kappa*(Theta-BR37)*Deltat+Sigma*SQRT(BR37)*_xlfn.NORM.INV(RAND(),0,Deltat)</f>
        <v>6.6641436222876476E-3</v>
      </c>
      <c r="BS38" s="5">
        <f t="shared" ref="BS38:BS69" ca="1" si="164">BS37+Kappa*(Theta-BS37)*Deltat+Sigma*SQRT(BS37)*_xlfn.NORM.INV(RAND(),0,Deltat)</f>
        <v>6.7939101530878057E-3</v>
      </c>
      <c r="BT38" s="5">
        <f t="shared" ref="BT38:BT69" ca="1" si="165">BT37+Kappa*(Theta-BT37)*Deltat+Sigma*SQRT(BT37)*_xlfn.NORM.INV(RAND(),0,Deltat)</f>
        <v>6.4955880679442198E-3</v>
      </c>
      <c r="BU38" s="5">
        <f t="shared" ref="BU38:BU69" ca="1" si="166">BU37+Kappa*(Theta-BU37)*Deltat+Sigma*SQRT(BU37)*_xlfn.NORM.INV(RAND(),0,Deltat)</f>
        <v>6.6966759914696113E-3</v>
      </c>
      <c r="BV38" s="5">
        <f t="shared" ref="BV38:BV69" ca="1" si="167">BV37+Kappa*(Theta-BV37)*Deltat+Sigma*SQRT(BV37)*_xlfn.NORM.INV(RAND(),0,Deltat)</f>
        <v>6.7185639146165269E-3</v>
      </c>
      <c r="BW38" s="5">
        <f t="shared" ref="BW38:BW69" ca="1" si="168">BW37+Kappa*(Theta-BW37)*Deltat+Sigma*SQRT(BW37)*_xlfn.NORM.INV(RAND(),0,Deltat)</f>
        <v>6.9986228383322122E-3</v>
      </c>
      <c r="BX38" s="5">
        <f t="shared" ref="BX38:BX69" ca="1" si="169">BX37+Kappa*(Theta-BX37)*Deltat+Sigma*SQRT(BX37)*_xlfn.NORM.INV(RAND(),0,Deltat)</f>
        <v>6.6773591893972313E-3</v>
      </c>
      <c r="BY38" s="5">
        <f t="shared" ref="BY38:BY69" ca="1" si="170">BY37+Kappa*(Theta-BY37)*Deltat+Sigma*SQRT(BY37)*_xlfn.NORM.INV(RAND(),0,Deltat)</f>
        <v>6.3413399468010383E-3</v>
      </c>
      <c r="BZ38" s="5">
        <f t="shared" ref="BZ38:BZ69" ca="1" si="171">BZ37+Kappa*(Theta-BZ37)*Deltat+Sigma*SQRT(BZ37)*_xlfn.NORM.INV(RAND(),0,Deltat)</f>
        <v>6.4705140991583761E-3</v>
      </c>
      <c r="CA38" s="5">
        <f t="shared" ref="CA38:CA69" ca="1" si="172">CA37+Kappa*(Theta-CA37)*Deltat+Sigma*SQRT(CA37)*_xlfn.NORM.INV(RAND(),0,Deltat)</f>
        <v>6.2139868250785466E-3</v>
      </c>
      <c r="CB38" s="5">
        <f t="shared" ref="CB38:CB69" ca="1" si="173">CB37+Kappa*(Theta-CB37)*Deltat+Sigma*SQRT(CB37)*_xlfn.NORM.INV(RAND(),0,Deltat)</f>
        <v>6.6697224983734288E-3</v>
      </c>
      <c r="CC38" s="5">
        <f t="shared" ref="CC38:CC69" ca="1" si="174">CC37+Kappa*(Theta-CC37)*Deltat+Sigma*SQRT(CC37)*_xlfn.NORM.INV(RAND(),0,Deltat)</f>
        <v>6.5838893374910732E-3</v>
      </c>
      <c r="CD38" s="5">
        <f t="shared" ref="CD38:CD69" ca="1" si="175">CD37+Kappa*(Theta-CD37)*Deltat+Sigma*SQRT(CD37)*_xlfn.NORM.INV(RAND(),0,Deltat)</f>
        <v>6.3513499257273351E-3</v>
      </c>
      <c r="CE38" s="5">
        <f t="shared" ref="CE38:CE69" ca="1" si="176">CE37+Kappa*(Theta-CE37)*Deltat+Sigma*SQRT(CE37)*_xlfn.NORM.INV(RAND(),0,Deltat)</f>
        <v>6.3885382670142961E-3</v>
      </c>
      <c r="CF38" s="5">
        <f t="shared" ref="CF38:CF69" ca="1" si="177">CF37+Kappa*(Theta-CF37)*Deltat+Sigma*SQRT(CF37)*_xlfn.NORM.INV(RAND(),0,Deltat)</f>
        <v>6.6912714333384506E-3</v>
      </c>
      <c r="CG38" s="5">
        <f t="shared" ref="CG38:CG69" ca="1" si="178">CG37+Kappa*(Theta-CG37)*Deltat+Sigma*SQRT(CG37)*_xlfn.NORM.INV(RAND(),0,Deltat)</f>
        <v>6.6028141443419328E-3</v>
      </c>
      <c r="CH38" s="5">
        <f t="shared" ref="CH38:CH69" ca="1" si="179">CH37+Kappa*(Theta-CH37)*Deltat+Sigma*SQRT(CH37)*_xlfn.NORM.INV(RAND(),0,Deltat)</f>
        <v>6.3184875717777686E-3</v>
      </c>
      <c r="CI38" s="5">
        <f t="shared" ref="CI38:CI69" ca="1" si="180">CI37+Kappa*(Theta-CI37)*Deltat+Sigma*SQRT(CI37)*_xlfn.NORM.INV(RAND(),0,Deltat)</f>
        <v>6.5665697580222981E-3</v>
      </c>
      <c r="CJ38" s="5">
        <f t="shared" ref="CJ38:CJ69" ca="1" si="181">CJ37+Kappa*(Theta-CJ37)*Deltat+Sigma*SQRT(CJ37)*_xlfn.NORM.INV(RAND(),0,Deltat)</f>
        <v>6.7169974765240292E-3</v>
      </c>
      <c r="CK38" s="5">
        <f t="shared" ref="CK38:CK69" ca="1" si="182">CK37+Kappa*(Theta-CK37)*Deltat+Sigma*SQRT(CK37)*_xlfn.NORM.INV(RAND(),0,Deltat)</f>
        <v>6.7185047715175618E-3</v>
      </c>
      <c r="CL38" s="5">
        <f t="shared" ref="CL38:CL69" ca="1" si="183">CL37+Kappa*(Theta-CL37)*Deltat+Sigma*SQRT(CL37)*_xlfn.NORM.INV(RAND(),0,Deltat)</f>
        <v>6.5013710362301948E-3</v>
      </c>
      <c r="CM38" s="5">
        <f t="shared" ref="CM38:CM69" ca="1" si="184">CM37+Kappa*(Theta-CM37)*Deltat+Sigma*SQRT(CM37)*_xlfn.NORM.INV(RAND(),0,Deltat)</f>
        <v>6.7083307299065052E-3</v>
      </c>
      <c r="CN38" s="5">
        <f t="shared" ref="CN38:CN69" ca="1" si="185">CN37+Kappa*(Theta-CN37)*Deltat+Sigma*SQRT(CN37)*_xlfn.NORM.INV(RAND(),0,Deltat)</f>
        <v>6.5508324967267946E-3</v>
      </c>
      <c r="CO38" s="5">
        <f t="shared" ref="CO38:CO69" ca="1" si="186">CO37+Kappa*(Theta-CO37)*Deltat+Sigma*SQRT(CO37)*_xlfn.NORM.INV(RAND(),0,Deltat)</f>
        <v>6.7326325203508333E-3</v>
      </c>
      <c r="CP38" s="5">
        <f t="shared" ref="CP38:CP69" ca="1" si="187">CP37+Kappa*(Theta-CP37)*Deltat+Sigma*SQRT(CP37)*_xlfn.NORM.INV(RAND(),0,Deltat)</f>
        <v>6.7673430864666441E-3</v>
      </c>
      <c r="CQ38" s="5">
        <f t="shared" ref="CQ38:CQ69" ca="1" si="188">CQ37+Kappa*(Theta-CQ37)*Deltat+Sigma*SQRT(CQ37)*_xlfn.NORM.INV(RAND(),0,Deltat)</f>
        <v>6.8815858261791997E-3</v>
      </c>
      <c r="CR38" s="5">
        <f t="shared" ref="CR38:CR69" ca="1" si="189">CR37+Kappa*(Theta-CR37)*Deltat+Sigma*SQRT(CR37)*_xlfn.NORM.INV(RAND(),0,Deltat)</f>
        <v>6.5215122168042717E-3</v>
      </c>
      <c r="CS38" s="5">
        <f t="shared" ref="CS38:CS69" ca="1" si="190">CS37+Kappa*(Theta-CS37)*Deltat+Sigma*SQRT(CS37)*_xlfn.NORM.INV(RAND(),0,Deltat)</f>
        <v>6.626276061046074E-3</v>
      </c>
      <c r="CT38" s="5">
        <f t="shared" ref="CT38:CT69" ca="1" si="191">CT37+Kappa*(Theta-CT37)*Deltat+Sigma*SQRT(CT37)*_xlfn.NORM.INV(RAND(),0,Deltat)</f>
        <v>6.973348954708347E-3</v>
      </c>
      <c r="CU38" s="5">
        <f t="shared" ref="CU38:CU69" ca="1" si="192">CU37+Kappa*(Theta-CU37)*Deltat+Sigma*SQRT(CU37)*_xlfn.NORM.INV(RAND(),0,Deltat)</f>
        <v>6.2681942073023363E-3</v>
      </c>
      <c r="CV38" s="5">
        <f t="shared" ref="CV38:CV69" ca="1" si="193">CV37+Kappa*(Theta-CV37)*Deltat+Sigma*SQRT(CV37)*_xlfn.NORM.INV(RAND(),0,Deltat)</f>
        <v>6.3843911403160007E-3</v>
      </c>
      <c r="CW38" s="5">
        <f t="shared" ref="CW38:CW69" ca="1" si="194">CW37+Kappa*(Theta-CW37)*Deltat+Sigma*SQRT(CW37)*_xlfn.NORM.INV(RAND(),0,Deltat)</f>
        <v>6.397874605998906E-3</v>
      </c>
      <c r="CX38" s="5">
        <f t="shared" ref="CX38:CX69" ca="1" si="195">CX37+Kappa*(Theta-CX37)*Deltat+Sigma*SQRT(CX37)*_xlfn.NORM.INV(RAND(),0,Deltat)</f>
        <v>6.2247011542920106E-3</v>
      </c>
      <c r="CY38" s="5">
        <f t="shared" ref="CY38:CY69" ca="1" si="196">CY37+Kappa*(Theta-CY37)*Deltat+Sigma*SQRT(CY37)*_xlfn.NORM.INV(RAND(),0,Deltat)</f>
        <v>6.4490401355491028E-3</v>
      </c>
      <c r="CZ38" s="5">
        <f t="shared" ref="CZ38:CZ69" ca="1" si="197">CZ37+Kappa*(Theta-CZ37)*Deltat+Sigma*SQRT(CZ37)*_xlfn.NORM.INV(RAND(),0,Deltat)</f>
        <v>6.3728061900839694E-3</v>
      </c>
      <c r="DA38" s="5">
        <f t="shared" ref="DA38:DA69" ca="1" si="198">DA37+Kappa*(Theta-DA37)*Deltat+Sigma*SQRT(DA37)*_xlfn.NORM.INV(RAND(),0,Deltat)</f>
        <v>6.6718001136421906E-3</v>
      </c>
      <c r="DB38" s="5">
        <f t="shared" ref="DB38:DB69" ca="1" si="199">DB37+Kappa*(Theta-DB37)*Deltat+Sigma*SQRT(DB37)*_xlfn.NORM.INV(RAND(),0,Deltat)</f>
        <v>6.7573302767017186E-3</v>
      </c>
      <c r="DC38" s="5">
        <f t="shared" ref="DC38:DC69" ca="1" si="200">DC37+Kappa*(Theta-DC37)*Deltat+Sigma*SQRT(DC37)*_xlfn.NORM.INV(RAND(),0,Deltat)</f>
        <v>6.5245679716685046E-3</v>
      </c>
      <c r="DD38" s="5">
        <f t="shared" ref="DD38:DD69" ca="1" si="201">DD37+Kappa*(Theta-DD37)*Deltat+Sigma*SQRT(DD37)*_xlfn.NORM.INV(RAND(),0,Deltat)</f>
        <v>6.4201929766219733E-3</v>
      </c>
      <c r="DE38" s="5">
        <f t="shared" ref="DE38:DE69" ca="1" si="202">DE37+Kappa*(Theta-DE37)*Deltat+Sigma*SQRT(DE37)*_xlfn.NORM.INV(RAND(),0,Deltat)</f>
        <v>6.5166283133887221E-3</v>
      </c>
      <c r="DF38" s="5">
        <f t="shared" ref="DF38:DF69" ca="1" si="203">DF37+Kappa*(Theta-DF37)*Deltat+Sigma*SQRT(DF37)*_xlfn.NORM.INV(RAND(),0,Deltat)</f>
        <v>6.5257678424208527E-3</v>
      </c>
      <c r="DG38" s="5">
        <f t="shared" ref="DG38:DG69" ca="1" si="204">DG37+Kappa*(Theta-DG37)*Deltat+Sigma*SQRT(DG37)*_xlfn.NORM.INV(RAND(),0,Deltat)</f>
        <v>6.508421392383305E-3</v>
      </c>
      <c r="DH38" s="5">
        <f t="shared" ref="DH38:DH69" ca="1" si="205">DH37+Kappa*(Theta-DH37)*Deltat+Sigma*SQRT(DH37)*_xlfn.NORM.INV(RAND(),0,Deltat)</f>
        <v>6.7925104057877028E-3</v>
      </c>
      <c r="DI38" s="5">
        <f t="shared" ref="DI38:DI69" ca="1" si="206">DI37+Kappa*(Theta-DI37)*Deltat+Sigma*SQRT(DI37)*_xlfn.NORM.INV(RAND(),0,Deltat)</f>
        <v>6.5285456443300678E-3</v>
      </c>
      <c r="DJ38" s="5">
        <f t="shared" ref="DJ38:DJ69" ca="1" si="207">DJ37+Kappa*(Theta-DJ37)*Deltat+Sigma*SQRT(DJ37)*_xlfn.NORM.INV(RAND(),0,Deltat)</f>
        <v>6.7247077086978867E-3</v>
      </c>
    </row>
    <row r="39" spans="5:114" outlineLevel="1" x14ac:dyDescent="0.2">
      <c r="E39" s="32">
        <v>45658</v>
      </c>
      <c r="F39" s="9">
        <v>2320.4999999999995</v>
      </c>
      <c r="G39" s="5">
        <f t="shared" ca="1" si="105"/>
        <v>7.179611162706287E-2</v>
      </c>
      <c r="H39" s="5">
        <f t="shared" ca="1" si="106"/>
        <v>6.4188842237499315E-3</v>
      </c>
      <c r="I39" s="9">
        <f t="shared" ca="1" si="107"/>
        <v>76317.030177422697</v>
      </c>
      <c r="K39" s="6">
        <v>35</v>
      </c>
      <c r="L39" s="5">
        <v>362460.92178705399</v>
      </c>
      <c r="N39" s="32">
        <v>45627</v>
      </c>
      <c r="O39" s="5">
        <f t="shared" ca="1" si="108"/>
        <v>6.8246506978324661E-3</v>
      </c>
      <c r="P39" s="5">
        <f t="shared" ca="1" si="109"/>
        <v>6.6139365568512829E-3</v>
      </c>
      <c r="Q39" s="5">
        <f t="shared" ca="1" si="110"/>
        <v>6.8031912091552618E-3</v>
      </c>
      <c r="R39" s="5">
        <f t="shared" ca="1" si="111"/>
        <v>6.4773551610089204E-3</v>
      </c>
      <c r="S39" s="5">
        <f t="shared" ca="1" si="112"/>
        <v>6.5719861486406477E-3</v>
      </c>
      <c r="T39" s="5">
        <f t="shared" ca="1" si="113"/>
        <v>5.884927360353634E-3</v>
      </c>
      <c r="U39" s="5">
        <f t="shared" ca="1" si="114"/>
        <v>6.249944182224086E-3</v>
      </c>
      <c r="V39" s="5">
        <f t="shared" ca="1" si="115"/>
        <v>6.7692033921463966E-3</v>
      </c>
      <c r="W39" s="5">
        <f t="shared" ca="1" si="116"/>
        <v>6.4916593031557716E-3</v>
      </c>
      <c r="X39" s="5">
        <f t="shared" ca="1" si="117"/>
        <v>6.6214611443440249E-3</v>
      </c>
      <c r="Y39" s="5">
        <f t="shared" ca="1" si="118"/>
        <v>6.5723198026059878E-3</v>
      </c>
      <c r="Z39" s="5">
        <f t="shared" ca="1" si="119"/>
        <v>6.7034004902456401E-3</v>
      </c>
      <c r="AA39" s="5">
        <f t="shared" ca="1" si="120"/>
        <v>6.6574462664651425E-3</v>
      </c>
      <c r="AB39" s="5">
        <f t="shared" ca="1" si="121"/>
        <v>7.3452904103275922E-3</v>
      </c>
      <c r="AC39" s="5">
        <f t="shared" ca="1" si="122"/>
        <v>7.0804509375490638E-3</v>
      </c>
      <c r="AD39" s="5">
        <f t="shared" ca="1" si="123"/>
        <v>6.8252657617804699E-3</v>
      </c>
      <c r="AE39" s="5">
        <f t="shared" ca="1" si="124"/>
        <v>6.5951088136940676E-3</v>
      </c>
      <c r="AF39" s="5">
        <f t="shared" ca="1" si="125"/>
        <v>6.2061006578856765E-3</v>
      </c>
      <c r="AG39" s="5">
        <f t="shared" ca="1" si="126"/>
        <v>6.4890955085097363E-3</v>
      </c>
      <c r="AH39" s="5">
        <f t="shared" ca="1" si="127"/>
        <v>6.3299258093927032E-3</v>
      </c>
      <c r="AI39" s="5">
        <f t="shared" ca="1" si="128"/>
        <v>6.7967541693974018E-3</v>
      </c>
      <c r="AJ39" s="5">
        <f t="shared" ca="1" si="129"/>
        <v>6.5160067652163872E-3</v>
      </c>
      <c r="AK39" s="5">
        <f t="shared" ca="1" si="130"/>
        <v>6.6138789535499596E-3</v>
      </c>
      <c r="AL39" s="5">
        <f t="shared" ca="1" si="131"/>
        <v>6.4636438359656273E-3</v>
      </c>
      <c r="AM39" s="5">
        <f t="shared" ca="1" si="132"/>
        <v>6.3588259122888697E-3</v>
      </c>
      <c r="AN39" s="5">
        <f t="shared" ca="1" si="133"/>
        <v>6.6720749165234362E-3</v>
      </c>
      <c r="AO39" s="5">
        <f t="shared" ca="1" si="134"/>
        <v>7.0278971856215459E-3</v>
      </c>
      <c r="AP39" s="5">
        <f t="shared" ca="1" si="135"/>
        <v>6.2254940358545448E-3</v>
      </c>
      <c r="AQ39" s="5">
        <f t="shared" ca="1" si="136"/>
        <v>6.4077765429633171E-3</v>
      </c>
      <c r="AR39" s="5">
        <f t="shared" ca="1" si="137"/>
        <v>6.5001693706119423E-3</v>
      </c>
      <c r="AS39" s="5">
        <f t="shared" ca="1" si="138"/>
        <v>6.7235973890908329E-3</v>
      </c>
      <c r="AT39" s="5">
        <f t="shared" ca="1" si="139"/>
        <v>6.3772906346471047E-3</v>
      </c>
      <c r="AU39" s="5">
        <f t="shared" ca="1" si="140"/>
        <v>6.3512433896308939E-3</v>
      </c>
      <c r="AV39" s="5">
        <f t="shared" ca="1" si="141"/>
        <v>6.4062458977961652E-3</v>
      </c>
      <c r="AW39" s="5">
        <f t="shared" ca="1" si="142"/>
        <v>6.6487748029653033E-3</v>
      </c>
      <c r="AX39" s="5">
        <f t="shared" ca="1" si="143"/>
        <v>6.3832128345639033E-3</v>
      </c>
      <c r="AY39" s="5">
        <f t="shared" ca="1" si="144"/>
        <v>6.9667014465624082E-3</v>
      </c>
      <c r="AZ39" s="5">
        <f t="shared" ca="1" si="145"/>
        <v>6.5171497232622833E-3</v>
      </c>
      <c r="BA39" s="5">
        <f t="shared" ca="1" si="146"/>
        <v>6.7413957289564341E-3</v>
      </c>
      <c r="BB39" s="5">
        <f t="shared" ca="1" si="147"/>
        <v>6.6715958945007077E-3</v>
      </c>
      <c r="BC39" s="5">
        <f t="shared" ca="1" si="148"/>
        <v>6.0854940727473623E-3</v>
      </c>
      <c r="BD39" s="5">
        <f t="shared" ca="1" si="149"/>
        <v>6.5434741180232427E-3</v>
      </c>
      <c r="BE39" s="5">
        <f t="shared" ca="1" si="150"/>
        <v>6.8066854005464023E-3</v>
      </c>
      <c r="BF39" s="5">
        <f t="shared" ca="1" si="151"/>
        <v>6.5404628765787535E-3</v>
      </c>
      <c r="BG39" s="5">
        <f t="shared" ca="1" si="152"/>
        <v>6.2070826963334545E-3</v>
      </c>
      <c r="BH39" s="5">
        <f t="shared" ca="1" si="153"/>
        <v>6.3691546553549094E-3</v>
      </c>
      <c r="BI39" s="5">
        <f t="shared" ca="1" si="154"/>
        <v>6.9205014649156233E-3</v>
      </c>
      <c r="BJ39" s="5">
        <f t="shared" ca="1" si="155"/>
        <v>6.8501851803699047E-3</v>
      </c>
      <c r="BK39" s="5">
        <f t="shared" ca="1" si="156"/>
        <v>6.9022411384356214E-3</v>
      </c>
      <c r="BL39" s="5">
        <f t="shared" ca="1" si="157"/>
        <v>6.545430601596707E-3</v>
      </c>
      <c r="BM39" s="5">
        <f t="shared" ca="1" si="158"/>
        <v>6.1514402448764023E-3</v>
      </c>
      <c r="BN39" s="5">
        <f t="shared" ca="1" si="159"/>
        <v>6.6712254891565809E-3</v>
      </c>
      <c r="BO39" s="5">
        <f t="shared" ca="1" si="160"/>
        <v>6.4852840954721588E-3</v>
      </c>
      <c r="BP39" s="5">
        <f t="shared" ca="1" si="161"/>
        <v>6.4018404921931758E-3</v>
      </c>
      <c r="BQ39" s="5">
        <f t="shared" ca="1" si="162"/>
        <v>6.2489460676379621E-3</v>
      </c>
      <c r="BR39" s="5">
        <f t="shared" ca="1" si="163"/>
        <v>6.6796000316129206E-3</v>
      </c>
      <c r="BS39" s="5">
        <f t="shared" ca="1" si="164"/>
        <v>6.7853059001099269E-3</v>
      </c>
      <c r="BT39" s="5">
        <f t="shared" ca="1" si="165"/>
        <v>6.4539045244979406E-3</v>
      </c>
      <c r="BU39" s="5">
        <f t="shared" ca="1" si="166"/>
        <v>6.6999060400881353E-3</v>
      </c>
      <c r="BV39" s="5">
        <f t="shared" ca="1" si="167"/>
        <v>6.8420441538874759E-3</v>
      </c>
      <c r="BW39" s="5">
        <f t="shared" ca="1" si="168"/>
        <v>6.921339059477033E-3</v>
      </c>
      <c r="BX39" s="5">
        <f t="shared" ca="1" si="169"/>
        <v>6.7052621714796899E-3</v>
      </c>
      <c r="BY39" s="5">
        <f t="shared" ca="1" si="170"/>
        <v>6.2889474216154713E-3</v>
      </c>
      <c r="BZ39" s="5">
        <f t="shared" ca="1" si="171"/>
        <v>6.5045280183317093E-3</v>
      </c>
      <c r="CA39" s="5">
        <f t="shared" ca="1" si="172"/>
        <v>6.2381093954398635E-3</v>
      </c>
      <c r="CB39" s="5">
        <f t="shared" ca="1" si="173"/>
        <v>6.7133174822894643E-3</v>
      </c>
      <c r="CC39" s="5">
        <f t="shared" ca="1" si="174"/>
        <v>6.6101583768864731E-3</v>
      </c>
      <c r="CD39" s="5">
        <f t="shared" ca="1" si="175"/>
        <v>6.364133498061501E-3</v>
      </c>
      <c r="CE39" s="5">
        <f t="shared" ca="1" si="176"/>
        <v>6.390034771924495E-3</v>
      </c>
      <c r="CF39" s="5">
        <f t="shared" ca="1" si="177"/>
        <v>6.7281834245416306E-3</v>
      </c>
      <c r="CG39" s="5">
        <f t="shared" ca="1" si="178"/>
        <v>6.7188863792609424E-3</v>
      </c>
      <c r="CH39" s="5">
        <f t="shared" ca="1" si="179"/>
        <v>6.2743236447875793E-3</v>
      </c>
      <c r="CI39" s="5">
        <f t="shared" ca="1" si="180"/>
        <v>6.624200878748516E-3</v>
      </c>
      <c r="CJ39" s="5">
        <f t="shared" ca="1" si="181"/>
        <v>6.784849939653924E-3</v>
      </c>
      <c r="CK39" s="5">
        <f t="shared" ca="1" si="182"/>
        <v>6.673245877836808E-3</v>
      </c>
      <c r="CL39" s="5">
        <f t="shared" ca="1" si="183"/>
        <v>6.539393795808441E-3</v>
      </c>
      <c r="CM39" s="5">
        <f t="shared" ca="1" si="184"/>
        <v>6.7161584276238763E-3</v>
      </c>
      <c r="CN39" s="5">
        <f t="shared" ca="1" si="185"/>
        <v>6.5548048683537223E-3</v>
      </c>
      <c r="CO39" s="5">
        <f t="shared" ca="1" si="186"/>
        <v>6.7003675545386412E-3</v>
      </c>
      <c r="CP39" s="5">
        <f t="shared" ca="1" si="187"/>
        <v>6.8077928864078647E-3</v>
      </c>
      <c r="CQ39" s="5">
        <f t="shared" ca="1" si="188"/>
        <v>6.8443529436926515E-3</v>
      </c>
      <c r="CR39" s="5">
        <f t="shared" ca="1" si="189"/>
        <v>6.5261114845831768E-3</v>
      </c>
      <c r="CS39" s="5">
        <f t="shared" ca="1" si="190"/>
        <v>6.6364372055154382E-3</v>
      </c>
      <c r="CT39" s="5">
        <f t="shared" ca="1" si="191"/>
        <v>7.020500317309027E-3</v>
      </c>
      <c r="CU39" s="5">
        <f t="shared" ca="1" si="192"/>
        <v>6.2797888877484838E-3</v>
      </c>
      <c r="CV39" s="5">
        <f t="shared" ca="1" si="193"/>
        <v>6.4406590031001838E-3</v>
      </c>
      <c r="CW39" s="5">
        <f t="shared" ca="1" si="194"/>
        <v>6.4857661538656403E-3</v>
      </c>
      <c r="CX39" s="5">
        <f t="shared" ca="1" si="195"/>
        <v>6.2990858296352488E-3</v>
      </c>
      <c r="CY39" s="5">
        <f t="shared" ca="1" si="196"/>
        <v>6.469910112301783E-3</v>
      </c>
      <c r="CZ39" s="5">
        <f t="shared" ca="1" si="197"/>
        <v>6.3795090850052314E-3</v>
      </c>
      <c r="DA39" s="5">
        <f t="shared" ca="1" si="198"/>
        <v>6.6642475377482772E-3</v>
      </c>
      <c r="DB39" s="5">
        <f t="shared" ca="1" si="199"/>
        <v>6.7262789452005624E-3</v>
      </c>
      <c r="DC39" s="5">
        <f t="shared" ca="1" si="200"/>
        <v>6.5012325028395209E-3</v>
      </c>
      <c r="DD39" s="5">
        <f t="shared" ca="1" si="201"/>
        <v>6.3980100929554029E-3</v>
      </c>
      <c r="DE39" s="5">
        <f t="shared" ca="1" si="202"/>
        <v>6.395279028857029E-3</v>
      </c>
      <c r="DF39" s="5">
        <f t="shared" ca="1" si="203"/>
        <v>6.5173582424375839E-3</v>
      </c>
      <c r="DG39" s="5">
        <f t="shared" ca="1" si="204"/>
        <v>6.4516815140421343E-3</v>
      </c>
      <c r="DH39" s="5">
        <f t="shared" ca="1" si="205"/>
        <v>6.8200909159920105E-3</v>
      </c>
      <c r="DI39" s="5">
        <f t="shared" ca="1" si="206"/>
        <v>6.4562065600843304E-3</v>
      </c>
      <c r="DJ39" s="5">
        <f t="shared" ca="1" si="207"/>
        <v>6.6808258004033994E-3</v>
      </c>
    </row>
    <row r="40" spans="5:114" outlineLevel="1" x14ac:dyDescent="0.2">
      <c r="E40" s="32">
        <v>45689</v>
      </c>
      <c r="F40" s="9">
        <v>2413.3199999999997</v>
      </c>
      <c r="G40" s="5">
        <f t="shared" ca="1" si="105"/>
        <v>1.3676622179042929E-2</v>
      </c>
      <c r="H40" s="5">
        <f t="shared" ca="1" si="106"/>
        <v>6.4616181255479927E-3</v>
      </c>
      <c r="I40" s="9">
        <f t="shared" ca="1" si="107"/>
        <v>78771.455535516667</v>
      </c>
      <c r="K40" s="6">
        <v>36</v>
      </c>
      <c r="L40" s="5">
        <v>362778.19793227065</v>
      </c>
      <c r="N40" s="32">
        <v>45658</v>
      </c>
      <c r="O40" s="5">
        <f t="shared" ca="1" si="108"/>
        <v>6.8081822645410222E-3</v>
      </c>
      <c r="P40" s="5">
        <f t="shared" ca="1" si="109"/>
        <v>6.5856439007372933E-3</v>
      </c>
      <c r="Q40" s="5">
        <f t="shared" ca="1" si="110"/>
        <v>6.7318112462299712E-3</v>
      </c>
      <c r="R40" s="5">
        <f t="shared" ca="1" si="111"/>
        <v>6.4410005084195553E-3</v>
      </c>
      <c r="S40" s="5">
        <f t="shared" ca="1" si="112"/>
        <v>6.5398148301011993E-3</v>
      </c>
      <c r="T40" s="5">
        <f t="shared" ca="1" si="113"/>
        <v>5.914869889816504E-3</v>
      </c>
      <c r="U40" s="5">
        <f t="shared" ca="1" si="114"/>
        <v>6.3007903937321759E-3</v>
      </c>
      <c r="V40" s="5">
        <f t="shared" ca="1" si="115"/>
        <v>6.7512611409307668E-3</v>
      </c>
      <c r="W40" s="5">
        <f t="shared" ca="1" si="116"/>
        <v>6.4768359407050271E-3</v>
      </c>
      <c r="X40" s="5">
        <f t="shared" ca="1" si="117"/>
        <v>6.6233071007411907E-3</v>
      </c>
      <c r="Y40" s="5">
        <f t="shared" ca="1" si="118"/>
        <v>6.5464249547835703E-3</v>
      </c>
      <c r="Z40" s="5">
        <f t="shared" ca="1" si="119"/>
        <v>6.6535825810431996E-3</v>
      </c>
      <c r="AA40" s="5">
        <f t="shared" ca="1" si="120"/>
        <v>6.7162790857100089E-3</v>
      </c>
      <c r="AB40" s="5">
        <f t="shared" ca="1" si="121"/>
        <v>7.3599723952326888E-3</v>
      </c>
      <c r="AC40" s="5">
        <f t="shared" ca="1" si="122"/>
        <v>7.0434806296648111E-3</v>
      </c>
      <c r="AD40" s="5">
        <f t="shared" ca="1" si="123"/>
        <v>6.7787272408230429E-3</v>
      </c>
      <c r="AE40" s="5">
        <f t="shared" ca="1" si="124"/>
        <v>6.6474863616912128E-3</v>
      </c>
      <c r="AF40" s="5">
        <f t="shared" ca="1" si="125"/>
        <v>6.1713661160829559E-3</v>
      </c>
      <c r="AG40" s="5">
        <f t="shared" ca="1" si="126"/>
        <v>6.4285545848440087E-3</v>
      </c>
      <c r="AH40" s="5">
        <f t="shared" ca="1" si="127"/>
        <v>6.3148397692419879E-3</v>
      </c>
      <c r="AI40" s="5">
        <f t="shared" ca="1" si="128"/>
        <v>6.7957770832146238E-3</v>
      </c>
      <c r="AJ40" s="5">
        <f t="shared" ca="1" si="129"/>
        <v>6.5628684340628242E-3</v>
      </c>
      <c r="AK40" s="5">
        <f t="shared" ca="1" si="130"/>
        <v>6.656640922579918E-3</v>
      </c>
      <c r="AL40" s="5">
        <f t="shared" ca="1" si="131"/>
        <v>6.4680501766921561E-3</v>
      </c>
      <c r="AM40" s="5">
        <f t="shared" ca="1" si="132"/>
        <v>6.3501892048471523E-3</v>
      </c>
      <c r="AN40" s="5">
        <f t="shared" ca="1" si="133"/>
        <v>6.7037838218558261E-3</v>
      </c>
      <c r="AO40" s="5">
        <f t="shared" ca="1" si="134"/>
        <v>6.9895637621518927E-3</v>
      </c>
      <c r="AP40" s="5">
        <f t="shared" ca="1" si="135"/>
        <v>6.2503931114286145E-3</v>
      </c>
      <c r="AQ40" s="5">
        <f t="shared" ca="1" si="136"/>
        <v>6.4291977151385805E-3</v>
      </c>
      <c r="AR40" s="5">
        <f t="shared" ca="1" si="137"/>
        <v>6.4419581821351067E-3</v>
      </c>
      <c r="AS40" s="5">
        <f t="shared" ca="1" si="138"/>
        <v>6.7132935407253147E-3</v>
      </c>
      <c r="AT40" s="5">
        <f t="shared" ca="1" si="139"/>
        <v>6.409365738783152E-3</v>
      </c>
      <c r="AU40" s="5">
        <f t="shared" ca="1" si="140"/>
        <v>6.3619674798229154E-3</v>
      </c>
      <c r="AV40" s="5">
        <f t="shared" ca="1" si="141"/>
        <v>6.3684675070188211E-3</v>
      </c>
      <c r="AW40" s="5">
        <f t="shared" ca="1" si="142"/>
        <v>6.6491421943281094E-3</v>
      </c>
      <c r="AX40" s="5">
        <f t="shared" ca="1" si="143"/>
        <v>6.3283991173742372E-3</v>
      </c>
      <c r="AY40" s="5">
        <f t="shared" ca="1" si="144"/>
        <v>6.990837028898053E-3</v>
      </c>
      <c r="AZ40" s="5">
        <f t="shared" ca="1" si="145"/>
        <v>6.5203766739646615E-3</v>
      </c>
      <c r="BA40" s="5">
        <f t="shared" ca="1" si="146"/>
        <v>6.6248220635607242E-3</v>
      </c>
      <c r="BB40" s="5">
        <f t="shared" ca="1" si="147"/>
        <v>6.6121040684242773E-3</v>
      </c>
      <c r="BC40" s="5">
        <f t="shared" ca="1" si="148"/>
        <v>6.0673954208972239E-3</v>
      </c>
      <c r="BD40" s="5">
        <f t="shared" ca="1" si="149"/>
        <v>6.5291740044690089E-3</v>
      </c>
      <c r="BE40" s="5">
        <f t="shared" ca="1" si="150"/>
        <v>6.9238849490966189E-3</v>
      </c>
      <c r="BF40" s="5">
        <f t="shared" ca="1" si="151"/>
        <v>6.5099018094417959E-3</v>
      </c>
      <c r="BG40" s="5">
        <f t="shared" ca="1" si="152"/>
        <v>6.2353519912653312E-3</v>
      </c>
      <c r="BH40" s="5">
        <f t="shared" ca="1" si="153"/>
        <v>6.3735452730786782E-3</v>
      </c>
      <c r="BI40" s="5">
        <f t="shared" ca="1" si="154"/>
        <v>6.9518021546706331E-3</v>
      </c>
      <c r="BJ40" s="5">
        <f t="shared" ca="1" si="155"/>
        <v>6.8213731513303592E-3</v>
      </c>
      <c r="BK40" s="5">
        <f t="shared" ca="1" si="156"/>
        <v>6.8199917516938409E-3</v>
      </c>
      <c r="BL40" s="5">
        <f t="shared" ca="1" si="157"/>
        <v>6.5466091639945784E-3</v>
      </c>
      <c r="BM40" s="5">
        <f t="shared" ca="1" si="158"/>
        <v>6.1956651924244474E-3</v>
      </c>
      <c r="BN40" s="5">
        <f t="shared" ca="1" si="159"/>
        <v>6.7304361361114973E-3</v>
      </c>
      <c r="BO40" s="5">
        <f t="shared" ca="1" si="160"/>
        <v>6.5079523066640284E-3</v>
      </c>
      <c r="BP40" s="5">
        <f t="shared" ca="1" si="161"/>
        <v>6.4173951500291404E-3</v>
      </c>
      <c r="BQ40" s="5">
        <f t="shared" ca="1" si="162"/>
        <v>6.1894091697883907E-3</v>
      </c>
      <c r="BR40" s="5">
        <f t="shared" ca="1" si="163"/>
        <v>6.6905358060447562E-3</v>
      </c>
      <c r="BS40" s="5">
        <f t="shared" ca="1" si="164"/>
        <v>6.8198015056227237E-3</v>
      </c>
      <c r="BT40" s="5">
        <f t="shared" ca="1" si="165"/>
        <v>6.4190490048787636E-3</v>
      </c>
      <c r="BU40" s="5">
        <f t="shared" ca="1" si="166"/>
        <v>6.7253046450272006E-3</v>
      </c>
      <c r="BV40" s="5">
        <f t="shared" ca="1" si="167"/>
        <v>6.8514786605142156E-3</v>
      </c>
      <c r="BW40" s="5">
        <f t="shared" ca="1" si="168"/>
        <v>6.973826343175081E-3</v>
      </c>
      <c r="BX40" s="5">
        <f t="shared" ca="1" si="169"/>
        <v>6.6811032006457924E-3</v>
      </c>
      <c r="BY40" s="5">
        <f t="shared" ca="1" si="170"/>
        <v>6.3110660113419722E-3</v>
      </c>
      <c r="BZ40" s="5">
        <f t="shared" ca="1" si="171"/>
        <v>6.5577314368541664E-3</v>
      </c>
      <c r="CA40" s="5">
        <f t="shared" ca="1" si="172"/>
        <v>6.1858079879642735E-3</v>
      </c>
      <c r="CB40" s="5">
        <f t="shared" ca="1" si="173"/>
        <v>6.7063499402841417E-3</v>
      </c>
      <c r="CC40" s="5">
        <f t="shared" ca="1" si="174"/>
        <v>6.6736783232916623E-3</v>
      </c>
      <c r="CD40" s="5">
        <f t="shared" ca="1" si="175"/>
        <v>6.3835221227295054E-3</v>
      </c>
      <c r="CE40" s="5">
        <f t="shared" ca="1" si="176"/>
        <v>6.3522447217141441E-3</v>
      </c>
      <c r="CF40" s="5">
        <f t="shared" ca="1" si="177"/>
        <v>6.7318801196555068E-3</v>
      </c>
      <c r="CG40" s="5">
        <f t="shared" ca="1" si="178"/>
        <v>6.66394110677413E-3</v>
      </c>
      <c r="CH40" s="5">
        <f t="shared" ca="1" si="179"/>
        <v>6.2553239545761344E-3</v>
      </c>
      <c r="CI40" s="5">
        <f t="shared" ca="1" si="180"/>
        <v>6.6630864622653288E-3</v>
      </c>
      <c r="CJ40" s="5">
        <f t="shared" ca="1" si="181"/>
        <v>6.741807271630468E-3</v>
      </c>
      <c r="CK40" s="5">
        <f t="shared" ca="1" si="182"/>
        <v>6.6638030274529473E-3</v>
      </c>
      <c r="CL40" s="5">
        <f t="shared" ca="1" si="183"/>
        <v>6.5897893231861866E-3</v>
      </c>
      <c r="CM40" s="5">
        <f t="shared" ca="1" si="184"/>
        <v>6.6902331419393252E-3</v>
      </c>
      <c r="CN40" s="5">
        <f t="shared" ca="1" si="185"/>
        <v>6.5725419928118409E-3</v>
      </c>
      <c r="CO40" s="5">
        <f t="shared" ca="1" si="186"/>
        <v>6.6889862795982361E-3</v>
      </c>
      <c r="CP40" s="5">
        <f t="shared" ca="1" si="187"/>
        <v>6.7556984127967483E-3</v>
      </c>
      <c r="CQ40" s="5">
        <f t="shared" ca="1" si="188"/>
        <v>6.8885919873588747E-3</v>
      </c>
      <c r="CR40" s="5">
        <f t="shared" ca="1" si="189"/>
        <v>6.5107097426722587E-3</v>
      </c>
      <c r="CS40" s="5">
        <f t="shared" ca="1" si="190"/>
        <v>6.590628977661577E-3</v>
      </c>
      <c r="CT40" s="5">
        <f t="shared" ca="1" si="191"/>
        <v>7.0548518843479985E-3</v>
      </c>
      <c r="CU40" s="5">
        <f t="shared" ca="1" si="192"/>
        <v>6.2594570206369405E-3</v>
      </c>
      <c r="CV40" s="5">
        <f t="shared" ca="1" si="193"/>
        <v>6.431645720673681E-3</v>
      </c>
      <c r="CW40" s="5">
        <f t="shared" ca="1" si="194"/>
        <v>6.4804014543442682E-3</v>
      </c>
      <c r="CX40" s="5">
        <f t="shared" ca="1" si="195"/>
        <v>6.3595029632948713E-3</v>
      </c>
      <c r="CY40" s="5">
        <f t="shared" ca="1" si="196"/>
        <v>6.5100108457017162E-3</v>
      </c>
      <c r="CZ40" s="5">
        <f t="shared" ca="1" si="197"/>
        <v>6.4445156949895057E-3</v>
      </c>
      <c r="DA40" s="5">
        <f t="shared" ca="1" si="198"/>
        <v>6.6601650097537464E-3</v>
      </c>
      <c r="DB40" s="5">
        <f t="shared" ca="1" si="199"/>
        <v>6.6942581732820803E-3</v>
      </c>
      <c r="DC40" s="5">
        <f t="shared" ca="1" si="200"/>
        <v>6.5244771337035976E-3</v>
      </c>
      <c r="DD40" s="5">
        <f t="shared" ca="1" si="201"/>
        <v>6.3839057275713587E-3</v>
      </c>
      <c r="DE40" s="5">
        <f t="shared" ca="1" si="202"/>
        <v>6.3553882924744431E-3</v>
      </c>
      <c r="DF40" s="5">
        <f t="shared" ca="1" si="203"/>
        <v>6.5862254240847129E-3</v>
      </c>
      <c r="DG40" s="5">
        <f t="shared" ca="1" si="204"/>
        <v>6.4151098444659429E-3</v>
      </c>
      <c r="DH40" s="5">
        <f t="shared" ca="1" si="205"/>
        <v>6.8246494968109139E-3</v>
      </c>
      <c r="DI40" s="5">
        <f t="shared" ca="1" si="206"/>
        <v>6.4379229694707567E-3</v>
      </c>
      <c r="DJ40" s="5">
        <f t="shared" ca="1" si="207"/>
        <v>6.6696252731020611E-3</v>
      </c>
    </row>
    <row r="41" spans="5:114" outlineLevel="1" x14ac:dyDescent="0.2">
      <c r="E41" s="32">
        <v>45717</v>
      </c>
      <c r="F41" s="9">
        <v>2413.3199999999997</v>
      </c>
      <c r="G41" s="5">
        <f t="shared" ca="1" si="105"/>
        <v>-9.2435384852142505E-2</v>
      </c>
      <c r="H41" s="5">
        <f t="shared" ca="1" si="106"/>
        <v>6.474059155567923E-3</v>
      </c>
      <c r="I41" s="9">
        <f t="shared" ca="1" si="107"/>
        <v>81227.284589983406</v>
      </c>
      <c r="K41" s="6">
        <v>37</v>
      </c>
      <c r="L41" s="5">
        <v>362690.91524297826</v>
      </c>
      <c r="N41" s="32">
        <v>45689</v>
      </c>
      <c r="O41" s="5">
        <f t="shared" ca="1" si="108"/>
        <v>6.7785139232042725E-3</v>
      </c>
      <c r="P41" s="5">
        <f t="shared" ca="1" si="109"/>
        <v>6.6028010226227641E-3</v>
      </c>
      <c r="Q41" s="5">
        <f t="shared" ca="1" si="110"/>
        <v>6.739240965412582E-3</v>
      </c>
      <c r="R41" s="5">
        <f t="shared" ca="1" si="111"/>
        <v>6.4876453237329114E-3</v>
      </c>
      <c r="S41" s="5">
        <f t="shared" ca="1" si="112"/>
        <v>6.5362236328077713E-3</v>
      </c>
      <c r="T41" s="5">
        <f t="shared" ca="1" si="113"/>
        <v>5.9017916152059634E-3</v>
      </c>
      <c r="U41" s="5">
        <f t="shared" ca="1" si="114"/>
        <v>6.3277221092481687E-3</v>
      </c>
      <c r="V41" s="5">
        <f t="shared" ca="1" si="115"/>
        <v>6.779626916988986E-3</v>
      </c>
      <c r="W41" s="5">
        <f t="shared" ca="1" si="116"/>
        <v>6.5675240306352113E-3</v>
      </c>
      <c r="X41" s="5">
        <f t="shared" ca="1" si="117"/>
        <v>6.6517418039077382E-3</v>
      </c>
      <c r="Y41" s="5">
        <f t="shared" ca="1" si="118"/>
        <v>6.5583566465274136E-3</v>
      </c>
      <c r="Z41" s="5">
        <f t="shared" ca="1" si="119"/>
        <v>6.6525833843058607E-3</v>
      </c>
      <c r="AA41" s="5">
        <f t="shared" ca="1" si="120"/>
        <v>6.6525973572051549E-3</v>
      </c>
      <c r="AB41" s="5">
        <f t="shared" ca="1" si="121"/>
        <v>7.3102254735885885E-3</v>
      </c>
      <c r="AC41" s="5">
        <f t="shared" ca="1" si="122"/>
        <v>7.0729645103666345E-3</v>
      </c>
      <c r="AD41" s="5">
        <f t="shared" ca="1" si="123"/>
        <v>6.7946271184959484E-3</v>
      </c>
      <c r="AE41" s="5">
        <f t="shared" ca="1" si="124"/>
        <v>6.7159922934967265E-3</v>
      </c>
      <c r="AF41" s="5">
        <f t="shared" ca="1" si="125"/>
        <v>6.1606424182498948E-3</v>
      </c>
      <c r="AG41" s="5">
        <f t="shared" ca="1" si="126"/>
        <v>6.5297249567906612E-3</v>
      </c>
      <c r="AH41" s="5">
        <f t="shared" ca="1" si="127"/>
        <v>6.304734250904942E-3</v>
      </c>
      <c r="AI41" s="5">
        <f t="shared" ca="1" si="128"/>
        <v>6.8273047941942886E-3</v>
      </c>
      <c r="AJ41" s="5">
        <f t="shared" ca="1" si="129"/>
        <v>6.5269196457436261E-3</v>
      </c>
      <c r="AK41" s="5">
        <f t="shared" ca="1" si="130"/>
        <v>6.6407093809860698E-3</v>
      </c>
      <c r="AL41" s="5">
        <f t="shared" ca="1" si="131"/>
        <v>6.4425997771350553E-3</v>
      </c>
      <c r="AM41" s="5">
        <f t="shared" ca="1" si="132"/>
        <v>6.3644555001820995E-3</v>
      </c>
      <c r="AN41" s="5">
        <f t="shared" ca="1" si="133"/>
        <v>6.733246789415369E-3</v>
      </c>
      <c r="AO41" s="5">
        <f t="shared" ca="1" si="134"/>
        <v>7.0780560822647333E-3</v>
      </c>
      <c r="AP41" s="5">
        <f t="shared" ca="1" si="135"/>
        <v>6.2142998186095113E-3</v>
      </c>
      <c r="AQ41" s="5">
        <f t="shared" ca="1" si="136"/>
        <v>6.3971613529648875E-3</v>
      </c>
      <c r="AR41" s="5">
        <f t="shared" ca="1" si="137"/>
        <v>6.4396152464897063E-3</v>
      </c>
      <c r="AS41" s="5">
        <f t="shared" ca="1" si="138"/>
        <v>6.710950710059527E-3</v>
      </c>
      <c r="AT41" s="5">
        <f t="shared" ca="1" si="139"/>
        <v>6.4284335860700466E-3</v>
      </c>
      <c r="AU41" s="5">
        <f t="shared" ca="1" si="140"/>
        <v>6.3836143431633043E-3</v>
      </c>
      <c r="AV41" s="5">
        <f t="shared" ca="1" si="141"/>
        <v>6.3052874683156516E-3</v>
      </c>
      <c r="AW41" s="5">
        <f t="shared" ca="1" si="142"/>
        <v>6.6617700678709216E-3</v>
      </c>
      <c r="AX41" s="5">
        <f t="shared" ca="1" si="143"/>
        <v>6.2780391125230022E-3</v>
      </c>
      <c r="AY41" s="5">
        <f t="shared" ca="1" si="144"/>
        <v>6.9905565814343644E-3</v>
      </c>
      <c r="AZ41" s="5">
        <f t="shared" ca="1" si="145"/>
        <v>6.6229551616806088E-3</v>
      </c>
      <c r="BA41" s="5">
        <f t="shared" ca="1" si="146"/>
        <v>6.6385887096108345E-3</v>
      </c>
      <c r="BB41" s="5">
        <f t="shared" ca="1" si="147"/>
        <v>6.5937968698922935E-3</v>
      </c>
      <c r="BC41" s="5">
        <f t="shared" ca="1" si="148"/>
        <v>6.0490172606382838E-3</v>
      </c>
      <c r="BD41" s="5">
        <f t="shared" ca="1" si="149"/>
        <v>6.5443680466617648E-3</v>
      </c>
      <c r="BE41" s="5">
        <f t="shared" ca="1" si="150"/>
        <v>6.9149091750487102E-3</v>
      </c>
      <c r="BF41" s="5">
        <f t="shared" ca="1" si="151"/>
        <v>6.4935690109017641E-3</v>
      </c>
      <c r="BG41" s="5">
        <f t="shared" ca="1" si="152"/>
        <v>6.186240739194244E-3</v>
      </c>
      <c r="BH41" s="5">
        <f t="shared" ca="1" si="153"/>
        <v>6.3236673556308094E-3</v>
      </c>
      <c r="BI41" s="5">
        <f t="shared" ca="1" si="154"/>
        <v>6.976688417868894E-3</v>
      </c>
      <c r="BJ41" s="5">
        <f t="shared" ca="1" si="155"/>
        <v>6.884596766939209E-3</v>
      </c>
      <c r="BK41" s="5">
        <f t="shared" ca="1" si="156"/>
        <v>6.8480872932182128E-3</v>
      </c>
      <c r="BL41" s="5">
        <f t="shared" ca="1" si="157"/>
        <v>6.5499016244097048E-3</v>
      </c>
      <c r="BM41" s="5">
        <f t="shared" ca="1" si="158"/>
        <v>6.2357212975471862E-3</v>
      </c>
      <c r="BN41" s="5">
        <f t="shared" ca="1" si="159"/>
        <v>6.7160255118684032E-3</v>
      </c>
      <c r="BO41" s="5">
        <f t="shared" ca="1" si="160"/>
        <v>6.5664732244892577E-3</v>
      </c>
      <c r="BP41" s="5">
        <f t="shared" ca="1" si="161"/>
        <v>6.4900359586700417E-3</v>
      </c>
      <c r="BQ41" s="5">
        <f t="shared" ca="1" si="162"/>
        <v>6.2881626527964999E-3</v>
      </c>
      <c r="BR41" s="5">
        <f t="shared" ca="1" si="163"/>
        <v>6.6496239924868266E-3</v>
      </c>
      <c r="BS41" s="5">
        <f t="shared" ca="1" si="164"/>
        <v>6.7640449803718482E-3</v>
      </c>
      <c r="BT41" s="5">
        <f t="shared" ca="1" si="165"/>
        <v>6.500934778121855E-3</v>
      </c>
      <c r="BU41" s="5">
        <f t="shared" ca="1" si="166"/>
        <v>6.701660416563609E-3</v>
      </c>
      <c r="BV41" s="5">
        <f t="shared" ca="1" si="167"/>
        <v>6.7850924686556858E-3</v>
      </c>
      <c r="BW41" s="5">
        <f t="shared" ca="1" si="168"/>
        <v>6.975882467001723E-3</v>
      </c>
      <c r="BX41" s="5">
        <f t="shared" ca="1" si="169"/>
        <v>6.6377287540274003E-3</v>
      </c>
      <c r="BY41" s="5">
        <f t="shared" ca="1" si="170"/>
        <v>6.3114559079452924E-3</v>
      </c>
      <c r="BZ41" s="5">
        <f t="shared" ca="1" si="171"/>
        <v>6.5505497418573812E-3</v>
      </c>
      <c r="CA41" s="5">
        <f t="shared" ca="1" si="172"/>
        <v>6.1150584223986348E-3</v>
      </c>
      <c r="CB41" s="5">
        <f t="shared" ca="1" si="173"/>
        <v>6.7345451032387784E-3</v>
      </c>
      <c r="CC41" s="5">
        <f t="shared" ca="1" si="174"/>
        <v>6.5662744953795234E-3</v>
      </c>
      <c r="CD41" s="5">
        <f t="shared" ca="1" si="175"/>
        <v>6.3888612291016578E-3</v>
      </c>
      <c r="CE41" s="5">
        <f t="shared" ca="1" si="176"/>
        <v>6.3820485083752338E-3</v>
      </c>
      <c r="CF41" s="5">
        <f t="shared" ca="1" si="177"/>
        <v>6.7816270808413103E-3</v>
      </c>
      <c r="CG41" s="5">
        <f t="shared" ca="1" si="178"/>
        <v>6.688699675409469E-3</v>
      </c>
      <c r="CH41" s="5">
        <f t="shared" ca="1" si="179"/>
        <v>6.2485328192679627E-3</v>
      </c>
      <c r="CI41" s="5">
        <f t="shared" ca="1" si="180"/>
        <v>6.6288010849737582E-3</v>
      </c>
      <c r="CJ41" s="5">
        <f t="shared" ca="1" si="181"/>
        <v>6.7578022854860456E-3</v>
      </c>
      <c r="CK41" s="5">
        <f t="shared" ca="1" si="182"/>
        <v>6.7664725921267859E-3</v>
      </c>
      <c r="CL41" s="5">
        <f t="shared" ca="1" si="183"/>
        <v>6.5893457618350151E-3</v>
      </c>
      <c r="CM41" s="5">
        <f t="shared" ca="1" si="184"/>
        <v>6.6451483700778668E-3</v>
      </c>
      <c r="CN41" s="5">
        <f t="shared" ca="1" si="185"/>
        <v>6.6001664486261867E-3</v>
      </c>
      <c r="CO41" s="5">
        <f t="shared" ca="1" si="186"/>
        <v>6.6064242340882953E-3</v>
      </c>
      <c r="CP41" s="5">
        <f t="shared" ca="1" si="187"/>
        <v>6.7777234910654741E-3</v>
      </c>
      <c r="CQ41" s="5">
        <f t="shared" ca="1" si="188"/>
        <v>6.8942129983994753E-3</v>
      </c>
      <c r="CR41" s="5">
        <f t="shared" ca="1" si="189"/>
        <v>6.5504319574691029E-3</v>
      </c>
      <c r="CS41" s="5">
        <f t="shared" ca="1" si="190"/>
        <v>6.6391611762881926E-3</v>
      </c>
      <c r="CT41" s="5">
        <f t="shared" ca="1" si="191"/>
        <v>7.0248441039049625E-3</v>
      </c>
      <c r="CU41" s="5">
        <f t="shared" ca="1" si="192"/>
        <v>6.2842338303473596E-3</v>
      </c>
      <c r="CV41" s="5">
        <f t="shared" ca="1" si="193"/>
        <v>6.3768692615952241E-3</v>
      </c>
      <c r="CW41" s="5">
        <f t="shared" ca="1" si="194"/>
        <v>6.4454538060123735E-3</v>
      </c>
      <c r="CX41" s="5">
        <f t="shared" ca="1" si="195"/>
        <v>6.3521050406467466E-3</v>
      </c>
      <c r="CY41" s="5">
        <f t="shared" ca="1" si="196"/>
        <v>6.4184960063605094E-3</v>
      </c>
      <c r="CZ41" s="5">
        <f t="shared" ca="1" si="197"/>
        <v>6.3908238370413793E-3</v>
      </c>
      <c r="DA41" s="5">
        <f t="shared" ca="1" si="198"/>
        <v>6.7025748572894367E-3</v>
      </c>
      <c r="DB41" s="5">
        <f t="shared" ca="1" si="199"/>
        <v>6.7140409355960972E-3</v>
      </c>
      <c r="DC41" s="5">
        <f t="shared" ca="1" si="200"/>
        <v>6.5419038921349822E-3</v>
      </c>
      <c r="DD41" s="5">
        <f t="shared" ca="1" si="201"/>
        <v>6.3868211513401557E-3</v>
      </c>
      <c r="DE41" s="5">
        <f t="shared" ca="1" si="202"/>
        <v>6.3573855737656644E-3</v>
      </c>
      <c r="DF41" s="5">
        <f t="shared" ca="1" si="203"/>
        <v>6.53641929805443E-3</v>
      </c>
      <c r="DG41" s="5">
        <f t="shared" ca="1" si="204"/>
        <v>6.4123343060503504E-3</v>
      </c>
      <c r="DH41" s="5">
        <f t="shared" ca="1" si="205"/>
        <v>6.8938521063251932E-3</v>
      </c>
      <c r="DI41" s="5">
        <f t="shared" ca="1" si="206"/>
        <v>6.4590839639128601E-3</v>
      </c>
      <c r="DJ41" s="5">
        <f t="shared" ca="1" si="207"/>
        <v>6.7056718979535039E-3</v>
      </c>
    </row>
    <row r="42" spans="5:114" outlineLevel="1" x14ac:dyDescent="0.2">
      <c r="E42" s="32">
        <v>45748</v>
      </c>
      <c r="F42" s="9">
        <v>2413.3199999999997</v>
      </c>
      <c r="G42" s="5">
        <f t="shared" ca="1" si="105"/>
        <v>-0.16218745292963488</v>
      </c>
      <c r="H42" s="5">
        <f t="shared" ca="1" si="106"/>
        <v>6.4311611622998796E-3</v>
      </c>
      <c r="I42" s="9">
        <f t="shared" ca="1" si="107"/>
        <v>83684.148403659172</v>
      </c>
      <c r="K42" s="6">
        <v>38</v>
      </c>
      <c r="L42" s="5">
        <v>362462.32480764494</v>
      </c>
      <c r="N42" s="32">
        <v>45717</v>
      </c>
      <c r="O42" s="5">
        <f t="shared" ca="1" si="108"/>
        <v>6.7041522633746907E-3</v>
      </c>
      <c r="P42" s="5">
        <f t="shared" ca="1" si="109"/>
        <v>6.6131346095252702E-3</v>
      </c>
      <c r="Q42" s="5">
        <f t="shared" ca="1" si="110"/>
        <v>6.662722447275676E-3</v>
      </c>
      <c r="R42" s="5">
        <f t="shared" ca="1" si="111"/>
        <v>6.4766297005749351E-3</v>
      </c>
      <c r="S42" s="5">
        <f t="shared" ca="1" si="112"/>
        <v>6.5615984102731038E-3</v>
      </c>
      <c r="T42" s="5">
        <f t="shared" ca="1" si="113"/>
        <v>5.9130358302752987E-3</v>
      </c>
      <c r="U42" s="5">
        <f t="shared" ca="1" si="114"/>
        <v>6.3875138167305834E-3</v>
      </c>
      <c r="V42" s="5">
        <f t="shared" ca="1" si="115"/>
        <v>6.7747957791552595E-3</v>
      </c>
      <c r="W42" s="5">
        <f t="shared" ca="1" si="116"/>
        <v>6.6115208523731409E-3</v>
      </c>
      <c r="X42" s="5">
        <f t="shared" ca="1" si="117"/>
        <v>6.5929393329521319E-3</v>
      </c>
      <c r="Y42" s="5">
        <f t="shared" ca="1" si="118"/>
        <v>6.540393984004314E-3</v>
      </c>
      <c r="Z42" s="5">
        <f t="shared" ca="1" si="119"/>
        <v>6.6675702767244015E-3</v>
      </c>
      <c r="AA42" s="5">
        <f t="shared" ca="1" si="120"/>
        <v>6.6022339168572532E-3</v>
      </c>
      <c r="AB42" s="5">
        <f t="shared" ca="1" si="121"/>
        <v>7.3242971847258297E-3</v>
      </c>
      <c r="AC42" s="5">
        <f t="shared" ca="1" si="122"/>
        <v>7.0480543752052399E-3</v>
      </c>
      <c r="AD42" s="5">
        <f t="shared" ca="1" si="123"/>
        <v>6.8296073556135392E-3</v>
      </c>
      <c r="AE42" s="5">
        <f t="shared" ca="1" si="124"/>
        <v>6.6898059479684581E-3</v>
      </c>
      <c r="AF42" s="5">
        <f t="shared" ca="1" si="125"/>
        <v>6.1507899713968868E-3</v>
      </c>
      <c r="AG42" s="5">
        <f t="shared" ca="1" si="126"/>
        <v>6.6155064584553875E-3</v>
      </c>
      <c r="AH42" s="5">
        <f t="shared" ca="1" si="127"/>
        <v>6.3597308410471547E-3</v>
      </c>
      <c r="AI42" s="5">
        <f t="shared" ca="1" si="128"/>
        <v>6.8456829335744656E-3</v>
      </c>
      <c r="AJ42" s="5">
        <f t="shared" ca="1" si="129"/>
        <v>6.4807519823839874E-3</v>
      </c>
      <c r="AK42" s="5">
        <f t="shared" ca="1" si="130"/>
        <v>6.6385790487448063E-3</v>
      </c>
      <c r="AL42" s="5">
        <f t="shared" ca="1" si="131"/>
        <v>6.408743509964402E-3</v>
      </c>
      <c r="AM42" s="5">
        <f t="shared" ca="1" si="132"/>
        <v>6.4470123609034194E-3</v>
      </c>
      <c r="AN42" s="5">
        <f t="shared" ca="1" si="133"/>
        <v>6.7267863944750648E-3</v>
      </c>
      <c r="AO42" s="5">
        <f t="shared" ca="1" si="134"/>
        <v>7.0904333554689565E-3</v>
      </c>
      <c r="AP42" s="5">
        <f t="shared" ca="1" si="135"/>
        <v>6.2292822951693153E-3</v>
      </c>
      <c r="AQ42" s="5">
        <f t="shared" ca="1" si="136"/>
        <v>6.4028696729864307E-3</v>
      </c>
      <c r="AR42" s="5">
        <f t="shared" ca="1" si="137"/>
        <v>6.4305538238804893E-3</v>
      </c>
      <c r="AS42" s="5">
        <f t="shared" ca="1" si="138"/>
        <v>6.7913976267626993E-3</v>
      </c>
      <c r="AT42" s="5">
        <f t="shared" ca="1" si="139"/>
        <v>6.396674193263059E-3</v>
      </c>
      <c r="AU42" s="5">
        <f t="shared" ca="1" si="140"/>
        <v>6.4126656179904033E-3</v>
      </c>
      <c r="AV42" s="5">
        <f t="shared" ca="1" si="141"/>
        <v>6.347133559759523E-3</v>
      </c>
      <c r="AW42" s="5">
        <f t="shared" ca="1" si="142"/>
        <v>6.6785497018683462E-3</v>
      </c>
      <c r="AX42" s="5">
        <f t="shared" ca="1" si="143"/>
        <v>6.3175146127265585E-3</v>
      </c>
      <c r="AY42" s="5">
        <f t="shared" ca="1" si="144"/>
        <v>7.044003447362189E-3</v>
      </c>
      <c r="AZ42" s="5">
        <f t="shared" ca="1" si="145"/>
        <v>6.6333746640851758E-3</v>
      </c>
      <c r="BA42" s="5">
        <f t="shared" ca="1" si="146"/>
        <v>6.5961676565444941E-3</v>
      </c>
      <c r="BB42" s="5">
        <f t="shared" ca="1" si="147"/>
        <v>6.5738377127871851E-3</v>
      </c>
      <c r="BC42" s="5">
        <f t="shared" ca="1" si="148"/>
        <v>6.1083950193372583E-3</v>
      </c>
      <c r="BD42" s="5">
        <f t="shared" ca="1" si="149"/>
        <v>6.59008955956987E-3</v>
      </c>
      <c r="BE42" s="5">
        <f t="shared" ca="1" si="150"/>
        <v>6.9494060652229572E-3</v>
      </c>
      <c r="BF42" s="5">
        <f t="shared" ca="1" si="151"/>
        <v>6.5539959010041289E-3</v>
      </c>
      <c r="BG42" s="5">
        <f t="shared" ca="1" si="152"/>
        <v>6.1960398377712417E-3</v>
      </c>
      <c r="BH42" s="5">
        <f t="shared" ca="1" si="153"/>
        <v>6.3412941659400594E-3</v>
      </c>
      <c r="BI42" s="5">
        <f t="shared" ca="1" si="154"/>
        <v>7.0570473574820295E-3</v>
      </c>
      <c r="BJ42" s="5">
        <f t="shared" ca="1" si="155"/>
        <v>6.8850558726679624E-3</v>
      </c>
      <c r="BK42" s="5">
        <f t="shared" ca="1" si="156"/>
        <v>6.8699254301252113E-3</v>
      </c>
      <c r="BL42" s="5">
        <f t="shared" ca="1" si="157"/>
        <v>6.567882318714603E-3</v>
      </c>
      <c r="BM42" s="5">
        <f t="shared" ca="1" si="158"/>
        <v>6.233845550567144E-3</v>
      </c>
      <c r="BN42" s="5">
        <f t="shared" ca="1" si="159"/>
        <v>6.65881891971785E-3</v>
      </c>
      <c r="BO42" s="5">
        <f t="shared" ca="1" si="160"/>
        <v>6.5963232801702909E-3</v>
      </c>
      <c r="BP42" s="5">
        <f t="shared" ca="1" si="161"/>
        <v>6.5127136343829384E-3</v>
      </c>
      <c r="BQ42" s="5">
        <f t="shared" ca="1" si="162"/>
        <v>6.2304936105126701E-3</v>
      </c>
      <c r="BR42" s="5">
        <f t="shared" ca="1" si="163"/>
        <v>6.5586349339391819E-3</v>
      </c>
      <c r="BS42" s="5">
        <f t="shared" ca="1" si="164"/>
        <v>6.6988639432980215E-3</v>
      </c>
      <c r="BT42" s="5">
        <f t="shared" ca="1" si="165"/>
        <v>6.5087439457477206E-3</v>
      </c>
      <c r="BU42" s="5">
        <f t="shared" ca="1" si="166"/>
        <v>6.6358929556699078E-3</v>
      </c>
      <c r="BV42" s="5">
        <f t="shared" ca="1" si="167"/>
        <v>6.7192028505895516E-3</v>
      </c>
      <c r="BW42" s="5">
        <f t="shared" ca="1" si="168"/>
        <v>6.9277575907261213E-3</v>
      </c>
      <c r="BX42" s="5">
        <f t="shared" ca="1" si="169"/>
        <v>6.6327858181844087E-3</v>
      </c>
      <c r="BY42" s="5">
        <f t="shared" ca="1" si="170"/>
        <v>6.3429459998325388E-3</v>
      </c>
      <c r="BZ42" s="5">
        <f t="shared" ca="1" si="171"/>
        <v>6.6368828795479616E-3</v>
      </c>
      <c r="CA42" s="5">
        <f t="shared" ca="1" si="172"/>
        <v>6.0542234759002273E-3</v>
      </c>
      <c r="CB42" s="5">
        <f t="shared" ca="1" si="173"/>
        <v>6.6499101959646804E-3</v>
      </c>
      <c r="CC42" s="5">
        <f t="shared" ca="1" si="174"/>
        <v>6.4824848203789195E-3</v>
      </c>
      <c r="CD42" s="5">
        <f t="shared" ca="1" si="175"/>
        <v>6.3968504686710732E-3</v>
      </c>
      <c r="CE42" s="5">
        <f t="shared" ca="1" si="176"/>
        <v>6.439597088921058E-3</v>
      </c>
      <c r="CF42" s="5">
        <f t="shared" ca="1" si="177"/>
        <v>6.6564065093452944E-3</v>
      </c>
      <c r="CG42" s="5">
        <f t="shared" ca="1" si="178"/>
        <v>6.6499484815059195E-3</v>
      </c>
      <c r="CH42" s="5">
        <f t="shared" ca="1" si="179"/>
        <v>6.163813731101437E-3</v>
      </c>
      <c r="CI42" s="5">
        <f t="shared" ca="1" si="180"/>
        <v>6.6085870256401714E-3</v>
      </c>
      <c r="CJ42" s="5">
        <f t="shared" ca="1" si="181"/>
        <v>6.7619986544774462E-3</v>
      </c>
      <c r="CK42" s="5">
        <f t="shared" ca="1" si="182"/>
        <v>6.7361896493961975E-3</v>
      </c>
      <c r="CL42" s="5">
        <f t="shared" ca="1" si="183"/>
        <v>6.5551980561562055E-3</v>
      </c>
      <c r="CM42" s="5">
        <f t="shared" ca="1" si="184"/>
        <v>6.6064327530371125E-3</v>
      </c>
      <c r="CN42" s="5">
        <f t="shared" ca="1" si="185"/>
        <v>6.6286527830382008E-3</v>
      </c>
      <c r="CO42" s="5">
        <f t="shared" ca="1" si="186"/>
        <v>6.5450456140353696E-3</v>
      </c>
      <c r="CP42" s="5">
        <f t="shared" ca="1" si="187"/>
        <v>6.8014535218364376E-3</v>
      </c>
      <c r="CQ42" s="5">
        <f t="shared" ca="1" si="188"/>
        <v>6.8622254282396291E-3</v>
      </c>
      <c r="CR42" s="5">
        <f t="shared" ca="1" si="189"/>
        <v>6.5837038868307388E-3</v>
      </c>
      <c r="CS42" s="5">
        <f t="shared" ca="1" si="190"/>
        <v>6.7191416405256322E-3</v>
      </c>
      <c r="CT42" s="5">
        <f t="shared" ca="1" si="191"/>
        <v>6.9850998372568644E-3</v>
      </c>
      <c r="CU42" s="5">
        <f t="shared" ca="1" si="192"/>
        <v>6.3384331482010765E-3</v>
      </c>
      <c r="CV42" s="5">
        <f t="shared" ca="1" si="193"/>
        <v>6.3659496374534018E-3</v>
      </c>
      <c r="CW42" s="5">
        <f t="shared" ca="1" si="194"/>
        <v>6.3753209432414288E-3</v>
      </c>
      <c r="CX42" s="5">
        <f t="shared" ca="1" si="195"/>
        <v>6.3959530321042318E-3</v>
      </c>
      <c r="CY42" s="5">
        <f t="shared" ca="1" si="196"/>
        <v>6.3991071045948287E-3</v>
      </c>
      <c r="CZ42" s="5">
        <f t="shared" ca="1" si="197"/>
        <v>6.3995388893041544E-3</v>
      </c>
      <c r="DA42" s="5">
        <f t="shared" ca="1" si="198"/>
        <v>6.6507500351394699E-3</v>
      </c>
      <c r="DB42" s="5">
        <f t="shared" ca="1" si="199"/>
        <v>6.716851086926841E-3</v>
      </c>
      <c r="DC42" s="5">
        <f t="shared" ca="1" si="200"/>
        <v>6.6020450269209281E-3</v>
      </c>
      <c r="DD42" s="5">
        <f t="shared" ca="1" si="201"/>
        <v>6.3890030510988256E-3</v>
      </c>
      <c r="DE42" s="5">
        <f t="shared" ca="1" si="202"/>
        <v>6.365479716472517E-3</v>
      </c>
      <c r="DF42" s="5">
        <f t="shared" ca="1" si="203"/>
        <v>6.5365463912535971E-3</v>
      </c>
      <c r="DG42" s="5">
        <f t="shared" ca="1" si="204"/>
        <v>6.4587121363158606E-3</v>
      </c>
      <c r="DH42" s="5">
        <f t="shared" ca="1" si="205"/>
        <v>6.9875408732550538E-3</v>
      </c>
      <c r="DI42" s="5">
        <f t="shared" ca="1" si="206"/>
        <v>6.4424050918267198E-3</v>
      </c>
      <c r="DJ42" s="5">
        <f t="shared" ca="1" si="207"/>
        <v>6.7115034284240998E-3</v>
      </c>
    </row>
    <row r="43" spans="5:114" outlineLevel="1" x14ac:dyDescent="0.2">
      <c r="E43" s="32">
        <v>45778</v>
      </c>
      <c r="F43" s="9">
        <v>2413.3199999999997</v>
      </c>
      <c r="G43" s="5">
        <f t="shared" ca="1" si="105"/>
        <v>-6.5023335818720539E-3</v>
      </c>
      <c r="H43" s="5">
        <f t="shared" ca="1" si="106"/>
        <v>6.3523498883378713E-3</v>
      </c>
      <c r="I43" s="9">
        <f t="shared" ca="1" si="107"/>
        <v>86141.779380139487</v>
      </c>
      <c r="K43" s="6">
        <v>39</v>
      </c>
      <c r="L43" s="5">
        <v>362762.62218871503</v>
      </c>
      <c r="N43" s="32">
        <v>45748</v>
      </c>
      <c r="O43" s="5">
        <f t="shared" ca="1" si="108"/>
        <v>6.753684167315384E-3</v>
      </c>
      <c r="P43" s="5">
        <f t="shared" ca="1" si="109"/>
        <v>6.612554166853084E-3</v>
      </c>
      <c r="Q43" s="5">
        <f t="shared" ca="1" si="110"/>
        <v>6.6864059879552821E-3</v>
      </c>
      <c r="R43" s="5">
        <f t="shared" ca="1" si="111"/>
        <v>6.4714167279512139E-3</v>
      </c>
      <c r="S43" s="5">
        <f t="shared" ca="1" si="112"/>
        <v>6.4704610198393032E-3</v>
      </c>
      <c r="T43" s="5">
        <f t="shared" ca="1" si="113"/>
        <v>5.9523103276345624E-3</v>
      </c>
      <c r="U43" s="5">
        <f t="shared" ca="1" si="114"/>
        <v>6.4928968706960436E-3</v>
      </c>
      <c r="V43" s="5">
        <f t="shared" ca="1" si="115"/>
        <v>6.8521274705232674E-3</v>
      </c>
      <c r="W43" s="5">
        <f t="shared" ca="1" si="116"/>
        <v>6.6712527096524305E-3</v>
      </c>
      <c r="X43" s="5">
        <f t="shared" ca="1" si="117"/>
        <v>6.5873506559859067E-3</v>
      </c>
      <c r="Y43" s="5">
        <f t="shared" ca="1" si="118"/>
        <v>6.5651131375374641E-3</v>
      </c>
      <c r="Z43" s="5">
        <f t="shared" ca="1" si="119"/>
        <v>6.6901949323887686E-3</v>
      </c>
      <c r="AA43" s="5">
        <f t="shared" ca="1" si="120"/>
        <v>6.5671944535455736E-3</v>
      </c>
      <c r="AB43" s="5">
        <f t="shared" ca="1" si="121"/>
        <v>7.2294005457422773E-3</v>
      </c>
      <c r="AC43" s="5">
        <f t="shared" ca="1" si="122"/>
        <v>7.0786696029770599E-3</v>
      </c>
      <c r="AD43" s="5">
        <f t="shared" ca="1" si="123"/>
        <v>6.745315827424811E-3</v>
      </c>
      <c r="AE43" s="5">
        <f t="shared" ca="1" si="124"/>
        <v>6.7311761657021995E-3</v>
      </c>
      <c r="AF43" s="5">
        <f t="shared" ca="1" si="125"/>
        <v>6.0888730674813285E-3</v>
      </c>
      <c r="AG43" s="5">
        <f t="shared" ca="1" si="126"/>
        <v>6.6375829689231539E-3</v>
      </c>
      <c r="AH43" s="5">
        <f t="shared" ca="1" si="127"/>
        <v>6.3104053664031256E-3</v>
      </c>
      <c r="AI43" s="5">
        <f t="shared" ca="1" si="128"/>
        <v>6.9041126759847313E-3</v>
      </c>
      <c r="AJ43" s="5">
        <f t="shared" ca="1" si="129"/>
        <v>6.4812549974152698E-3</v>
      </c>
      <c r="AK43" s="5">
        <f t="shared" ca="1" si="130"/>
        <v>6.6829727649487629E-3</v>
      </c>
      <c r="AL43" s="5">
        <f t="shared" ca="1" si="131"/>
        <v>6.4505413208647659E-3</v>
      </c>
      <c r="AM43" s="5">
        <f t="shared" ca="1" si="132"/>
        <v>6.4721700435876111E-3</v>
      </c>
      <c r="AN43" s="5">
        <f t="shared" ca="1" si="133"/>
        <v>6.7115163050022854E-3</v>
      </c>
      <c r="AO43" s="5">
        <f t="shared" ca="1" si="134"/>
        <v>7.1020185210032196E-3</v>
      </c>
      <c r="AP43" s="5">
        <f t="shared" ca="1" si="135"/>
        <v>6.2569632795583885E-3</v>
      </c>
      <c r="AQ43" s="5">
        <f t="shared" ca="1" si="136"/>
        <v>6.3596561901572007E-3</v>
      </c>
      <c r="AR43" s="5">
        <f t="shared" ca="1" si="137"/>
        <v>6.4867580587164089E-3</v>
      </c>
      <c r="AS43" s="5">
        <f t="shared" ca="1" si="138"/>
        <v>6.6971912932371393E-3</v>
      </c>
      <c r="AT43" s="5">
        <f t="shared" ca="1" si="139"/>
        <v>6.4606121463183248E-3</v>
      </c>
      <c r="AU43" s="5">
        <f t="shared" ca="1" si="140"/>
        <v>6.4019063661584566E-3</v>
      </c>
      <c r="AV43" s="5">
        <f t="shared" ca="1" si="141"/>
        <v>6.3600594052090221E-3</v>
      </c>
      <c r="AW43" s="5">
        <f t="shared" ca="1" si="142"/>
        <v>6.6707792706584479E-3</v>
      </c>
      <c r="AX43" s="5">
        <f t="shared" ca="1" si="143"/>
        <v>6.1637448966279989E-3</v>
      </c>
      <c r="AY43" s="5">
        <f t="shared" ca="1" si="144"/>
        <v>7.0730874581231519E-3</v>
      </c>
      <c r="AZ43" s="5">
        <f t="shared" ca="1" si="145"/>
        <v>6.6745992973597599E-3</v>
      </c>
      <c r="BA43" s="5">
        <f t="shared" ca="1" si="146"/>
        <v>6.4942468510908536E-3</v>
      </c>
      <c r="BB43" s="5">
        <f t="shared" ca="1" si="147"/>
        <v>6.6064007342614521E-3</v>
      </c>
      <c r="BC43" s="5">
        <f t="shared" ca="1" si="148"/>
        <v>6.1325028558369505E-3</v>
      </c>
      <c r="BD43" s="5">
        <f t="shared" ca="1" si="149"/>
        <v>6.6213562982976558E-3</v>
      </c>
      <c r="BE43" s="5">
        <f t="shared" ca="1" si="150"/>
        <v>6.9831573185024686E-3</v>
      </c>
      <c r="BF43" s="5">
        <f t="shared" ca="1" si="151"/>
        <v>6.588248279095898E-3</v>
      </c>
      <c r="BG43" s="5">
        <f t="shared" ca="1" si="152"/>
        <v>6.200489240969268E-3</v>
      </c>
      <c r="BH43" s="5">
        <f t="shared" ca="1" si="153"/>
        <v>6.2620412452672226E-3</v>
      </c>
      <c r="BI43" s="5">
        <f t="shared" ca="1" si="154"/>
        <v>7.0886559959819706E-3</v>
      </c>
      <c r="BJ43" s="5">
        <f t="shared" ca="1" si="155"/>
        <v>7.0126701905254794E-3</v>
      </c>
      <c r="BK43" s="5">
        <f t="shared" ca="1" si="156"/>
        <v>6.876822700918289E-3</v>
      </c>
      <c r="BL43" s="5">
        <f t="shared" ca="1" si="157"/>
        <v>6.5693653124654647E-3</v>
      </c>
      <c r="BM43" s="5">
        <f t="shared" ca="1" si="158"/>
        <v>6.2708586071112881E-3</v>
      </c>
      <c r="BN43" s="5">
        <f t="shared" ca="1" si="159"/>
        <v>6.6496609582043743E-3</v>
      </c>
      <c r="BO43" s="5">
        <f t="shared" ca="1" si="160"/>
        <v>6.623029159552726E-3</v>
      </c>
      <c r="BP43" s="5">
        <f t="shared" ca="1" si="161"/>
        <v>6.4506974705162588E-3</v>
      </c>
      <c r="BQ43" s="5">
        <f t="shared" ca="1" si="162"/>
        <v>6.2766491178537723E-3</v>
      </c>
      <c r="BR43" s="5">
        <f t="shared" ca="1" si="163"/>
        <v>6.5737960464670704E-3</v>
      </c>
      <c r="BS43" s="5">
        <f t="shared" ca="1" si="164"/>
        <v>6.6763427254658697E-3</v>
      </c>
      <c r="BT43" s="5">
        <f t="shared" ca="1" si="165"/>
        <v>6.5109784281620862E-3</v>
      </c>
      <c r="BU43" s="5">
        <f t="shared" ca="1" si="166"/>
        <v>6.727948647226408E-3</v>
      </c>
      <c r="BV43" s="5">
        <f t="shared" ca="1" si="167"/>
        <v>6.691908845484003E-3</v>
      </c>
      <c r="BW43" s="5">
        <f t="shared" ca="1" si="168"/>
        <v>6.9221371491017614E-3</v>
      </c>
      <c r="BX43" s="5">
        <f t="shared" ca="1" si="169"/>
        <v>6.6047739621271457E-3</v>
      </c>
      <c r="BY43" s="5">
        <f t="shared" ca="1" si="170"/>
        <v>6.3289479148980086E-3</v>
      </c>
      <c r="BZ43" s="5">
        <f t="shared" ca="1" si="171"/>
        <v>6.7624284221973223E-3</v>
      </c>
      <c r="CA43" s="5">
        <f t="shared" ca="1" si="172"/>
        <v>6.1308513503186713E-3</v>
      </c>
      <c r="CB43" s="5">
        <f t="shared" ca="1" si="173"/>
        <v>6.6501682998626596E-3</v>
      </c>
      <c r="CC43" s="5">
        <f t="shared" ca="1" si="174"/>
        <v>6.4685632643678576E-3</v>
      </c>
      <c r="CD43" s="5">
        <f t="shared" ca="1" si="175"/>
        <v>6.5054953146246736E-3</v>
      </c>
      <c r="CE43" s="5">
        <f t="shared" ca="1" si="176"/>
        <v>6.4066560596361052E-3</v>
      </c>
      <c r="CF43" s="5">
        <f t="shared" ca="1" si="177"/>
        <v>6.7362127772294424E-3</v>
      </c>
      <c r="CG43" s="5">
        <f t="shared" ca="1" si="178"/>
        <v>6.6708423726949866E-3</v>
      </c>
      <c r="CH43" s="5">
        <f t="shared" ca="1" si="179"/>
        <v>6.1764770460915738E-3</v>
      </c>
      <c r="CI43" s="5">
        <f t="shared" ca="1" si="180"/>
        <v>6.5475100032017473E-3</v>
      </c>
      <c r="CJ43" s="5">
        <f t="shared" ca="1" si="181"/>
        <v>6.7550987084719245E-3</v>
      </c>
      <c r="CK43" s="5">
        <f t="shared" ca="1" si="182"/>
        <v>6.7618864774125417E-3</v>
      </c>
      <c r="CL43" s="5">
        <f t="shared" ca="1" si="183"/>
        <v>6.6303717770359091E-3</v>
      </c>
      <c r="CM43" s="5">
        <f t="shared" ca="1" si="184"/>
        <v>6.5611879336089918E-3</v>
      </c>
      <c r="CN43" s="5">
        <f t="shared" ca="1" si="185"/>
        <v>6.6915640876686108E-3</v>
      </c>
      <c r="CO43" s="5">
        <f t="shared" ca="1" si="186"/>
        <v>6.5479451547913979E-3</v>
      </c>
      <c r="CP43" s="5">
        <f t="shared" ca="1" si="187"/>
        <v>6.819323954470961E-3</v>
      </c>
      <c r="CQ43" s="5">
        <f t="shared" ca="1" si="188"/>
        <v>6.8295716270061193E-3</v>
      </c>
      <c r="CR43" s="5">
        <f t="shared" ca="1" si="189"/>
        <v>6.6703923800983927E-3</v>
      </c>
      <c r="CS43" s="5">
        <f t="shared" ca="1" si="190"/>
        <v>6.7295845170534784E-3</v>
      </c>
      <c r="CT43" s="5">
        <f t="shared" ca="1" si="191"/>
        <v>7.0103947573484041E-3</v>
      </c>
      <c r="CU43" s="5">
        <f t="shared" ca="1" si="192"/>
        <v>6.401967289961172E-3</v>
      </c>
      <c r="CV43" s="5">
        <f t="shared" ca="1" si="193"/>
        <v>6.3462144515058624E-3</v>
      </c>
      <c r="CW43" s="5">
        <f t="shared" ca="1" si="194"/>
        <v>6.4085630110721414E-3</v>
      </c>
      <c r="CX43" s="5">
        <f t="shared" ca="1" si="195"/>
        <v>6.3392201656121356E-3</v>
      </c>
      <c r="CY43" s="5">
        <f t="shared" ca="1" si="196"/>
        <v>6.4574868038524613E-3</v>
      </c>
      <c r="CZ43" s="5">
        <f t="shared" ca="1" si="197"/>
        <v>6.3703831991366311E-3</v>
      </c>
      <c r="DA43" s="5">
        <f t="shared" ca="1" si="198"/>
        <v>6.6498787339316374E-3</v>
      </c>
      <c r="DB43" s="5">
        <f t="shared" ca="1" si="199"/>
        <v>6.6892709858800397E-3</v>
      </c>
      <c r="DC43" s="5">
        <f t="shared" ca="1" si="200"/>
        <v>6.5968094456397104E-3</v>
      </c>
      <c r="DD43" s="5">
        <f t="shared" ca="1" si="201"/>
        <v>6.3842167738557736E-3</v>
      </c>
      <c r="DE43" s="5">
        <f t="shared" ca="1" si="202"/>
        <v>6.3275484818117733E-3</v>
      </c>
      <c r="DF43" s="5">
        <f t="shared" ca="1" si="203"/>
        <v>6.5098158860061968E-3</v>
      </c>
      <c r="DG43" s="5">
        <f t="shared" ca="1" si="204"/>
        <v>6.4666602572131891E-3</v>
      </c>
      <c r="DH43" s="5">
        <f t="shared" ca="1" si="205"/>
        <v>6.9318614788615755E-3</v>
      </c>
      <c r="DI43" s="5">
        <f t="shared" ca="1" si="206"/>
        <v>6.5487413456648946E-3</v>
      </c>
      <c r="DJ43" s="5">
        <f t="shared" ca="1" si="207"/>
        <v>6.7489719555151899E-3</v>
      </c>
    </row>
    <row r="44" spans="5:114" outlineLevel="1" x14ac:dyDescent="0.2">
      <c r="E44" s="32">
        <v>45809</v>
      </c>
      <c r="F44" s="9">
        <v>2413.3199999999997</v>
      </c>
      <c r="G44" s="5">
        <f t="shared" ca="1" si="105"/>
        <v>-3.3834333243728087E-2</v>
      </c>
      <c r="H44" s="5">
        <f t="shared" ca="1" si="106"/>
        <v>6.3547146200855784E-3</v>
      </c>
      <c r="I44" s="9">
        <f t="shared" ca="1" si="107"/>
        <v>88600.728662853333</v>
      </c>
      <c r="K44" s="6">
        <v>40</v>
      </c>
      <c r="L44" s="5">
        <v>363557.77998518519</v>
      </c>
      <c r="N44" s="32">
        <v>45778</v>
      </c>
      <c r="O44" s="5">
        <f t="shared" ca="1" si="108"/>
        <v>6.8792766735500189E-3</v>
      </c>
      <c r="P44" s="5">
        <f t="shared" ca="1" si="109"/>
        <v>6.6001753878101397E-3</v>
      </c>
      <c r="Q44" s="5">
        <f t="shared" ca="1" si="110"/>
        <v>6.6915103558271459E-3</v>
      </c>
      <c r="R44" s="5">
        <f t="shared" ca="1" si="111"/>
        <v>6.4928322390712945E-3</v>
      </c>
      <c r="S44" s="5">
        <f t="shared" ca="1" si="112"/>
        <v>6.3382581510324594E-3</v>
      </c>
      <c r="T44" s="5">
        <f t="shared" ca="1" si="113"/>
        <v>5.8785502931974461E-3</v>
      </c>
      <c r="U44" s="5">
        <f t="shared" ca="1" si="114"/>
        <v>6.5253161941659435E-3</v>
      </c>
      <c r="V44" s="5">
        <f t="shared" ca="1" si="115"/>
        <v>6.8332912071331249E-3</v>
      </c>
      <c r="W44" s="5">
        <f t="shared" ca="1" si="116"/>
        <v>6.730569749958836E-3</v>
      </c>
      <c r="X44" s="5">
        <f t="shared" ca="1" si="117"/>
        <v>6.5976589830369758E-3</v>
      </c>
      <c r="Y44" s="5">
        <f t="shared" ca="1" si="118"/>
        <v>6.4799180921255133E-3</v>
      </c>
      <c r="Z44" s="5">
        <f t="shared" ca="1" si="119"/>
        <v>6.6343683238412453E-3</v>
      </c>
      <c r="AA44" s="5">
        <f t="shared" ca="1" si="120"/>
        <v>6.5746221734368105E-3</v>
      </c>
      <c r="AB44" s="5">
        <f t="shared" ca="1" si="121"/>
        <v>7.2995353643674063E-3</v>
      </c>
      <c r="AC44" s="5">
        <f t="shared" ca="1" si="122"/>
        <v>7.1098580639037375E-3</v>
      </c>
      <c r="AD44" s="5">
        <f t="shared" ca="1" si="123"/>
        <v>6.7585043294917822E-3</v>
      </c>
      <c r="AE44" s="5">
        <f t="shared" ca="1" si="124"/>
        <v>6.6992450454707612E-3</v>
      </c>
      <c r="AF44" s="5">
        <f t="shared" ca="1" si="125"/>
        <v>6.0579172377330029E-3</v>
      </c>
      <c r="AG44" s="5">
        <f t="shared" ca="1" si="126"/>
        <v>6.6576379499016002E-3</v>
      </c>
      <c r="AH44" s="5">
        <f t="shared" ca="1" si="127"/>
        <v>6.34756139554183E-3</v>
      </c>
      <c r="AI44" s="5">
        <f t="shared" ca="1" si="128"/>
        <v>6.9453361306788643E-3</v>
      </c>
      <c r="AJ44" s="5">
        <f t="shared" ca="1" si="129"/>
        <v>6.4522401526202902E-3</v>
      </c>
      <c r="AK44" s="5">
        <f t="shared" ca="1" si="130"/>
        <v>6.7124434865934741E-3</v>
      </c>
      <c r="AL44" s="5">
        <f t="shared" ca="1" si="131"/>
        <v>6.5049228064688602E-3</v>
      </c>
      <c r="AM44" s="5">
        <f t="shared" ca="1" si="132"/>
        <v>6.4964494052994828E-3</v>
      </c>
      <c r="AN44" s="5">
        <f t="shared" ca="1" si="133"/>
        <v>6.6942037114077558E-3</v>
      </c>
      <c r="AO44" s="5">
        <f t="shared" ca="1" si="134"/>
        <v>7.1890287847754626E-3</v>
      </c>
      <c r="AP44" s="5">
        <f t="shared" ca="1" si="135"/>
        <v>6.2279034411940413E-3</v>
      </c>
      <c r="AQ44" s="5">
        <f t="shared" ca="1" si="136"/>
        <v>6.3485205368393836E-3</v>
      </c>
      <c r="AR44" s="5">
        <f t="shared" ca="1" si="137"/>
        <v>6.4898878906266329E-3</v>
      </c>
      <c r="AS44" s="5">
        <f t="shared" ca="1" si="138"/>
        <v>6.6911170619969448E-3</v>
      </c>
      <c r="AT44" s="5">
        <f t="shared" ca="1" si="139"/>
        <v>6.4065478312901403E-3</v>
      </c>
      <c r="AU44" s="5">
        <f t="shared" ca="1" si="140"/>
        <v>6.2974680716795951E-3</v>
      </c>
      <c r="AV44" s="5">
        <f t="shared" ca="1" si="141"/>
        <v>6.3476173649417182E-3</v>
      </c>
      <c r="AW44" s="5">
        <f t="shared" ca="1" si="142"/>
        <v>6.7003408362327098E-3</v>
      </c>
      <c r="AX44" s="5">
        <f t="shared" ca="1" si="143"/>
        <v>6.2552646882432315E-3</v>
      </c>
      <c r="AY44" s="5">
        <f t="shared" ca="1" si="144"/>
        <v>6.9873911758610895E-3</v>
      </c>
      <c r="AZ44" s="5">
        <f t="shared" ca="1" si="145"/>
        <v>6.6789518504235196E-3</v>
      </c>
      <c r="BA44" s="5">
        <f t="shared" ca="1" si="146"/>
        <v>6.5167005523303709E-3</v>
      </c>
      <c r="BB44" s="5">
        <f t="shared" ca="1" si="147"/>
        <v>6.6270646105126892E-3</v>
      </c>
      <c r="BC44" s="5">
        <f t="shared" ca="1" si="148"/>
        <v>6.1352752603567621E-3</v>
      </c>
      <c r="BD44" s="5">
        <f t="shared" ca="1" si="149"/>
        <v>6.677294785248155E-3</v>
      </c>
      <c r="BE44" s="5">
        <f t="shared" ca="1" si="150"/>
        <v>7.0090959006818875E-3</v>
      </c>
      <c r="BF44" s="5">
        <f t="shared" ca="1" si="151"/>
        <v>6.5616530052684582E-3</v>
      </c>
      <c r="BG44" s="5">
        <f t="shared" ca="1" si="152"/>
        <v>6.1727345342075714E-3</v>
      </c>
      <c r="BH44" s="5">
        <f t="shared" ca="1" si="153"/>
        <v>6.3152755851775882E-3</v>
      </c>
      <c r="BI44" s="5">
        <f t="shared" ca="1" si="154"/>
        <v>7.1312095330621269E-3</v>
      </c>
      <c r="BJ44" s="5">
        <f t="shared" ca="1" si="155"/>
        <v>7.0619204780037557E-3</v>
      </c>
      <c r="BK44" s="5">
        <f t="shared" ca="1" si="156"/>
        <v>6.9155675096874789E-3</v>
      </c>
      <c r="BL44" s="5">
        <f t="shared" ca="1" si="157"/>
        <v>6.6058859441718177E-3</v>
      </c>
      <c r="BM44" s="5">
        <f t="shared" ca="1" si="158"/>
        <v>6.193004665597958E-3</v>
      </c>
      <c r="BN44" s="5">
        <f t="shared" ca="1" si="159"/>
        <v>6.6813514767413333E-3</v>
      </c>
      <c r="BO44" s="5">
        <f t="shared" ca="1" si="160"/>
        <v>6.6020731509294018E-3</v>
      </c>
      <c r="BP44" s="5">
        <f t="shared" ca="1" si="161"/>
        <v>6.3824993058302342E-3</v>
      </c>
      <c r="BQ44" s="5">
        <f t="shared" ca="1" si="162"/>
        <v>6.2366821593058796E-3</v>
      </c>
      <c r="BR44" s="5">
        <f t="shared" ca="1" si="163"/>
        <v>6.5683067023918715E-3</v>
      </c>
      <c r="BS44" s="5">
        <f t="shared" ca="1" si="164"/>
        <v>6.6882601022378975E-3</v>
      </c>
      <c r="BT44" s="5">
        <f t="shared" ca="1" si="165"/>
        <v>6.4717731881089391E-3</v>
      </c>
      <c r="BU44" s="5">
        <f t="shared" ca="1" si="166"/>
        <v>6.7100611678758259E-3</v>
      </c>
      <c r="BV44" s="5">
        <f t="shared" ca="1" si="167"/>
        <v>6.6899545757847572E-3</v>
      </c>
      <c r="BW44" s="5">
        <f t="shared" ca="1" si="168"/>
        <v>6.9337748693690925E-3</v>
      </c>
      <c r="BX44" s="5">
        <f t="shared" ca="1" si="169"/>
        <v>6.5612350401851212E-3</v>
      </c>
      <c r="BY44" s="5">
        <f t="shared" ca="1" si="170"/>
        <v>6.2803061698425431E-3</v>
      </c>
      <c r="BZ44" s="5">
        <f t="shared" ca="1" si="171"/>
        <v>6.7828671385642041E-3</v>
      </c>
      <c r="CA44" s="5">
        <f t="shared" ca="1" si="172"/>
        <v>6.0969150878676919E-3</v>
      </c>
      <c r="CB44" s="5">
        <f t="shared" ca="1" si="173"/>
        <v>6.610298110294106E-3</v>
      </c>
      <c r="CC44" s="5">
        <f t="shared" ca="1" si="174"/>
        <v>6.4792299807800158E-3</v>
      </c>
      <c r="CD44" s="5">
        <f t="shared" ca="1" si="175"/>
        <v>6.5099107912230903E-3</v>
      </c>
      <c r="CE44" s="5">
        <f t="shared" ca="1" si="176"/>
        <v>6.3821029100453036E-3</v>
      </c>
      <c r="CF44" s="5">
        <f t="shared" ca="1" si="177"/>
        <v>6.7363986279505173E-3</v>
      </c>
      <c r="CG44" s="5">
        <f t="shared" ca="1" si="178"/>
        <v>6.647178043794293E-3</v>
      </c>
      <c r="CH44" s="5">
        <f t="shared" ca="1" si="179"/>
        <v>6.2120155487919186E-3</v>
      </c>
      <c r="CI44" s="5">
        <f t="shared" ca="1" si="180"/>
        <v>6.5746615359554544E-3</v>
      </c>
      <c r="CJ44" s="5">
        <f t="shared" ca="1" si="181"/>
        <v>6.7410528661931224E-3</v>
      </c>
      <c r="CK44" s="5">
        <f t="shared" ca="1" si="182"/>
        <v>6.6729352887998873E-3</v>
      </c>
      <c r="CL44" s="5">
        <f t="shared" ca="1" si="183"/>
        <v>6.6298988409357494E-3</v>
      </c>
      <c r="CM44" s="5">
        <f t="shared" ca="1" si="184"/>
        <v>6.617569886285788E-3</v>
      </c>
      <c r="CN44" s="5">
        <f t="shared" ca="1" si="185"/>
        <v>6.641203728491662E-3</v>
      </c>
      <c r="CO44" s="5">
        <f t="shared" ca="1" si="186"/>
        <v>6.5554899865998793E-3</v>
      </c>
      <c r="CP44" s="5">
        <f t="shared" ca="1" si="187"/>
        <v>6.8390298460090908E-3</v>
      </c>
      <c r="CQ44" s="5">
        <f t="shared" ca="1" si="188"/>
        <v>6.8281330566489912E-3</v>
      </c>
      <c r="CR44" s="5">
        <f t="shared" ca="1" si="189"/>
        <v>6.6913538590000357E-3</v>
      </c>
      <c r="CS44" s="5">
        <f t="shared" ca="1" si="190"/>
        <v>6.791265619010254E-3</v>
      </c>
      <c r="CT44" s="5">
        <f t="shared" ca="1" si="191"/>
        <v>7.068498742537321E-3</v>
      </c>
      <c r="CU44" s="5">
        <f t="shared" ca="1" si="192"/>
        <v>6.3897956026517924E-3</v>
      </c>
      <c r="CV44" s="5">
        <f t="shared" ca="1" si="193"/>
        <v>6.3723300826292349E-3</v>
      </c>
      <c r="CW44" s="5">
        <f t="shared" ca="1" si="194"/>
        <v>6.4012787039858928E-3</v>
      </c>
      <c r="CX44" s="5">
        <f t="shared" ca="1" si="195"/>
        <v>6.2642975994832394E-3</v>
      </c>
      <c r="CY44" s="5">
        <f t="shared" ca="1" si="196"/>
        <v>6.5084283781537966E-3</v>
      </c>
      <c r="CZ44" s="5">
        <f t="shared" ca="1" si="197"/>
        <v>6.3580434483368206E-3</v>
      </c>
      <c r="DA44" s="5">
        <f t="shared" ca="1" si="198"/>
        <v>6.6672046100837096E-3</v>
      </c>
      <c r="DB44" s="5">
        <f t="shared" ca="1" si="199"/>
        <v>6.6989659595471304E-3</v>
      </c>
      <c r="DC44" s="5">
        <f t="shared" ca="1" si="200"/>
        <v>6.6210158993194228E-3</v>
      </c>
      <c r="DD44" s="5">
        <f t="shared" ca="1" si="201"/>
        <v>6.397565512690306E-3</v>
      </c>
      <c r="DE44" s="5">
        <f t="shared" ca="1" si="202"/>
        <v>6.3842505131823934E-3</v>
      </c>
      <c r="DF44" s="5">
        <f t="shared" ca="1" si="203"/>
        <v>6.4452066910886908E-3</v>
      </c>
      <c r="DG44" s="5">
        <f t="shared" ca="1" si="204"/>
        <v>6.4330716440457571E-3</v>
      </c>
      <c r="DH44" s="5">
        <f t="shared" ca="1" si="205"/>
        <v>6.9413533205016547E-3</v>
      </c>
      <c r="DI44" s="5">
        <f t="shared" ca="1" si="206"/>
        <v>6.5206787125003992E-3</v>
      </c>
      <c r="DJ44" s="5">
        <f t="shared" ca="1" si="207"/>
        <v>6.7141279741713619E-3</v>
      </c>
    </row>
    <row r="45" spans="5:114" outlineLevel="1" x14ac:dyDescent="0.2">
      <c r="E45" s="32">
        <v>45839</v>
      </c>
      <c r="F45" s="9">
        <v>2413.3199999999997</v>
      </c>
      <c r="G45" s="5">
        <f t="shared" ca="1" si="105"/>
        <v>0.10493984147479871</v>
      </c>
      <c r="H45" s="5">
        <f t="shared" ca="1" si="106"/>
        <v>6.3429578920376518E-3</v>
      </c>
      <c r="I45" s="9">
        <f t="shared" ca="1" si="107"/>
        <v>91060.893599999661</v>
      </c>
      <c r="K45" s="6">
        <v>41</v>
      </c>
      <c r="L45" s="5">
        <v>362363.55258501682</v>
      </c>
      <c r="N45" s="32">
        <v>45809</v>
      </c>
      <c r="O45" s="5">
        <f t="shared" ca="1" si="108"/>
        <v>6.9478968338324175E-3</v>
      </c>
      <c r="P45" s="5">
        <f t="shared" ca="1" si="109"/>
        <v>6.6081759607162635E-3</v>
      </c>
      <c r="Q45" s="5">
        <f t="shared" ca="1" si="110"/>
        <v>6.6885498626285903E-3</v>
      </c>
      <c r="R45" s="5">
        <f t="shared" ca="1" si="111"/>
        <v>6.4997127295401153E-3</v>
      </c>
      <c r="S45" s="5">
        <f t="shared" ca="1" si="112"/>
        <v>6.3563493036088315E-3</v>
      </c>
      <c r="T45" s="5">
        <f t="shared" ca="1" si="113"/>
        <v>5.8811370928569789E-3</v>
      </c>
      <c r="U45" s="5">
        <f t="shared" ca="1" si="114"/>
        <v>6.5268376154198919E-3</v>
      </c>
      <c r="V45" s="5">
        <f t="shared" ca="1" si="115"/>
        <v>6.8253980689175217E-3</v>
      </c>
      <c r="W45" s="5">
        <f t="shared" ca="1" si="116"/>
        <v>6.8000317261267826E-3</v>
      </c>
      <c r="X45" s="5">
        <f t="shared" ca="1" si="117"/>
        <v>6.6234603042445907E-3</v>
      </c>
      <c r="Y45" s="5">
        <f t="shared" ca="1" si="118"/>
        <v>6.4452291449485352E-3</v>
      </c>
      <c r="Z45" s="5">
        <f t="shared" ca="1" si="119"/>
        <v>6.6991030518967262E-3</v>
      </c>
      <c r="AA45" s="5">
        <f t="shared" ca="1" si="120"/>
        <v>6.5367079322229396E-3</v>
      </c>
      <c r="AB45" s="5">
        <f t="shared" ca="1" si="121"/>
        <v>7.3507799599472146E-3</v>
      </c>
      <c r="AC45" s="5">
        <f t="shared" ca="1" si="122"/>
        <v>7.0650178068404085E-3</v>
      </c>
      <c r="AD45" s="5">
        <f t="shared" ca="1" si="123"/>
        <v>6.7815746116554054E-3</v>
      </c>
      <c r="AE45" s="5">
        <f t="shared" ca="1" si="124"/>
        <v>6.6564838475625171E-3</v>
      </c>
      <c r="AF45" s="5">
        <f t="shared" ca="1" si="125"/>
        <v>6.0242144015919151E-3</v>
      </c>
      <c r="AG45" s="5">
        <f t="shared" ca="1" si="126"/>
        <v>6.6669643848718974E-3</v>
      </c>
      <c r="AH45" s="5">
        <f t="shared" ca="1" si="127"/>
        <v>6.4026802370900976E-3</v>
      </c>
      <c r="AI45" s="5">
        <f t="shared" ca="1" si="128"/>
        <v>6.9005059782718025E-3</v>
      </c>
      <c r="AJ45" s="5">
        <f t="shared" ca="1" si="129"/>
        <v>6.4592142669430549E-3</v>
      </c>
      <c r="AK45" s="5">
        <f t="shared" ca="1" si="130"/>
        <v>6.6526787247561617E-3</v>
      </c>
      <c r="AL45" s="5">
        <f t="shared" ca="1" si="131"/>
        <v>6.5138298526528993E-3</v>
      </c>
      <c r="AM45" s="5">
        <f t="shared" ca="1" si="132"/>
        <v>6.5235655017358623E-3</v>
      </c>
      <c r="AN45" s="5">
        <f t="shared" ca="1" si="133"/>
        <v>6.642900855566165E-3</v>
      </c>
      <c r="AO45" s="5">
        <f t="shared" ca="1" si="134"/>
        <v>7.1936052038603137E-3</v>
      </c>
      <c r="AP45" s="5">
        <f t="shared" ca="1" si="135"/>
        <v>6.267674339478958E-3</v>
      </c>
      <c r="AQ45" s="5">
        <f t="shared" ca="1" si="136"/>
        <v>6.3967855102573896E-3</v>
      </c>
      <c r="AR45" s="5">
        <f t="shared" ca="1" si="137"/>
        <v>6.4610178328259387E-3</v>
      </c>
      <c r="AS45" s="5">
        <f t="shared" ca="1" si="138"/>
        <v>6.7380898489524058E-3</v>
      </c>
      <c r="AT45" s="5">
        <f t="shared" ca="1" si="139"/>
        <v>6.412012760270004E-3</v>
      </c>
      <c r="AU45" s="5">
        <f t="shared" ca="1" si="140"/>
        <v>6.3176985799270223E-3</v>
      </c>
      <c r="AV45" s="5">
        <f t="shared" ca="1" si="141"/>
        <v>6.4077525500477791E-3</v>
      </c>
      <c r="AW45" s="5">
        <f t="shared" ca="1" si="142"/>
        <v>6.6724350262835673E-3</v>
      </c>
      <c r="AX45" s="5">
        <f t="shared" ca="1" si="143"/>
        <v>6.2997447616211415E-3</v>
      </c>
      <c r="AY45" s="5">
        <f t="shared" ca="1" si="144"/>
        <v>7.0198539752580067E-3</v>
      </c>
      <c r="AZ45" s="5">
        <f t="shared" ca="1" si="145"/>
        <v>6.7006879349091322E-3</v>
      </c>
      <c r="BA45" s="5">
        <f t="shared" ca="1" si="146"/>
        <v>6.5508752250114134E-3</v>
      </c>
      <c r="BB45" s="5">
        <f t="shared" ca="1" si="147"/>
        <v>6.6168185831186272E-3</v>
      </c>
      <c r="BC45" s="5">
        <f t="shared" ca="1" si="148"/>
        <v>6.1556573567456748E-3</v>
      </c>
      <c r="BD45" s="5">
        <f t="shared" ca="1" si="149"/>
        <v>6.734839416130854E-3</v>
      </c>
      <c r="BE45" s="5">
        <f t="shared" ca="1" si="150"/>
        <v>7.0137426393709909E-3</v>
      </c>
      <c r="BF45" s="5">
        <f t="shared" ca="1" si="151"/>
        <v>6.5491189564266077E-3</v>
      </c>
      <c r="BG45" s="5">
        <f t="shared" ca="1" si="152"/>
        <v>6.1522196136876558E-3</v>
      </c>
      <c r="BH45" s="5">
        <f t="shared" ca="1" si="153"/>
        <v>6.3394217824757192E-3</v>
      </c>
      <c r="BI45" s="5">
        <f t="shared" ca="1" si="154"/>
        <v>7.1493700005372026E-3</v>
      </c>
      <c r="BJ45" s="5">
        <f t="shared" ca="1" si="155"/>
        <v>7.0511377197288233E-3</v>
      </c>
      <c r="BK45" s="5">
        <f t="shared" ca="1" si="156"/>
        <v>6.9496061096223864E-3</v>
      </c>
      <c r="BL45" s="5">
        <f t="shared" ca="1" si="157"/>
        <v>6.7593795185149474E-3</v>
      </c>
      <c r="BM45" s="5">
        <f t="shared" ca="1" si="158"/>
        <v>6.1492829409281833E-3</v>
      </c>
      <c r="BN45" s="5">
        <f t="shared" ca="1" si="159"/>
        <v>6.6466793392132243E-3</v>
      </c>
      <c r="BO45" s="5">
        <f t="shared" ca="1" si="160"/>
        <v>6.6426139668026036E-3</v>
      </c>
      <c r="BP45" s="5">
        <f t="shared" ca="1" si="161"/>
        <v>6.4465181921827992E-3</v>
      </c>
      <c r="BQ45" s="5">
        <f t="shared" ca="1" si="162"/>
        <v>6.1691271840636705E-3</v>
      </c>
      <c r="BR45" s="5">
        <f t="shared" ca="1" si="163"/>
        <v>6.4615269105513188E-3</v>
      </c>
      <c r="BS45" s="5">
        <f t="shared" ca="1" si="164"/>
        <v>6.7561347457153215E-3</v>
      </c>
      <c r="BT45" s="5">
        <f t="shared" ca="1" si="165"/>
        <v>6.5228553601039338E-3</v>
      </c>
      <c r="BU45" s="5">
        <f t="shared" ca="1" si="166"/>
        <v>6.7982761388622496E-3</v>
      </c>
      <c r="BV45" s="5">
        <f t="shared" ca="1" si="167"/>
        <v>6.6266142119265738E-3</v>
      </c>
      <c r="BW45" s="5">
        <f t="shared" ca="1" si="168"/>
        <v>6.9459802066832461E-3</v>
      </c>
      <c r="BX45" s="5">
        <f t="shared" ca="1" si="169"/>
        <v>6.6281536199534995E-3</v>
      </c>
      <c r="BY45" s="5">
        <f t="shared" ca="1" si="170"/>
        <v>6.2739049548963706E-3</v>
      </c>
      <c r="BZ45" s="5">
        <f t="shared" ca="1" si="171"/>
        <v>6.8595452756394669E-3</v>
      </c>
      <c r="CA45" s="5">
        <f t="shared" ca="1" si="172"/>
        <v>6.0969830531107027E-3</v>
      </c>
      <c r="CB45" s="5">
        <f t="shared" ca="1" si="173"/>
        <v>6.6328304526578766E-3</v>
      </c>
      <c r="CC45" s="5">
        <f t="shared" ca="1" si="174"/>
        <v>6.4621250028094393E-3</v>
      </c>
      <c r="CD45" s="5">
        <f t="shared" ca="1" si="175"/>
        <v>6.5730316760419065E-3</v>
      </c>
      <c r="CE45" s="5">
        <f t="shared" ca="1" si="176"/>
        <v>6.4187913096857953E-3</v>
      </c>
      <c r="CF45" s="5">
        <f t="shared" ca="1" si="177"/>
        <v>6.7913904766096437E-3</v>
      </c>
      <c r="CG45" s="5">
        <f t="shared" ca="1" si="178"/>
        <v>6.6569953055896115E-3</v>
      </c>
      <c r="CH45" s="5">
        <f t="shared" ca="1" si="179"/>
        <v>6.1692675710238619E-3</v>
      </c>
      <c r="CI45" s="5">
        <f t="shared" ca="1" si="180"/>
        <v>6.5939314765904771E-3</v>
      </c>
      <c r="CJ45" s="5">
        <f t="shared" ca="1" si="181"/>
        <v>6.7503785403690165E-3</v>
      </c>
      <c r="CK45" s="5">
        <f t="shared" ca="1" si="182"/>
        <v>6.6752963825835532E-3</v>
      </c>
      <c r="CL45" s="5">
        <f t="shared" ca="1" si="183"/>
        <v>6.5662223250724941E-3</v>
      </c>
      <c r="CM45" s="5">
        <f t="shared" ca="1" si="184"/>
        <v>6.630161832752458E-3</v>
      </c>
      <c r="CN45" s="5">
        <f t="shared" ca="1" si="185"/>
        <v>6.7029617334260451E-3</v>
      </c>
      <c r="CO45" s="5">
        <f t="shared" ca="1" si="186"/>
        <v>6.5492132984920166E-3</v>
      </c>
      <c r="CP45" s="5">
        <f t="shared" ca="1" si="187"/>
        <v>6.8267248299688022E-3</v>
      </c>
      <c r="CQ45" s="5">
        <f t="shared" ca="1" si="188"/>
        <v>6.816832235023081E-3</v>
      </c>
      <c r="CR45" s="5">
        <f t="shared" ca="1" si="189"/>
        <v>6.749866555847737E-3</v>
      </c>
      <c r="CS45" s="5">
        <f t="shared" ca="1" si="190"/>
        <v>6.8175687770448568E-3</v>
      </c>
      <c r="CT45" s="5">
        <f t="shared" ca="1" si="191"/>
        <v>7.1599461715012554E-3</v>
      </c>
      <c r="CU45" s="5">
        <f t="shared" ca="1" si="192"/>
        <v>6.4263798571959551E-3</v>
      </c>
      <c r="CV45" s="5">
        <f t="shared" ca="1" si="193"/>
        <v>6.3906859955199461E-3</v>
      </c>
      <c r="CW45" s="5">
        <f t="shared" ca="1" si="194"/>
        <v>6.4106043932870473E-3</v>
      </c>
      <c r="CX45" s="5">
        <f t="shared" ca="1" si="195"/>
        <v>6.2199426543762511E-3</v>
      </c>
      <c r="CY45" s="5">
        <f t="shared" ca="1" si="196"/>
        <v>6.5450535658723883E-3</v>
      </c>
      <c r="CZ45" s="5">
        <f t="shared" ca="1" si="197"/>
        <v>6.2615094140977936E-3</v>
      </c>
      <c r="DA45" s="5">
        <f t="shared" ca="1" si="198"/>
        <v>6.7325157386866437E-3</v>
      </c>
      <c r="DB45" s="5">
        <f t="shared" ca="1" si="199"/>
        <v>6.6914076689197919E-3</v>
      </c>
      <c r="DC45" s="5">
        <f t="shared" ca="1" si="200"/>
        <v>6.5507047023467078E-3</v>
      </c>
      <c r="DD45" s="5">
        <f t="shared" ca="1" si="201"/>
        <v>6.4514411637765995E-3</v>
      </c>
      <c r="DE45" s="5">
        <f t="shared" ca="1" si="202"/>
        <v>6.3427112622999882E-3</v>
      </c>
      <c r="DF45" s="5">
        <f t="shared" ca="1" si="203"/>
        <v>6.4212752765662792E-3</v>
      </c>
      <c r="DG45" s="5">
        <f t="shared" ca="1" si="204"/>
        <v>6.3716129187755639E-3</v>
      </c>
      <c r="DH45" s="5">
        <f t="shared" ca="1" si="205"/>
        <v>6.9840887423997574E-3</v>
      </c>
      <c r="DI45" s="5">
        <f t="shared" ca="1" si="206"/>
        <v>6.4979432492790132E-3</v>
      </c>
      <c r="DJ45" s="5">
        <f t="shared" ca="1" si="207"/>
        <v>6.7509782908221133E-3</v>
      </c>
    </row>
    <row r="46" spans="5:114" outlineLevel="1" x14ac:dyDescent="0.2">
      <c r="E46" s="32">
        <v>45870</v>
      </c>
      <c r="F46" s="9">
        <v>2413.3199999999997</v>
      </c>
      <c r="G46" s="5">
        <f t="shared" ca="1" si="105"/>
        <v>6.8337476266704195E-2</v>
      </c>
      <c r="H46" s="5">
        <f t="shared" ca="1" si="106"/>
        <v>6.4028465481561197E-3</v>
      </c>
      <c r="I46" s="9">
        <f t="shared" ca="1" si="107"/>
        <v>93522.813975399273</v>
      </c>
      <c r="K46" s="6">
        <v>42</v>
      </c>
      <c r="L46" s="5">
        <v>362750.07316867117</v>
      </c>
      <c r="N46" s="32">
        <v>45839</v>
      </c>
      <c r="O46" s="5">
        <f t="shared" ca="1" si="108"/>
        <v>6.9418911067893564E-3</v>
      </c>
      <c r="P46" s="5">
        <f t="shared" ca="1" si="109"/>
        <v>6.5702442021405372E-3</v>
      </c>
      <c r="Q46" s="5">
        <f t="shared" ca="1" si="110"/>
        <v>6.6762454093841029E-3</v>
      </c>
      <c r="R46" s="5">
        <f t="shared" ca="1" si="111"/>
        <v>6.4585612531831435E-3</v>
      </c>
      <c r="S46" s="5">
        <f t="shared" ca="1" si="112"/>
        <v>6.3376250390673678E-3</v>
      </c>
      <c r="T46" s="5">
        <f t="shared" ca="1" si="113"/>
        <v>5.823724814590381E-3</v>
      </c>
      <c r="U46" s="5">
        <f t="shared" ca="1" si="114"/>
        <v>6.5061927231464924E-3</v>
      </c>
      <c r="V46" s="5">
        <f t="shared" ca="1" si="115"/>
        <v>6.729681087801827E-3</v>
      </c>
      <c r="W46" s="5">
        <f t="shared" ca="1" si="116"/>
        <v>6.7930983099600576E-3</v>
      </c>
      <c r="X46" s="5">
        <f t="shared" ca="1" si="117"/>
        <v>6.6174429704116931E-3</v>
      </c>
      <c r="Y46" s="5">
        <f t="shared" ca="1" si="118"/>
        <v>6.4438748775546622E-3</v>
      </c>
      <c r="Z46" s="5">
        <f t="shared" ca="1" si="119"/>
        <v>6.7472356396456211E-3</v>
      </c>
      <c r="AA46" s="5">
        <f t="shared" ca="1" si="120"/>
        <v>6.5061317235701093E-3</v>
      </c>
      <c r="AB46" s="5">
        <f t="shared" ca="1" si="121"/>
        <v>7.3735941072584727E-3</v>
      </c>
      <c r="AC46" s="5">
        <f t="shared" ca="1" si="122"/>
        <v>7.0785960301255006E-3</v>
      </c>
      <c r="AD46" s="5">
        <f t="shared" ca="1" si="123"/>
        <v>6.8377516482798495E-3</v>
      </c>
      <c r="AE46" s="5">
        <f t="shared" ca="1" si="124"/>
        <v>6.7145378270476851E-3</v>
      </c>
      <c r="AF46" s="5">
        <f t="shared" ca="1" si="125"/>
        <v>5.9889803063623119E-3</v>
      </c>
      <c r="AG46" s="5">
        <f t="shared" ca="1" si="126"/>
        <v>6.6138325649946223E-3</v>
      </c>
      <c r="AH46" s="5">
        <f t="shared" ca="1" si="127"/>
        <v>6.4007018859710638E-3</v>
      </c>
      <c r="AI46" s="5">
        <f t="shared" ca="1" si="128"/>
        <v>6.9118822258560147E-3</v>
      </c>
      <c r="AJ46" s="5">
        <f t="shared" ca="1" si="129"/>
        <v>6.4591297174541699E-3</v>
      </c>
      <c r="AK46" s="5">
        <f t="shared" ca="1" si="130"/>
        <v>6.5488939861894444E-3</v>
      </c>
      <c r="AL46" s="5">
        <f t="shared" ca="1" si="131"/>
        <v>6.527095048965161E-3</v>
      </c>
      <c r="AM46" s="5">
        <f t="shared" ca="1" si="132"/>
        <v>6.5607193907741912E-3</v>
      </c>
      <c r="AN46" s="5">
        <f t="shared" ca="1" si="133"/>
        <v>6.6495793202359143E-3</v>
      </c>
      <c r="AO46" s="5">
        <f t="shared" ca="1" si="134"/>
        <v>7.1863369255251329E-3</v>
      </c>
      <c r="AP46" s="5">
        <f t="shared" ca="1" si="135"/>
        <v>6.281963898549364E-3</v>
      </c>
      <c r="AQ46" s="5">
        <f t="shared" ca="1" si="136"/>
        <v>6.431187265490329E-3</v>
      </c>
      <c r="AR46" s="5">
        <f t="shared" ca="1" si="137"/>
        <v>6.5071396471873899E-3</v>
      </c>
      <c r="AS46" s="5">
        <f t="shared" ca="1" si="138"/>
        <v>6.7390308151449013E-3</v>
      </c>
      <c r="AT46" s="5">
        <f t="shared" ca="1" si="139"/>
        <v>6.3555340215272864E-3</v>
      </c>
      <c r="AU46" s="5">
        <f t="shared" ca="1" si="140"/>
        <v>6.3198346175106579E-3</v>
      </c>
      <c r="AV46" s="5">
        <f t="shared" ca="1" si="141"/>
        <v>6.3954410326004379E-3</v>
      </c>
      <c r="AW46" s="5">
        <f t="shared" ca="1" si="142"/>
        <v>6.6336683997634182E-3</v>
      </c>
      <c r="AX46" s="5">
        <f t="shared" ca="1" si="143"/>
        <v>6.3391687026975001E-3</v>
      </c>
      <c r="AY46" s="5">
        <f t="shared" ca="1" si="144"/>
        <v>7.0436595891070599E-3</v>
      </c>
      <c r="AZ46" s="5">
        <f t="shared" ca="1" si="145"/>
        <v>6.6212961026090979E-3</v>
      </c>
      <c r="BA46" s="5">
        <f t="shared" ca="1" si="146"/>
        <v>6.6278860159889692E-3</v>
      </c>
      <c r="BB46" s="5">
        <f t="shared" ca="1" si="147"/>
        <v>6.5848905583660586E-3</v>
      </c>
      <c r="BC46" s="5">
        <f t="shared" ca="1" si="148"/>
        <v>6.16261833756608E-3</v>
      </c>
      <c r="BD46" s="5">
        <f t="shared" ca="1" si="149"/>
        <v>6.7090485982525582E-3</v>
      </c>
      <c r="BE46" s="5">
        <f t="shared" ca="1" si="150"/>
        <v>7.0838516321469524E-3</v>
      </c>
      <c r="BF46" s="5">
        <f t="shared" ca="1" si="151"/>
        <v>6.5442996299143767E-3</v>
      </c>
      <c r="BG46" s="5">
        <f t="shared" ca="1" si="152"/>
        <v>6.1920805139982034E-3</v>
      </c>
      <c r="BH46" s="5">
        <f t="shared" ca="1" si="153"/>
        <v>6.3112268251799613E-3</v>
      </c>
      <c r="BI46" s="5">
        <f t="shared" ca="1" si="154"/>
        <v>7.1961309405429285E-3</v>
      </c>
      <c r="BJ46" s="5">
        <f t="shared" ca="1" si="155"/>
        <v>7.017561752660475E-3</v>
      </c>
      <c r="BK46" s="5">
        <f t="shared" ca="1" si="156"/>
        <v>6.9290222698757137E-3</v>
      </c>
      <c r="BL46" s="5">
        <f t="shared" ca="1" si="157"/>
        <v>6.8090236776997435E-3</v>
      </c>
      <c r="BM46" s="5">
        <f t="shared" ca="1" si="158"/>
        <v>6.1627434340892568E-3</v>
      </c>
      <c r="BN46" s="5">
        <f t="shared" ca="1" si="159"/>
        <v>6.5719509443464517E-3</v>
      </c>
      <c r="BO46" s="5">
        <f t="shared" ca="1" si="160"/>
        <v>6.5875994287136665E-3</v>
      </c>
      <c r="BP46" s="5">
        <f t="shared" ca="1" si="161"/>
        <v>6.5053923282179637E-3</v>
      </c>
      <c r="BQ46" s="5">
        <f t="shared" ca="1" si="162"/>
        <v>6.2015188766804301E-3</v>
      </c>
      <c r="BR46" s="5">
        <f t="shared" ca="1" si="163"/>
        <v>6.5127740976285049E-3</v>
      </c>
      <c r="BS46" s="5">
        <f t="shared" ca="1" si="164"/>
        <v>6.8049109164095402E-3</v>
      </c>
      <c r="BT46" s="5">
        <f t="shared" ca="1" si="165"/>
        <v>6.5020569481628633E-3</v>
      </c>
      <c r="BU46" s="5">
        <f t="shared" ca="1" si="166"/>
        <v>6.821986189316143E-3</v>
      </c>
      <c r="BV46" s="5">
        <f t="shared" ca="1" si="167"/>
        <v>6.6497580778250992E-3</v>
      </c>
      <c r="BW46" s="5">
        <f t="shared" ca="1" si="168"/>
        <v>7.0576388598637156E-3</v>
      </c>
      <c r="BX46" s="5">
        <f t="shared" ca="1" si="169"/>
        <v>6.5476024367866498E-3</v>
      </c>
      <c r="BY46" s="5">
        <f t="shared" ca="1" si="170"/>
        <v>6.3611567091393702E-3</v>
      </c>
      <c r="BZ46" s="5">
        <f t="shared" ca="1" si="171"/>
        <v>6.898642115826365E-3</v>
      </c>
      <c r="CA46" s="5">
        <f t="shared" ca="1" si="172"/>
        <v>6.1519824679932885E-3</v>
      </c>
      <c r="CB46" s="5">
        <f t="shared" ca="1" si="173"/>
        <v>6.5941354497315204E-3</v>
      </c>
      <c r="CC46" s="5">
        <f t="shared" ca="1" si="174"/>
        <v>6.4955932107593232E-3</v>
      </c>
      <c r="CD46" s="5">
        <f t="shared" ca="1" si="175"/>
        <v>6.6581225791490168E-3</v>
      </c>
      <c r="CE46" s="5">
        <f t="shared" ca="1" si="176"/>
        <v>6.4457766176353824E-3</v>
      </c>
      <c r="CF46" s="5">
        <f t="shared" ca="1" si="177"/>
        <v>6.7352436274585896E-3</v>
      </c>
      <c r="CG46" s="5">
        <f t="shared" ca="1" si="178"/>
        <v>6.7062690892046419E-3</v>
      </c>
      <c r="CH46" s="5">
        <f t="shared" ca="1" si="179"/>
        <v>6.1301398346092911E-3</v>
      </c>
      <c r="CI46" s="5">
        <f t="shared" ca="1" si="180"/>
        <v>6.5904650060075029E-3</v>
      </c>
      <c r="CJ46" s="5">
        <f t="shared" ca="1" si="181"/>
        <v>6.735657244777947E-3</v>
      </c>
      <c r="CK46" s="5">
        <f t="shared" ca="1" si="182"/>
        <v>6.6438376768296311E-3</v>
      </c>
      <c r="CL46" s="5">
        <f t="shared" ca="1" si="183"/>
        <v>6.5810320632624705E-3</v>
      </c>
      <c r="CM46" s="5">
        <f t="shared" ca="1" si="184"/>
        <v>6.659634808428223E-3</v>
      </c>
      <c r="CN46" s="5">
        <f t="shared" ca="1" si="185"/>
        <v>6.7437222135211848E-3</v>
      </c>
      <c r="CO46" s="5">
        <f t="shared" ca="1" si="186"/>
        <v>6.5430509734507652E-3</v>
      </c>
      <c r="CP46" s="5">
        <f t="shared" ca="1" si="187"/>
        <v>6.8024399228535813E-3</v>
      </c>
      <c r="CQ46" s="5">
        <f t="shared" ca="1" si="188"/>
        <v>6.8043964062720506E-3</v>
      </c>
      <c r="CR46" s="5">
        <f t="shared" ca="1" si="189"/>
        <v>6.7497632986642875E-3</v>
      </c>
      <c r="CS46" s="5">
        <f t="shared" ca="1" si="190"/>
        <v>6.8144585514878916E-3</v>
      </c>
      <c r="CT46" s="5">
        <f t="shared" ca="1" si="191"/>
        <v>7.1074245210294464E-3</v>
      </c>
      <c r="CU46" s="5">
        <f t="shared" ca="1" si="192"/>
        <v>6.4988087827173146E-3</v>
      </c>
      <c r="CV46" s="5">
        <f t="shared" ca="1" si="193"/>
        <v>6.4580777406598143E-3</v>
      </c>
      <c r="CW46" s="5">
        <f t="shared" ca="1" si="194"/>
        <v>6.4147150999047204E-3</v>
      </c>
      <c r="CX46" s="5">
        <f t="shared" ca="1" si="195"/>
        <v>6.240071848786507E-3</v>
      </c>
      <c r="CY46" s="5">
        <f t="shared" ca="1" si="196"/>
        <v>6.5268910853994765E-3</v>
      </c>
      <c r="CZ46" s="5">
        <f t="shared" ca="1" si="197"/>
        <v>6.2103415813640813E-3</v>
      </c>
      <c r="DA46" s="5">
        <f t="shared" ca="1" si="198"/>
        <v>6.7853865338018265E-3</v>
      </c>
      <c r="DB46" s="5">
        <f t="shared" ca="1" si="199"/>
        <v>6.678789017845522E-3</v>
      </c>
      <c r="DC46" s="5">
        <f t="shared" ca="1" si="200"/>
        <v>6.5673616261849874E-3</v>
      </c>
      <c r="DD46" s="5">
        <f t="shared" ca="1" si="201"/>
        <v>6.5323715364893715E-3</v>
      </c>
      <c r="DE46" s="5">
        <f t="shared" ca="1" si="202"/>
        <v>6.3367526956867133E-3</v>
      </c>
      <c r="DF46" s="5">
        <f t="shared" ca="1" si="203"/>
        <v>6.4561884199249324E-3</v>
      </c>
      <c r="DG46" s="5">
        <f t="shared" ca="1" si="204"/>
        <v>6.3337367380432736E-3</v>
      </c>
      <c r="DH46" s="5">
        <f t="shared" ca="1" si="205"/>
        <v>7.0004059305080243E-3</v>
      </c>
      <c r="DI46" s="5">
        <f t="shared" ca="1" si="206"/>
        <v>6.5541866160409197E-3</v>
      </c>
      <c r="DJ46" s="5">
        <f t="shared" ca="1" si="207"/>
        <v>6.7852505788475832E-3</v>
      </c>
    </row>
    <row r="47" spans="5:114" outlineLevel="1" x14ac:dyDescent="0.2">
      <c r="E47" s="32">
        <v>45901</v>
      </c>
      <c r="F47" s="9">
        <v>2413.3199999999997</v>
      </c>
      <c r="G47" s="5">
        <f t="shared" ca="1" si="105"/>
        <v>-0.2116169637034897</v>
      </c>
      <c r="H47" s="5">
        <f t="shared" ca="1" si="106"/>
        <v>6.4438002229186978E-3</v>
      </c>
      <c r="I47" s="9">
        <f t="shared" ca="1" si="107"/>
        <v>95986.367655645765</v>
      </c>
      <c r="K47" s="6">
        <v>43</v>
      </c>
      <c r="L47" s="5">
        <v>361907.87937370321</v>
      </c>
      <c r="N47" s="32">
        <v>45870</v>
      </c>
      <c r="O47" s="5">
        <f t="shared" ca="1" si="108"/>
        <v>6.9780008236887221E-3</v>
      </c>
      <c r="P47" s="5">
        <f t="shared" ca="1" si="109"/>
        <v>6.5612802891957828E-3</v>
      </c>
      <c r="Q47" s="5">
        <f t="shared" ca="1" si="110"/>
        <v>6.6363489998735913E-3</v>
      </c>
      <c r="R47" s="5">
        <f t="shared" ca="1" si="111"/>
        <v>6.5051106284637348E-3</v>
      </c>
      <c r="S47" s="5">
        <f t="shared" ca="1" si="112"/>
        <v>6.3881523039910539E-3</v>
      </c>
      <c r="T47" s="5">
        <f t="shared" ca="1" si="113"/>
        <v>5.8083359980963404E-3</v>
      </c>
      <c r="U47" s="5">
        <f t="shared" ca="1" si="114"/>
        <v>6.5475558607169665E-3</v>
      </c>
      <c r="V47" s="5">
        <f t="shared" ca="1" si="115"/>
        <v>6.6831697580832629E-3</v>
      </c>
      <c r="W47" s="5">
        <f t="shared" ca="1" si="116"/>
        <v>6.7942750283728464E-3</v>
      </c>
      <c r="X47" s="5">
        <f t="shared" ca="1" si="117"/>
        <v>6.6574231975223847E-3</v>
      </c>
      <c r="Y47" s="5">
        <f t="shared" ca="1" si="118"/>
        <v>6.4287288982862803E-3</v>
      </c>
      <c r="Z47" s="5">
        <f t="shared" ca="1" si="119"/>
        <v>6.831081191992573E-3</v>
      </c>
      <c r="AA47" s="5">
        <f t="shared" ca="1" si="120"/>
        <v>6.5111961439377362E-3</v>
      </c>
      <c r="AB47" s="5">
        <f t="shared" ca="1" si="121"/>
        <v>7.3560675720631156E-3</v>
      </c>
      <c r="AC47" s="5">
        <f t="shared" ca="1" si="122"/>
        <v>7.0085304809565391E-3</v>
      </c>
      <c r="AD47" s="5">
        <f t="shared" ca="1" si="123"/>
        <v>6.8678340297747588E-3</v>
      </c>
      <c r="AE47" s="5">
        <f t="shared" ca="1" si="124"/>
        <v>6.7129776331307824E-3</v>
      </c>
      <c r="AF47" s="5">
        <f t="shared" ca="1" si="125"/>
        <v>6.0319622799132151E-3</v>
      </c>
      <c r="AG47" s="5">
        <f t="shared" ca="1" si="126"/>
        <v>6.6301455452388034E-3</v>
      </c>
      <c r="AH47" s="5">
        <f t="shared" ca="1" si="127"/>
        <v>6.3809271579337006E-3</v>
      </c>
      <c r="AI47" s="5">
        <f t="shared" ca="1" si="128"/>
        <v>6.9389695623520093E-3</v>
      </c>
      <c r="AJ47" s="5">
        <f t="shared" ca="1" si="129"/>
        <v>6.4549214661254331E-3</v>
      </c>
      <c r="AK47" s="5">
        <f t="shared" ca="1" si="130"/>
        <v>6.5410167710670628E-3</v>
      </c>
      <c r="AL47" s="5">
        <f t="shared" ca="1" si="131"/>
        <v>6.5003754128393453E-3</v>
      </c>
      <c r="AM47" s="5">
        <f t="shared" ca="1" si="132"/>
        <v>6.534403861447699E-3</v>
      </c>
      <c r="AN47" s="5">
        <f t="shared" ca="1" si="133"/>
        <v>6.6454281735336858E-3</v>
      </c>
      <c r="AO47" s="5">
        <f t="shared" ca="1" si="134"/>
        <v>7.1948572661950372E-3</v>
      </c>
      <c r="AP47" s="5">
        <f t="shared" ca="1" si="135"/>
        <v>6.3025213994256871E-3</v>
      </c>
      <c r="AQ47" s="5">
        <f t="shared" ca="1" si="136"/>
        <v>6.4613682894266462E-3</v>
      </c>
      <c r="AR47" s="5">
        <f t="shared" ca="1" si="137"/>
        <v>6.5300838461219163E-3</v>
      </c>
      <c r="AS47" s="5">
        <f t="shared" ca="1" si="138"/>
        <v>6.7451631854618371E-3</v>
      </c>
      <c r="AT47" s="5">
        <f t="shared" ca="1" si="139"/>
        <v>6.4553757407231991E-3</v>
      </c>
      <c r="AU47" s="5">
        <f t="shared" ca="1" si="140"/>
        <v>6.2972208118618912E-3</v>
      </c>
      <c r="AV47" s="5">
        <f t="shared" ca="1" si="141"/>
        <v>6.3737893387815527E-3</v>
      </c>
      <c r="AW47" s="5">
        <f t="shared" ca="1" si="142"/>
        <v>6.6498413360757567E-3</v>
      </c>
      <c r="AX47" s="5">
        <f t="shared" ca="1" si="143"/>
        <v>6.3445622000387961E-3</v>
      </c>
      <c r="AY47" s="5">
        <f t="shared" ca="1" si="144"/>
        <v>7.009848202736633E-3</v>
      </c>
      <c r="AZ47" s="5">
        <f t="shared" ca="1" si="145"/>
        <v>6.6492520715067567E-3</v>
      </c>
      <c r="BA47" s="5">
        <f t="shared" ca="1" si="146"/>
        <v>6.5811322648886587E-3</v>
      </c>
      <c r="BB47" s="5">
        <f t="shared" ca="1" si="147"/>
        <v>6.6080257849293316E-3</v>
      </c>
      <c r="BC47" s="5">
        <f t="shared" ca="1" si="148"/>
        <v>6.215920513061253E-3</v>
      </c>
      <c r="BD47" s="5">
        <f t="shared" ca="1" si="149"/>
        <v>6.7009709746307707E-3</v>
      </c>
      <c r="BE47" s="5">
        <f t="shared" ca="1" si="150"/>
        <v>7.1226901221396275E-3</v>
      </c>
      <c r="BF47" s="5">
        <f t="shared" ca="1" si="151"/>
        <v>6.556321817670482E-3</v>
      </c>
      <c r="BG47" s="5">
        <f t="shared" ca="1" si="152"/>
        <v>6.2693259273631455E-3</v>
      </c>
      <c r="BH47" s="5">
        <f t="shared" ca="1" si="153"/>
        <v>6.3159490131116207E-3</v>
      </c>
      <c r="BI47" s="5">
        <f t="shared" ca="1" si="154"/>
        <v>7.2990805427131699E-3</v>
      </c>
      <c r="BJ47" s="5">
        <f t="shared" ca="1" si="155"/>
        <v>7.0130466500058575E-3</v>
      </c>
      <c r="BK47" s="5">
        <f t="shared" ca="1" si="156"/>
        <v>6.9201191561957306E-3</v>
      </c>
      <c r="BL47" s="5">
        <f t="shared" ca="1" si="157"/>
        <v>6.8199503724682871E-3</v>
      </c>
      <c r="BM47" s="5">
        <f t="shared" ca="1" si="158"/>
        <v>6.118461238057862E-3</v>
      </c>
      <c r="BN47" s="5">
        <f t="shared" ca="1" si="159"/>
        <v>6.5302428915446024E-3</v>
      </c>
      <c r="BO47" s="5">
        <f t="shared" ca="1" si="160"/>
        <v>6.5594198348640359E-3</v>
      </c>
      <c r="BP47" s="5">
        <f t="shared" ca="1" si="161"/>
        <v>6.562381325301756E-3</v>
      </c>
      <c r="BQ47" s="5">
        <f t="shared" ca="1" si="162"/>
        <v>6.190816274540243E-3</v>
      </c>
      <c r="BR47" s="5">
        <f t="shared" ca="1" si="163"/>
        <v>6.5173893792980931E-3</v>
      </c>
      <c r="BS47" s="5">
        <f t="shared" ca="1" si="164"/>
        <v>6.8439323564498519E-3</v>
      </c>
      <c r="BT47" s="5">
        <f t="shared" ca="1" si="165"/>
        <v>6.4524506133123048E-3</v>
      </c>
      <c r="BU47" s="5">
        <f t="shared" ca="1" si="166"/>
        <v>6.7560968501375893E-3</v>
      </c>
      <c r="BV47" s="5">
        <f t="shared" ca="1" si="167"/>
        <v>6.608932788607436E-3</v>
      </c>
      <c r="BW47" s="5">
        <f t="shared" ca="1" si="168"/>
        <v>7.0695209178942989E-3</v>
      </c>
      <c r="BX47" s="5">
        <f t="shared" ca="1" si="169"/>
        <v>6.5439342872802356E-3</v>
      </c>
      <c r="BY47" s="5">
        <f t="shared" ca="1" si="170"/>
        <v>6.3734941890431305E-3</v>
      </c>
      <c r="BZ47" s="5">
        <f t="shared" ca="1" si="171"/>
        <v>6.8599540494924862E-3</v>
      </c>
      <c r="CA47" s="5">
        <f t="shared" ca="1" si="172"/>
        <v>6.0960760263945677E-3</v>
      </c>
      <c r="CB47" s="5">
        <f t="shared" ca="1" si="173"/>
        <v>6.60607137386737E-3</v>
      </c>
      <c r="CC47" s="5">
        <f t="shared" ca="1" si="174"/>
        <v>6.5032412626428414E-3</v>
      </c>
      <c r="CD47" s="5">
        <f t="shared" ca="1" si="175"/>
        <v>6.6016044253433938E-3</v>
      </c>
      <c r="CE47" s="5">
        <f t="shared" ca="1" si="176"/>
        <v>6.388721232936362E-3</v>
      </c>
      <c r="CF47" s="5">
        <f t="shared" ca="1" si="177"/>
        <v>6.7930582567720691E-3</v>
      </c>
      <c r="CG47" s="5">
        <f t="shared" ca="1" si="178"/>
        <v>6.6571742860573688E-3</v>
      </c>
      <c r="CH47" s="5">
        <f t="shared" ca="1" si="179"/>
        <v>6.1684906955722357E-3</v>
      </c>
      <c r="CI47" s="5">
        <f t="shared" ca="1" si="180"/>
        <v>6.570552118616577E-3</v>
      </c>
      <c r="CJ47" s="5">
        <f t="shared" ca="1" si="181"/>
        <v>6.7771266580023198E-3</v>
      </c>
      <c r="CK47" s="5">
        <f t="shared" ca="1" si="182"/>
        <v>6.659304546530808E-3</v>
      </c>
      <c r="CL47" s="5">
        <f t="shared" ca="1" si="183"/>
        <v>6.5623946720995566E-3</v>
      </c>
      <c r="CM47" s="5">
        <f t="shared" ca="1" si="184"/>
        <v>6.7649104174502409E-3</v>
      </c>
      <c r="CN47" s="5">
        <f t="shared" ca="1" si="185"/>
        <v>6.8166947483880224E-3</v>
      </c>
      <c r="CO47" s="5">
        <f t="shared" ca="1" si="186"/>
        <v>6.5911811908088988E-3</v>
      </c>
      <c r="CP47" s="5">
        <f t="shared" ca="1" si="187"/>
        <v>6.817220348898952E-3</v>
      </c>
      <c r="CQ47" s="5">
        <f t="shared" ca="1" si="188"/>
        <v>6.8910456137764968E-3</v>
      </c>
      <c r="CR47" s="5">
        <f t="shared" ca="1" si="189"/>
        <v>6.7837973852973672E-3</v>
      </c>
      <c r="CS47" s="5">
        <f t="shared" ca="1" si="190"/>
        <v>6.8732295762954374E-3</v>
      </c>
      <c r="CT47" s="5">
        <f t="shared" ca="1" si="191"/>
        <v>7.140111339374507E-3</v>
      </c>
      <c r="CU47" s="5">
        <f t="shared" ca="1" si="192"/>
        <v>6.5432778376517606E-3</v>
      </c>
      <c r="CV47" s="5">
        <f t="shared" ca="1" si="193"/>
        <v>6.4478671218089539E-3</v>
      </c>
      <c r="CW47" s="5">
        <f t="shared" ca="1" si="194"/>
        <v>6.4206743366927868E-3</v>
      </c>
      <c r="CX47" s="5">
        <f t="shared" ca="1" si="195"/>
        <v>6.2099780665018957E-3</v>
      </c>
      <c r="CY47" s="5">
        <f t="shared" ca="1" si="196"/>
        <v>6.4454952853275948E-3</v>
      </c>
      <c r="CZ47" s="5">
        <f t="shared" ca="1" si="197"/>
        <v>6.2219315449174696E-3</v>
      </c>
      <c r="DA47" s="5">
        <f t="shared" ca="1" si="198"/>
        <v>6.7975620306069988E-3</v>
      </c>
      <c r="DB47" s="5">
        <f t="shared" ca="1" si="199"/>
        <v>6.6805170843560946E-3</v>
      </c>
      <c r="DC47" s="5">
        <f t="shared" ca="1" si="200"/>
        <v>6.6452711171427073E-3</v>
      </c>
      <c r="DD47" s="5">
        <f t="shared" ca="1" si="201"/>
        <v>6.5442702269695608E-3</v>
      </c>
      <c r="DE47" s="5">
        <f t="shared" ca="1" si="202"/>
        <v>6.4044238947826614E-3</v>
      </c>
      <c r="DF47" s="5">
        <f t="shared" ca="1" si="203"/>
        <v>6.4552129723402484E-3</v>
      </c>
      <c r="DG47" s="5">
        <f t="shared" ca="1" si="204"/>
        <v>6.3277950882214742E-3</v>
      </c>
      <c r="DH47" s="5">
        <f t="shared" ca="1" si="205"/>
        <v>6.9606275892035259E-3</v>
      </c>
      <c r="DI47" s="5">
        <f t="shared" ca="1" si="206"/>
        <v>6.6109223490485348E-3</v>
      </c>
      <c r="DJ47" s="5">
        <f t="shared" ca="1" si="207"/>
        <v>6.7703586834233281E-3</v>
      </c>
    </row>
    <row r="48" spans="5:114" outlineLevel="1" x14ac:dyDescent="0.2">
      <c r="E48" s="32">
        <v>45931</v>
      </c>
      <c r="F48" s="9">
        <v>2413.3199999999997</v>
      </c>
      <c r="G48" s="5">
        <f t="shared" ca="1" si="105"/>
        <v>2.7064022856992373E-2</v>
      </c>
      <c r="H48" s="5">
        <f t="shared" ca="1" si="106"/>
        <v>6.3391599249227404E-3</v>
      </c>
      <c r="I48" s="9">
        <f t="shared" ca="1" si="107"/>
        <v>98450.407129016938</v>
      </c>
      <c r="K48" s="6">
        <v>44</v>
      </c>
      <c r="L48" s="5">
        <v>361755.5357390985</v>
      </c>
      <c r="N48" s="32">
        <v>45901</v>
      </c>
      <c r="O48" s="5">
        <f t="shared" ca="1" si="108"/>
        <v>6.9236189264662113E-3</v>
      </c>
      <c r="P48" s="5">
        <f t="shared" ca="1" si="109"/>
        <v>6.579637627261597E-3</v>
      </c>
      <c r="Q48" s="5">
        <f t="shared" ca="1" si="110"/>
        <v>6.6739129839415321E-3</v>
      </c>
      <c r="R48" s="5">
        <f t="shared" ca="1" si="111"/>
        <v>6.5242973429596937E-3</v>
      </c>
      <c r="S48" s="5">
        <f t="shared" ca="1" si="112"/>
        <v>6.3298448085740942E-3</v>
      </c>
      <c r="T48" s="5">
        <f t="shared" ca="1" si="113"/>
        <v>5.8107486658617079E-3</v>
      </c>
      <c r="U48" s="5">
        <f t="shared" ca="1" si="114"/>
        <v>6.5691084583586225E-3</v>
      </c>
      <c r="V48" s="5">
        <f t="shared" ca="1" si="115"/>
        <v>6.7468911018476905E-3</v>
      </c>
      <c r="W48" s="5">
        <f t="shared" ca="1" si="116"/>
        <v>6.7807338509122536E-3</v>
      </c>
      <c r="X48" s="5">
        <f t="shared" ca="1" si="117"/>
        <v>6.6526206903143098E-3</v>
      </c>
      <c r="Y48" s="5">
        <f t="shared" ca="1" si="118"/>
        <v>6.4965378213292704E-3</v>
      </c>
      <c r="Z48" s="5">
        <f t="shared" ca="1" si="119"/>
        <v>6.9428769417494351E-3</v>
      </c>
      <c r="AA48" s="5">
        <f t="shared" ca="1" si="120"/>
        <v>6.5240792556121663E-3</v>
      </c>
      <c r="AB48" s="5">
        <f t="shared" ca="1" si="121"/>
        <v>7.3295396412326012E-3</v>
      </c>
      <c r="AC48" s="5">
        <f t="shared" ca="1" si="122"/>
        <v>7.0503073135751004E-3</v>
      </c>
      <c r="AD48" s="5">
        <f t="shared" ca="1" si="123"/>
        <v>6.7920414117915769E-3</v>
      </c>
      <c r="AE48" s="5">
        <f t="shared" ca="1" si="124"/>
        <v>6.6989555506815745E-3</v>
      </c>
      <c r="AF48" s="5">
        <f t="shared" ca="1" si="125"/>
        <v>6.0912257388933992E-3</v>
      </c>
      <c r="AG48" s="5">
        <f t="shared" ca="1" si="126"/>
        <v>6.5973849915395141E-3</v>
      </c>
      <c r="AH48" s="5">
        <f t="shared" ca="1" si="127"/>
        <v>6.386180845510364E-3</v>
      </c>
      <c r="AI48" s="5">
        <f t="shared" ca="1" si="128"/>
        <v>7.0460293804219792E-3</v>
      </c>
      <c r="AJ48" s="5">
        <f t="shared" ca="1" si="129"/>
        <v>6.4280209164719847E-3</v>
      </c>
      <c r="AK48" s="5">
        <f t="shared" ca="1" si="130"/>
        <v>6.5426039732603509E-3</v>
      </c>
      <c r="AL48" s="5">
        <f t="shared" ca="1" si="131"/>
        <v>6.5180316607154924E-3</v>
      </c>
      <c r="AM48" s="5">
        <f t="shared" ca="1" si="132"/>
        <v>6.533599870613846E-3</v>
      </c>
      <c r="AN48" s="5">
        <f t="shared" ca="1" si="133"/>
        <v>6.7216049967236905E-3</v>
      </c>
      <c r="AO48" s="5">
        <f t="shared" ca="1" si="134"/>
        <v>7.1865268311826864E-3</v>
      </c>
      <c r="AP48" s="5">
        <f t="shared" ca="1" si="135"/>
        <v>6.2853056452528483E-3</v>
      </c>
      <c r="AQ48" s="5">
        <f t="shared" ca="1" si="136"/>
        <v>6.4712231888138533E-3</v>
      </c>
      <c r="AR48" s="5">
        <f t="shared" ca="1" si="137"/>
        <v>6.5232603932102147E-3</v>
      </c>
      <c r="AS48" s="5">
        <f t="shared" ca="1" si="138"/>
        <v>6.7417820570564039E-3</v>
      </c>
      <c r="AT48" s="5">
        <f t="shared" ca="1" si="139"/>
        <v>6.4301889947350832E-3</v>
      </c>
      <c r="AU48" s="5">
        <f t="shared" ca="1" si="140"/>
        <v>6.2953791608333668E-3</v>
      </c>
      <c r="AV48" s="5">
        <f t="shared" ca="1" si="141"/>
        <v>6.4107761335167402E-3</v>
      </c>
      <c r="AW48" s="5">
        <f t="shared" ca="1" si="142"/>
        <v>6.7255728523109327E-3</v>
      </c>
      <c r="AX48" s="5">
        <f t="shared" ca="1" si="143"/>
        <v>6.3207012748497833E-3</v>
      </c>
      <c r="AY48" s="5">
        <f t="shared" ca="1" si="144"/>
        <v>7.004044372662329E-3</v>
      </c>
      <c r="AZ48" s="5">
        <f t="shared" ca="1" si="145"/>
        <v>6.6072355757464977E-3</v>
      </c>
      <c r="BA48" s="5">
        <f t="shared" ca="1" si="146"/>
        <v>6.5690443038596289E-3</v>
      </c>
      <c r="BB48" s="5">
        <f t="shared" ca="1" si="147"/>
        <v>6.5790820516182773E-3</v>
      </c>
      <c r="BC48" s="5">
        <f t="shared" ca="1" si="148"/>
        <v>6.2531881258863211E-3</v>
      </c>
      <c r="BD48" s="5">
        <f t="shared" ca="1" si="149"/>
        <v>6.6857556852613683E-3</v>
      </c>
      <c r="BE48" s="5">
        <f t="shared" ca="1" si="150"/>
        <v>7.1791524978101328E-3</v>
      </c>
      <c r="BF48" s="5">
        <f t="shared" ca="1" si="151"/>
        <v>6.6409297625510825E-3</v>
      </c>
      <c r="BG48" s="5">
        <f t="shared" ca="1" si="152"/>
        <v>6.2791180361012741E-3</v>
      </c>
      <c r="BH48" s="5">
        <f t="shared" ca="1" si="153"/>
        <v>6.2814635674270057E-3</v>
      </c>
      <c r="BI48" s="5">
        <f t="shared" ca="1" si="154"/>
        <v>7.3141480686001355E-3</v>
      </c>
      <c r="BJ48" s="5">
        <f t="shared" ca="1" si="155"/>
        <v>6.9536997248025459E-3</v>
      </c>
      <c r="BK48" s="5">
        <f t="shared" ca="1" si="156"/>
        <v>6.9472253788235684E-3</v>
      </c>
      <c r="BL48" s="5">
        <f t="shared" ca="1" si="157"/>
        <v>6.7983102642690287E-3</v>
      </c>
      <c r="BM48" s="5">
        <f t="shared" ca="1" si="158"/>
        <v>6.0731732145215787E-3</v>
      </c>
      <c r="BN48" s="5">
        <f t="shared" ca="1" si="159"/>
        <v>6.5477079062093001E-3</v>
      </c>
      <c r="BO48" s="5">
        <f t="shared" ca="1" si="160"/>
        <v>6.5545863819077435E-3</v>
      </c>
      <c r="BP48" s="5">
        <f t="shared" ca="1" si="161"/>
        <v>6.5478739364968688E-3</v>
      </c>
      <c r="BQ48" s="5">
        <f t="shared" ca="1" si="162"/>
        <v>6.2328124634096743E-3</v>
      </c>
      <c r="BR48" s="5">
        <f t="shared" ca="1" si="163"/>
        <v>6.5558923714527E-3</v>
      </c>
      <c r="BS48" s="5">
        <f t="shared" ca="1" si="164"/>
        <v>6.8633976800989149E-3</v>
      </c>
      <c r="BT48" s="5">
        <f t="shared" ca="1" si="165"/>
        <v>6.4512341289641555E-3</v>
      </c>
      <c r="BU48" s="5">
        <f t="shared" ca="1" si="166"/>
        <v>6.7712131439776639E-3</v>
      </c>
      <c r="BV48" s="5">
        <f t="shared" ca="1" si="167"/>
        <v>6.615753595535903E-3</v>
      </c>
      <c r="BW48" s="5">
        <f t="shared" ca="1" si="168"/>
        <v>7.0334495815875791E-3</v>
      </c>
      <c r="BX48" s="5">
        <f t="shared" ca="1" si="169"/>
        <v>6.59742740916702E-3</v>
      </c>
      <c r="BY48" s="5">
        <f t="shared" ca="1" si="170"/>
        <v>6.4101792972652274E-3</v>
      </c>
      <c r="BZ48" s="5">
        <f t="shared" ca="1" si="171"/>
        <v>6.9238979940361286E-3</v>
      </c>
      <c r="CA48" s="5">
        <f t="shared" ca="1" si="172"/>
        <v>6.1843921204450961E-3</v>
      </c>
      <c r="CB48" s="5">
        <f t="shared" ca="1" si="173"/>
        <v>6.6326384277427533E-3</v>
      </c>
      <c r="CC48" s="5">
        <f t="shared" ca="1" si="174"/>
        <v>6.4826286446266089E-3</v>
      </c>
      <c r="CD48" s="5">
        <f t="shared" ca="1" si="175"/>
        <v>6.5818561877124624E-3</v>
      </c>
      <c r="CE48" s="5">
        <f t="shared" ca="1" si="176"/>
        <v>6.3392576133165989E-3</v>
      </c>
      <c r="CF48" s="5">
        <f t="shared" ca="1" si="177"/>
        <v>6.7626141197150991E-3</v>
      </c>
      <c r="CG48" s="5">
        <f t="shared" ca="1" si="178"/>
        <v>6.745736293598462E-3</v>
      </c>
      <c r="CH48" s="5">
        <f t="shared" ca="1" si="179"/>
        <v>6.096860034734755E-3</v>
      </c>
      <c r="CI48" s="5">
        <f t="shared" ca="1" si="180"/>
        <v>6.5952737544636578E-3</v>
      </c>
      <c r="CJ48" s="5">
        <f t="shared" ca="1" si="181"/>
        <v>6.7644152783325681E-3</v>
      </c>
      <c r="CK48" s="5">
        <f t="shared" ca="1" si="182"/>
        <v>6.6012359827876009E-3</v>
      </c>
      <c r="CL48" s="5">
        <f t="shared" ca="1" si="183"/>
        <v>6.5586311400778925E-3</v>
      </c>
      <c r="CM48" s="5">
        <f t="shared" ca="1" si="184"/>
        <v>6.7945189592465947E-3</v>
      </c>
      <c r="CN48" s="5">
        <f t="shared" ca="1" si="185"/>
        <v>6.8952414112401364E-3</v>
      </c>
      <c r="CO48" s="5">
        <f t="shared" ca="1" si="186"/>
        <v>6.602193838654194E-3</v>
      </c>
      <c r="CP48" s="5">
        <f t="shared" ca="1" si="187"/>
        <v>6.7631887919207727E-3</v>
      </c>
      <c r="CQ48" s="5">
        <f t="shared" ca="1" si="188"/>
        <v>6.9188601358189271E-3</v>
      </c>
      <c r="CR48" s="5">
        <f t="shared" ca="1" si="189"/>
        <v>6.7299434579056495E-3</v>
      </c>
      <c r="CS48" s="5">
        <f t="shared" ca="1" si="190"/>
        <v>6.947610462844105E-3</v>
      </c>
      <c r="CT48" s="5">
        <f t="shared" ca="1" si="191"/>
        <v>7.1716606572868246E-3</v>
      </c>
      <c r="CU48" s="5">
        <f t="shared" ca="1" si="192"/>
        <v>6.4811140843918993E-3</v>
      </c>
      <c r="CV48" s="5">
        <f t="shared" ca="1" si="193"/>
        <v>6.4707863235844779E-3</v>
      </c>
      <c r="CW48" s="5">
        <f t="shared" ca="1" si="194"/>
        <v>6.3842162613391082E-3</v>
      </c>
      <c r="CX48" s="5">
        <f t="shared" ca="1" si="195"/>
        <v>6.2959289623462705E-3</v>
      </c>
      <c r="CY48" s="5">
        <f t="shared" ca="1" si="196"/>
        <v>6.4020442478391528E-3</v>
      </c>
      <c r="CZ48" s="5">
        <f t="shared" ca="1" si="197"/>
        <v>6.2401268379547303E-3</v>
      </c>
      <c r="DA48" s="5">
        <f t="shared" ca="1" si="198"/>
        <v>6.7888998158867151E-3</v>
      </c>
      <c r="DB48" s="5">
        <f t="shared" ca="1" si="199"/>
        <v>6.7470671367037705E-3</v>
      </c>
      <c r="DC48" s="5">
        <f t="shared" ca="1" si="200"/>
        <v>6.6692375208149057E-3</v>
      </c>
      <c r="DD48" s="5">
        <f t="shared" ca="1" si="201"/>
        <v>6.5309303318463073E-3</v>
      </c>
      <c r="DE48" s="5">
        <f t="shared" ca="1" si="202"/>
        <v>6.4410911495709098E-3</v>
      </c>
      <c r="DF48" s="5">
        <f t="shared" ca="1" si="203"/>
        <v>6.3893155437996334E-3</v>
      </c>
      <c r="DG48" s="5">
        <f t="shared" ca="1" si="204"/>
        <v>6.2865264384634927E-3</v>
      </c>
      <c r="DH48" s="5">
        <f t="shared" ca="1" si="205"/>
        <v>6.942875009542283E-3</v>
      </c>
      <c r="DI48" s="5">
        <f t="shared" ca="1" si="206"/>
        <v>6.637801879667996E-3</v>
      </c>
      <c r="DJ48" s="5">
        <f t="shared" ca="1" si="207"/>
        <v>6.7525328611491098E-3</v>
      </c>
    </row>
    <row r="49" spans="5:114" outlineLevel="1" x14ac:dyDescent="0.2">
      <c r="E49" s="32">
        <v>45962</v>
      </c>
      <c r="F49" s="9">
        <v>2413.3199999999997</v>
      </c>
      <c r="G49" s="5">
        <f t="shared" ca="1" si="105"/>
        <v>1.8695547682199793E-2</v>
      </c>
      <c r="H49" s="5">
        <f t="shared" ca="1" si="106"/>
        <v>6.3588864362907234E-3</v>
      </c>
      <c r="I49" s="9">
        <f t="shared" ca="1" si="107"/>
        <v>100915.9105338552</v>
      </c>
      <c r="K49" s="6">
        <v>45</v>
      </c>
      <c r="L49" s="5">
        <v>362392.39828010648</v>
      </c>
      <c r="N49" s="32">
        <v>45931</v>
      </c>
      <c r="O49" s="5">
        <f t="shared" ca="1" si="108"/>
        <v>6.8722886190563243E-3</v>
      </c>
      <c r="P49" s="5">
        <f t="shared" ca="1" si="109"/>
        <v>6.5356989959084021E-3</v>
      </c>
      <c r="Q49" s="5">
        <f t="shared" ca="1" si="110"/>
        <v>6.6801004610858045E-3</v>
      </c>
      <c r="R49" s="5">
        <f t="shared" ca="1" si="111"/>
        <v>6.5451579343672904E-3</v>
      </c>
      <c r="S49" s="5">
        <f t="shared" ca="1" si="112"/>
        <v>6.3279297921112112E-3</v>
      </c>
      <c r="T49" s="5">
        <f t="shared" ca="1" si="113"/>
        <v>5.823056293985213E-3</v>
      </c>
      <c r="U49" s="5">
        <f t="shared" ca="1" si="114"/>
        <v>6.5195814178104564E-3</v>
      </c>
      <c r="V49" s="5">
        <f t="shared" ca="1" si="115"/>
        <v>6.7654909259364784E-3</v>
      </c>
      <c r="W49" s="5">
        <f t="shared" ca="1" si="116"/>
        <v>6.7417384351245212E-3</v>
      </c>
      <c r="X49" s="5">
        <f t="shared" ca="1" si="117"/>
        <v>6.7098580023646701E-3</v>
      </c>
      <c r="Y49" s="5">
        <f t="shared" ca="1" si="118"/>
        <v>6.4532374215699557E-3</v>
      </c>
      <c r="Z49" s="5">
        <f t="shared" ca="1" si="119"/>
        <v>6.9606189162615979E-3</v>
      </c>
      <c r="AA49" s="5">
        <f t="shared" ca="1" si="120"/>
        <v>6.5111015962656185E-3</v>
      </c>
      <c r="AB49" s="5">
        <f t="shared" ca="1" si="121"/>
        <v>7.2090455669016765E-3</v>
      </c>
      <c r="AC49" s="5">
        <f t="shared" ca="1" si="122"/>
        <v>7.0876660945069234E-3</v>
      </c>
      <c r="AD49" s="5">
        <f t="shared" ca="1" si="123"/>
        <v>6.7581863981160638E-3</v>
      </c>
      <c r="AE49" s="5">
        <f t="shared" ca="1" si="124"/>
        <v>6.7209501881330238E-3</v>
      </c>
      <c r="AF49" s="5">
        <f t="shared" ca="1" si="125"/>
        <v>6.1732833931297925E-3</v>
      </c>
      <c r="AG49" s="5">
        <f t="shared" ca="1" si="126"/>
        <v>6.6256106360199629E-3</v>
      </c>
      <c r="AH49" s="5">
        <f t="shared" ca="1" si="127"/>
        <v>6.3938912684990456E-3</v>
      </c>
      <c r="AI49" s="5">
        <f t="shared" ca="1" si="128"/>
        <v>7.0545092754461273E-3</v>
      </c>
      <c r="AJ49" s="5">
        <f t="shared" ca="1" si="129"/>
        <v>6.4295083563230271E-3</v>
      </c>
      <c r="AK49" s="5">
        <f t="shared" ca="1" si="130"/>
        <v>6.5490539322202359E-3</v>
      </c>
      <c r="AL49" s="5">
        <f t="shared" ca="1" si="131"/>
        <v>6.5513582551719133E-3</v>
      </c>
      <c r="AM49" s="5">
        <f t="shared" ca="1" si="132"/>
        <v>6.5905588465331143E-3</v>
      </c>
      <c r="AN49" s="5">
        <f t="shared" ca="1" si="133"/>
        <v>6.6902943495226316E-3</v>
      </c>
      <c r="AO49" s="5">
        <f t="shared" ca="1" si="134"/>
        <v>7.2391913863327859E-3</v>
      </c>
      <c r="AP49" s="5">
        <f t="shared" ca="1" si="135"/>
        <v>6.313375482542489E-3</v>
      </c>
      <c r="AQ49" s="5">
        <f t="shared" ca="1" si="136"/>
        <v>6.4763424727333711E-3</v>
      </c>
      <c r="AR49" s="5">
        <f t="shared" ca="1" si="137"/>
        <v>6.5456870880232386E-3</v>
      </c>
      <c r="AS49" s="5">
        <f t="shared" ca="1" si="138"/>
        <v>6.7135574816351712E-3</v>
      </c>
      <c r="AT49" s="5">
        <f t="shared" ca="1" si="139"/>
        <v>6.4388572284632337E-3</v>
      </c>
      <c r="AU49" s="5">
        <f t="shared" ca="1" si="140"/>
        <v>6.3078468061321027E-3</v>
      </c>
      <c r="AV49" s="5">
        <f t="shared" ca="1" si="141"/>
        <v>6.4201858382041928E-3</v>
      </c>
      <c r="AW49" s="5">
        <f t="shared" ca="1" si="142"/>
        <v>6.7160592737954836E-3</v>
      </c>
      <c r="AX49" s="5">
        <f t="shared" ca="1" si="143"/>
        <v>6.3244084414992357E-3</v>
      </c>
      <c r="AY49" s="5">
        <f t="shared" ca="1" si="144"/>
        <v>7.0167031889563063E-3</v>
      </c>
      <c r="AZ49" s="5">
        <f t="shared" ca="1" si="145"/>
        <v>6.546892204006699E-3</v>
      </c>
      <c r="BA49" s="5">
        <f t="shared" ca="1" si="146"/>
        <v>6.5439508704391225E-3</v>
      </c>
      <c r="BB49" s="5">
        <f t="shared" ca="1" si="147"/>
        <v>6.5734725916342211E-3</v>
      </c>
      <c r="BC49" s="5">
        <f t="shared" ca="1" si="148"/>
        <v>6.2524562706918474E-3</v>
      </c>
      <c r="BD49" s="5">
        <f t="shared" ca="1" si="149"/>
        <v>6.708006215596792E-3</v>
      </c>
      <c r="BE49" s="5">
        <f t="shared" ca="1" si="150"/>
        <v>7.2219571114203384E-3</v>
      </c>
      <c r="BF49" s="5">
        <f t="shared" ca="1" si="151"/>
        <v>6.7364941180741277E-3</v>
      </c>
      <c r="BG49" s="5">
        <f t="shared" ca="1" si="152"/>
        <v>6.2272633660741998E-3</v>
      </c>
      <c r="BH49" s="5">
        <f t="shared" ca="1" si="153"/>
        <v>6.2706803385604243E-3</v>
      </c>
      <c r="BI49" s="5">
        <f t="shared" ca="1" si="154"/>
        <v>7.3359692639632709E-3</v>
      </c>
      <c r="BJ49" s="5">
        <f t="shared" ca="1" si="155"/>
        <v>6.9469171117750843E-3</v>
      </c>
      <c r="BK49" s="5">
        <f t="shared" ca="1" si="156"/>
        <v>6.9884897715992616E-3</v>
      </c>
      <c r="BL49" s="5">
        <f t="shared" ca="1" si="157"/>
        <v>6.7857818709334324E-3</v>
      </c>
      <c r="BM49" s="5">
        <f t="shared" ca="1" si="158"/>
        <v>6.0578221089277852E-3</v>
      </c>
      <c r="BN49" s="5">
        <f t="shared" ca="1" si="159"/>
        <v>6.4875674402344249E-3</v>
      </c>
      <c r="BO49" s="5">
        <f t="shared" ca="1" si="160"/>
        <v>6.6225434492013201E-3</v>
      </c>
      <c r="BP49" s="5">
        <f t="shared" ca="1" si="161"/>
        <v>6.6057051875285759E-3</v>
      </c>
      <c r="BQ49" s="5">
        <f t="shared" ca="1" si="162"/>
        <v>6.2435405393712583E-3</v>
      </c>
      <c r="BR49" s="5">
        <f t="shared" ca="1" si="163"/>
        <v>6.4836516526549162E-3</v>
      </c>
      <c r="BS49" s="5">
        <f t="shared" ca="1" si="164"/>
        <v>6.9512698555587475E-3</v>
      </c>
      <c r="BT49" s="5">
        <f t="shared" ca="1" si="165"/>
        <v>6.4040692932013426E-3</v>
      </c>
      <c r="BU49" s="5">
        <f t="shared" ca="1" si="166"/>
        <v>6.8004838008661203E-3</v>
      </c>
      <c r="BV49" s="5">
        <f t="shared" ca="1" si="167"/>
        <v>6.6049843399532326E-3</v>
      </c>
      <c r="BW49" s="5">
        <f t="shared" ca="1" si="168"/>
        <v>7.0562221296375941E-3</v>
      </c>
      <c r="BX49" s="5">
        <f t="shared" ca="1" si="169"/>
        <v>6.6380751103547846E-3</v>
      </c>
      <c r="BY49" s="5">
        <f t="shared" ca="1" si="170"/>
        <v>6.3796943970722848E-3</v>
      </c>
      <c r="BZ49" s="5">
        <f t="shared" ca="1" si="171"/>
        <v>6.8679635153447742E-3</v>
      </c>
      <c r="CA49" s="5">
        <f t="shared" ca="1" si="172"/>
        <v>6.1623086165375927E-3</v>
      </c>
      <c r="CB49" s="5">
        <f t="shared" ca="1" si="173"/>
        <v>6.6313095566287294E-3</v>
      </c>
      <c r="CC49" s="5">
        <f t="shared" ca="1" si="174"/>
        <v>6.4712460931882479E-3</v>
      </c>
      <c r="CD49" s="5">
        <f t="shared" ca="1" si="175"/>
        <v>6.6182084355621545E-3</v>
      </c>
      <c r="CE49" s="5">
        <f t="shared" ca="1" si="176"/>
        <v>6.3994411063009946E-3</v>
      </c>
      <c r="CF49" s="5">
        <f t="shared" ca="1" si="177"/>
        <v>6.7973893933137002E-3</v>
      </c>
      <c r="CG49" s="5">
        <f t="shared" ca="1" si="178"/>
        <v>6.7917792892903247E-3</v>
      </c>
      <c r="CH49" s="5">
        <f t="shared" ca="1" si="179"/>
        <v>6.0985555095474332E-3</v>
      </c>
      <c r="CI49" s="5">
        <f t="shared" ca="1" si="180"/>
        <v>6.5840253455546529E-3</v>
      </c>
      <c r="CJ49" s="5">
        <f t="shared" ca="1" si="181"/>
        <v>6.834138491133717E-3</v>
      </c>
      <c r="CK49" s="5">
        <f t="shared" ca="1" si="182"/>
        <v>6.6362052103871956E-3</v>
      </c>
      <c r="CL49" s="5">
        <f t="shared" ca="1" si="183"/>
        <v>6.5499112634821209E-3</v>
      </c>
      <c r="CM49" s="5">
        <f t="shared" ca="1" si="184"/>
        <v>6.8085324040645821E-3</v>
      </c>
      <c r="CN49" s="5">
        <f t="shared" ca="1" si="185"/>
        <v>6.8830427638514498E-3</v>
      </c>
      <c r="CO49" s="5">
        <f t="shared" ca="1" si="186"/>
        <v>6.6129652375300123E-3</v>
      </c>
      <c r="CP49" s="5">
        <f t="shared" ca="1" si="187"/>
        <v>6.7889806873335061E-3</v>
      </c>
      <c r="CQ49" s="5">
        <f t="shared" ca="1" si="188"/>
        <v>6.9892075054099742E-3</v>
      </c>
      <c r="CR49" s="5">
        <f t="shared" ca="1" si="189"/>
        <v>6.7447494239713151E-3</v>
      </c>
      <c r="CS49" s="5">
        <f t="shared" ca="1" si="190"/>
        <v>6.9863177445870402E-3</v>
      </c>
      <c r="CT49" s="5">
        <f t="shared" ca="1" si="191"/>
        <v>7.1452931917440083E-3</v>
      </c>
      <c r="CU49" s="5">
        <f t="shared" ca="1" si="192"/>
        <v>6.467213914201568E-3</v>
      </c>
      <c r="CV49" s="5">
        <f t="shared" ca="1" si="193"/>
        <v>6.4367065789682583E-3</v>
      </c>
      <c r="CW49" s="5">
        <f t="shared" ca="1" si="194"/>
        <v>6.4372011962077298E-3</v>
      </c>
      <c r="CX49" s="5">
        <f t="shared" ca="1" si="195"/>
        <v>6.295082720997879E-3</v>
      </c>
      <c r="CY49" s="5">
        <f t="shared" ca="1" si="196"/>
        <v>6.409764752628032E-3</v>
      </c>
      <c r="CZ49" s="5">
        <f t="shared" ca="1" si="197"/>
        <v>6.2664129581901304E-3</v>
      </c>
      <c r="DA49" s="5">
        <f t="shared" ca="1" si="198"/>
        <v>6.8422025528177589E-3</v>
      </c>
      <c r="DB49" s="5">
        <f t="shared" ca="1" si="199"/>
        <v>6.665753467381047E-3</v>
      </c>
      <c r="DC49" s="5">
        <f t="shared" ca="1" si="200"/>
        <v>6.6524140796998229E-3</v>
      </c>
      <c r="DD49" s="5">
        <f t="shared" ca="1" si="201"/>
        <v>6.5230212893918416E-3</v>
      </c>
      <c r="DE49" s="5">
        <f t="shared" ca="1" si="202"/>
        <v>6.3958749949738596E-3</v>
      </c>
      <c r="DF49" s="5">
        <f t="shared" ca="1" si="203"/>
        <v>6.3762553536229607E-3</v>
      </c>
      <c r="DG49" s="5">
        <f t="shared" ca="1" si="204"/>
        <v>6.2873608282901939E-3</v>
      </c>
      <c r="DH49" s="5">
        <f t="shared" ca="1" si="205"/>
        <v>6.8627645513257909E-3</v>
      </c>
      <c r="DI49" s="5">
        <f t="shared" ca="1" si="206"/>
        <v>6.7241984378362879E-3</v>
      </c>
      <c r="DJ49" s="5">
        <f t="shared" ca="1" si="207"/>
        <v>6.766656821743721E-3</v>
      </c>
    </row>
    <row r="50" spans="5:114" outlineLevel="1" x14ac:dyDescent="0.2">
      <c r="E50" s="32">
        <v>45992</v>
      </c>
      <c r="F50" s="9">
        <v>2413.3199999999997</v>
      </c>
      <c r="G50" s="5">
        <f t="shared" ca="1" si="105"/>
        <v>1.3352937428458351E-2</v>
      </c>
      <c r="H50" s="5">
        <f t="shared" ca="1" si="106"/>
        <v>6.3742399764771494E-3</v>
      </c>
      <c r="I50" s="9">
        <f t="shared" ca="1" si="107"/>
        <v>103382.84995948867</v>
      </c>
      <c r="K50" s="6">
        <v>46</v>
      </c>
      <c r="L50" s="5">
        <v>361791.19321792596</v>
      </c>
      <c r="N50" s="32">
        <v>45962</v>
      </c>
      <c r="O50" s="5">
        <f t="shared" ca="1" si="108"/>
        <v>6.8105671808724949E-3</v>
      </c>
      <c r="P50" s="5">
        <f t="shared" ca="1" si="109"/>
        <v>6.5209829273703782E-3</v>
      </c>
      <c r="Q50" s="5">
        <f t="shared" ca="1" si="110"/>
        <v>6.6836714507660811E-3</v>
      </c>
      <c r="R50" s="5">
        <f t="shared" ca="1" si="111"/>
        <v>6.4867644905091124E-3</v>
      </c>
      <c r="S50" s="5">
        <f t="shared" ca="1" si="112"/>
        <v>6.332828315500005E-3</v>
      </c>
      <c r="T50" s="5">
        <f t="shared" ca="1" si="113"/>
        <v>5.8399160205664276E-3</v>
      </c>
      <c r="U50" s="5">
        <f t="shared" ca="1" si="114"/>
        <v>6.5828557476559323E-3</v>
      </c>
      <c r="V50" s="5">
        <f t="shared" ca="1" si="115"/>
        <v>6.7917386412719516E-3</v>
      </c>
      <c r="W50" s="5">
        <f t="shared" ca="1" si="116"/>
        <v>6.6803326461934787E-3</v>
      </c>
      <c r="X50" s="5">
        <f t="shared" ca="1" si="117"/>
        <v>6.7047943469497242E-3</v>
      </c>
      <c r="Y50" s="5">
        <f t="shared" ca="1" si="118"/>
        <v>6.4931092439680493E-3</v>
      </c>
      <c r="Z50" s="5">
        <f t="shared" ca="1" si="119"/>
        <v>6.9399753874370071E-3</v>
      </c>
      <c r="AA50" s="5">
        <f t="shared" ca="1" si="120"/>
        <v>6.5400269249398617E-3</v>
      </c>
      <c r="AB50" s="5">
        <f t="shared" ca="1" si="121"/>
        <v>7.2134507333935522E-3</v>
      </c>
      <c r="AC50" s="5">
        <f t="shared" ca="1" si="122"/>
        <v>7.0944001240959374E-3</v>
      </c>
      <c r="AD50" s="5">
        <f t="shared" ca="1" si="123"/>
        <v>6.7061622408603853E-3</v>
      </c>
      <c r="AE50" s="5">
        <f t="shared" ca="1" si="124"/>
        <v>6.7707245884358995E-3</v>
      </c>
      <c r="AF50" s="5">
        <f t="shared" ca="1" si="125"/>
        <v>6.2117717481272872E-3</v>
      </c>
      <c r="AG50" s="5">
        <f t="shared" ca="1" si="126"/>
        <v>6.5230296113573142E-3</v>
      </c>
      <c r="AH50" s="5">
        <f t="shared" ca="1" si="127"/>
        <v>6.4321519033052835E-3</v>
      </c>
      <c r="AI50" s="5">
        <f t="shared" ca="1" si="128"/>
        <v>7.0873515620532741E-3</v>
      </c>
      <c r="AJ50" s="5">
        <f t="shared" ca="1" si="129"/>
        <v>6.4011642874503682E-3</v>
      </c>
      <c r="AK50" s="5">
        <f t="shared" ca="1" si="130"/>
        <v>6.6170513429334461E-3</v>
      </c>
      <c r="AL50" s="5">
        <f t="shared" ca="1" si="131"/>
        <v>6.5789975320957291E-3</v>
      </c>
      <c r="AM50" s="5">
        <f t="shared" ca="1" si="132"/>
        <v>6.6721874463194792E-3</v>
      </c>
      <c r="AN50" s="5">
        <f t="shared" ca="1" si="133"/>
        <v>6.6960213433991103E-3</v>
      </c>
      <c r="AO50" s="5">
        <f t="shared" ca="1" si="134"/>
        <v>7.2878637004910882E-3</v>
      </c>
      <c r="AP50" s="5">
        <f t="shared" ca="1" si="135"/>
        <v>6.2692967975090611E-3</v>
      </c>
      <c r="AQ50" s="5">
        <f t="shared" ca="1" si="136"/>
        <v>6.5075468458200359E-3</v>
      </c>
      <c r="AR50" s="5">
        <f t="shared" ca="1" si="137"/>
        <v>6.5570199267101425E-3</v>
      </c>
      <c r="AS50" s="5">
        <f t="shared" ca="1" si="138"/>
        <v>6.669412496720822E-3</v>
      </c>
      <c r="AT50" s="5">
        <f t="shared" ca="1" si="139"/>
        <v>6.4525488520846023E-3</v>
      </c>
      <c r="AU50" s="5">
        <f t="shared" ca="1" si="140"/>
        <v>6.2592667685744856E-3</v>
      </c>
      <c r="AV50" s="5">
        <f t="shared" ca="1" si="141"/>
        <v>6.4091892644120617E-3</v>
      </c>
      <c r="AW50" s="5">
        <f t="shared" ca="1" si="142"/>
        <v>6.7004631988132604E-3</v>
      </c>
      <c r="AX50" s="5">
        <f t="shared" ca="1" si="143"/>
        <v>6.3087008920322445E-3</v>
      </c>
      <c r="AY50" s="5">
        <f t="shared" ca="1" si="144"/>
        <v>6.9824850575891297E-3</v>
      </c>
      <c r="AZ50" s="5">
        <f t="shared" ca="1" si="145"/>
        <v>6.5661735108216495E-3</v>
      </c>
      <c r="BA50" s="5">
        <f t="shared" ca="1" si="146"/>
        <v>6.5592793198994597E-3</v>
      </c>
      <c r="BB50" s="5">
        <f t="shared" ca="1" si="147"/>
        <v>6.6053296853744517E-3</v>
      </c>
      <c r="BC50" s="5">
        <f t="shared" ca="1" si="148"/>
        <v>6.2316737460008939E-3</v>
      </c>
      <c r="BD50" s="5">
        <f t="shared" ca="1" si="149"/>
        <v>6.6728332178599406E-3</v>
      </c>
      <c r="BE50" s="5">
        <f t="shared" ca="1" si="150"/>
        <v>7.2436275486184084E-3</v>
      </c>
      <c r="BF50" s="5">
        <f t="shared" ca="1" si="151"/>
        <v>6.7510760784282118E-3</v>
      </c>
      <c r="BG50" s="5">
        <f t="shared" ca="1" si="152"/>
        <v>6.2533274179072795E-3</v>
      </c>
      <c r="BH50" s="5">
        <f t="shared" ca="1" si="153"/>
        <v>6.1861399317459974E-3</v>
      </c>
      <c r="BI50" s="5">
        <f t="shared" ca="1" si="154"/>
        <v>7.2844654954820386E-3</v>
      </c>
      <c r="BJ50" s="5">
        <f t="shared" ca="1" si="155"/>
        <v>6.953567822504639E-3</v>
      </c>
      <c r="BK50" s="5">
        <f t="shared" ca="1" si="156"/>
        <v>6.9802012322089301E-3</v>
      </c>
      <c r="BL50" s="5">
        <f t="shared" ca="1" si="157"/>
        <v>6.8400088404261686E-3</v>
      </c>
      <c r="BM50" s="5">
        <f t="shared" ca="1" si="158"/>
        <v>6.1383772685167891E-3</v>
      </c>
      <c r="BN50" s="5">
        <f t="shared" ca="1" si="159"/>
        <v>6.4570633721972538E-3</v>
      </c>
      <c r="BO50" s="5">
        <f t="shared" ca="1" si="160"/>
        <v>6.5877549470627116E-3</v>
      </c>
      <c r="BP50" s="5">
        <f t="shared" ca="1" si="161"/>
        <v>6.599064200531234E-3</v>
      </c>
      <c r="BQ50" s="5">
        <f t="shared" ca="1" si="162"/>
        <v>6.2543368953073041E-3</v>
      </c>
      <c r="BR50" s="5">
        <f t="shared" ca="1" si="163"/>
        <v>6.4334630151556289E-3</v>
      </c>
      <c r="BS50" s="5">
        <f t="shared" ca="1" si="164"/>
        <v>6.9832652645474896E-3</v>
      </c>
      <c r="BT50" s="5">
        <f t="shared" ca="1" si="165"/>
        <v>6.4286447591666383E-3</v>
      </c>
      <c r="BU50" s="5">
        <f t="shared" ca="1" si="166"/>
        <v>6.8102610588795581E-3</v>
      </c>
      <c r="BV50" s="5">
        <f t="shared" ca="1" si="167"/>
        <v>6.5809393186662046E-3</v>
      </c>
      <c r="BW50" s="5">
        <f t="shared" ca="1" si="168"/>
        <v>7.027703228185485E-3</v>
      </c>
      <c r="BX50" s="5">
        <f t="shared" ca="1" si="169"/>
        <v>6.6725339877018175E-3</v>
      </c>
      <c r="BY50" s="5">
        <f t="shared" ca="1" si="170"/>
        <v>6.4282585107474956E-3</v>
      </c>
      <c r="BZ50" s="5">
        <f t="shared" ca="1" si="171"/>
        <v>6.9580170923507195E-3</v>
      </c>
      <c r="CA50" s="5">
        <f t="shared" ca="1" si="172"/>
        <v>6.1885129763556866E-3</v>
      </c>
      <c r="CB50" s="5">
        <f t="shared" ca="1" si="173"/>
        <v>6.7260183811332424E-3</v>
      </c>
      <c r="CC50" s="5">
        <f t="shared" ca="1" si="174"/>
        <v>6.4429483104121174E-3</v>
      </c>
      <c r="CD50" s="5">
        <f t="shared" ca="1" si="175"/>
        <v>6.6417937604371369E-3</v>
      </c>
      <c r="CE50" s="5">
        <f t="shared" ca="1" si="176"/>
        <v>6.3997537351846061E-3</v>
      </c>
      <c r="CF50" s="5">
        <f t="shared" ca="1" si="177"/>
        <v>6.8284232926113641E-3</v>
      </c>
      <c r="CG50" s="5">
        <f t="shared" ca="1" si="178"/>
        <v>6.733327065338985E-3</v>
      </c>
      <c r="CH50" s="5">
        <f t="shared" ca="1" si="179"/>
        <v>6.0841914443157249E-3</v>
      </c>
      <c r="CI50" s="5">
        <f t="shared" ca="1" si="180"/>
        <v>6.554775217332668E-3</v>
      </c>
      <c r="CJ50" s="5">
        <f t="shared" ca="1" si="181"/>
        <v>6.8979641897150079E-3</v>
      </c>
      <c r="CK50" s="5">
        <f t="shared" ca="1" si="182"/>
        <v>6.618620705520376E-3</v>
      </c>
      <c r="CL50" s="5">
        <f t="shared" ca="1" si="183"/>
        <v>6.5353035450183622E-3</v>
      </c>
      <c r="CM50" s="5">
        <f t="shared" ca="1" si="184"/>
        <v>6.81462686523407E-3</v>
      </c>
      <c r="CN50" s="5">
        <f t="shared" ca="1" si="185"/>
        <v>6.8493610890455444E-3</v>
      </c>
      <c r="CO50" s="5">
        <f t="shared" ca="1" si="186"/>
        <v>6.6053987482145495E-3</v>
      </c>
      <c r="CP50" s="5">
        <f t="shared" ca="1" si="187"/>
        <v>6.8931848138494766E-3</v>
      </c>
      <c r="CQ50" s="5">
        <f t="shared" ca="1" si="188"/>
        <v>6.945280938658845E-3</v>
      </c>
      <c r="CR50" s="5">
        <f t="shared" ca="1" si="189"/>
        <v>6.6748363731196922E-3</v>
      </c>
      <c r="CS50" s="5">
        <f t="shared" ca="1" si="190"/>
        <v>6.9782801105332751E-3</v>
      </c>
      <c r="CT50" s="5">
        <f t="shared" ca="1" si="191"/>
        <v>7.23502573110083E-3</v>
      </c>
      <c r="CU50" s="5">
        <f t="shared" ca="1" si="192"/>
        <v>6.4100311087256553E-3</v>
      </c>
      <c r="CV50" s="5">
        <f t="shared" ca="1" si="193"/>
        <v>6.5328010931990851E-3</v>
      </c>
      <c r="CW50" s="5">
        <f t="shared" ca="1" si="194"/>
        <v>6.4052344873573273E-3</v>
      </c>
      <c r="CX50" s="5">
        <f t="shared" ca="1" si="195"/>
        <v>6.2643651100472561E-3</v>
      </c>
      <c r="CY50" s="5">
        <f t="shared" ca="1" si="196"/>
        <v>6.4331823338410104E-3</v>
      </c>
      <c r="CZ50" s="5">
        <f t="shared" ca="1" si="197"/>
        <v>6.2503861717376442E-3</v>
      </c>
      <c r="DA50" s="5">
        <f t="shared" ca="1" si="198"/>
        <v>6.9244507938074499E-3</v>
      </c>
      <c r="DB50" s="5">
        <f t="shared" ca="1" si="199"/>
        <v>6.7211791085583922E-3</v>
      </c>
      <c r="DC50" s="5">
        <f t="shared" ca="1" si="200"/>
        <v>6.6981430520294495E-3</v>
      </c>
      <c r="DD50" s="5">
        <f t="shared" ca="1" si="201"/>
        <v>6.497867297324527E-3</v>
      </c>
      <c r="DE50" s="5">
        <f t="shared" ca="1" si="202"/>
        <v>6.4194082786181829E-3</v>
      </c>
      <c r="DF50" s="5">
        <f t="shared" ca="1" si="203"/>
        <v>6.390282117525895E-3</v>
      </c>
      <c r="DG50" s="5">
        <f t="shared" ca="1" si="204"/>
        <v>6.3082037804927382E-3</v>
      </c>
      <c r="DH50" s="5">
        <f t="shared" ca="1" si="205"/>
        <v>7.0095706045835383E-3</v>
      </c>
      <c r="DI50" s="5">
        <f t="shared" ca="1" si="206"/>
        <v>6.7814206286564383E-3</v>
      </c>
      <c r="DJ50" s="5">
        <f t="shared" ca="1" si="207"/>
        <v>6.7934573562974249E-3</v>
      </c>
    </row>
    <row r="51" spans="5:114" outlineLevel="1" x14ac:dyDescent="0.2">
      <c r="E51" s="32">
        <v>46023</v>
      </c>
      <c r="F51" s="9">
        <v>2413.3199999999997</v>
      </c>
      <c r="G51" s="5">
        <f t="shared" ca="1" si="105"/>
        <v>-3.511759961383E-2</v>
      </c>
      <c r="H51" s="5">
        <f t="shared" ca="1" si="106"/>
        <v>6.3867860579358933E-3</v>
      </c>
      <c r="I51" s="9">
        <f t="shared" ca="1" si="107"/>
        <v>105851.20828350203</v>
      </c>
      <c r="K51" s="6">
        <v>47</v>
      </c>
      <c r="L51" s="5">
        <v>362034.32452159718</v>
      </c>
      <c r="N51" s="32">
        <v>45992</v>
      </c>
      <c r="O51" s="5">
        <f t="shared" ca="1" si="108"/>
        <v>6.7861164258237123E-3</v>
      </c>
      <c r="P51" s="5">
        <f t="shared" ca="1" si="109"/>
        <v>6.4739699740504891E-3</v>
      </c>
      <c r="Q51" s="5">
        <f t="shared" ca="1" si="110"/>
        <v>6.6738032830637277E-3</v>
      </c>
      <c r="R51" s="5">
        <f t="shared" ca="1" si="111"/>
        <v>6.5528850108852107E-3</v>
      </c>
      <c r="S51" s="5">
        <f t="shared" ca="1" si="112"/>
        <v>6.3590801012358951E-3</v>
      </c>
      <c r="T51" s="5">
        <f t="shared" ca="1" si="113"/>
        <v>5.7782201785520947E-3</v>
      </c>
      <c r="U51" s="5">
        <f t="shared" ca="1" si="114"/>
        <v>6.5787322361330891E-3</v>
      </c>
      <c r="V51" s="5">
        <f t="shared" ca="1" si="115"/>
        <v>6.8133371359534794E-3</v>
      </c>
      <c r="W51" s="5">
        <f t="shared" ca="1" si="116"/>
        <v>6.6803092789949987E-3</v>
      </c>
      <c r="X51" s="5">
        <f t="shared" ca="1" si="117"/>
        <v>6.7586541136801627E-3</v>
      </c>
      <c r="Y51" s="5">
        <f t="shared" ca="1" si="118"/>
        <v>6.6202607671946509E-3</v>
      </c>
      <c r="Z51" s="5">
        <f t="shared" ca="1" si="119"/>
        <v>6.9625135733761036E-3</v>
      </c>
      <c r="AA51" s="5">
        <f t="shared" ca="1" si="120"/>
        <v>6.6200829162232173E-3</v>
      </c>
      <c r="AB51" s="5">
        <f t="shared" ca="1" si="121"/>
        <v>7.2306847566381578E-3</v>
      </c>
      <c r="AC51" s="5">
        <f t="shared" ca="1" si="122"/>
        <v>7.0763177420247727E-3</v>
      </c>
      <c r="AD51" s="5">
        <f t="shared" ca="1" si="123"/>
        <v>6.6520926331745606E-3</v>
      </c>
      <c r="AE51" s="5">
        <f t="shared" ca="1" si="124"/>
        <v>6.7608916649733253E-3</v>
      </c>
      <c r="AF51" s="5">
        <f t="shared" ca="1" si="125"/>
        <v>6.232774752286202E-3</v>
      </c>
      <c r="AG51" s="5">
        <f t="shared" ca="1" si="126"/>
        <v>6.5381933367432577E-3</v>
      </c>
      <c r="AH51" s="5">
        <f t="shared" ca="1" si="127"/>
        <v>6.3690376984785486E-3</v>
      </c>
      <c r="AI51" s="5">
        <f t="shared" ca="1" si="128"/>
        <v>7.0690303742402243E-3</v>
      </c>
      <c r="AJ51" s="5">
        <f t="shared" ca="1" si="129"/>
        <v>6.3995226640134427E-3</v>
      </c>
      <c r="AK51" s="5">
        <f t="shared" ca="1" si="130"/>
        <v>6.6335058797078444E-3</v>
      </c>
      <c r="AL51" s="5">
        <f t="shared" ca="1" si="131"/>
        <v>6.629876377411084E-3</v>
      </c>
      <c r="AM51" s="5">
        <f t="shared" ca="1" si="132"/>
        <v>6.6915407955725039E-3</v>
      </c>
      <c r="AN51" s="5">
        <f t="shared" ca="1" si="133"/>
        <v>6.6969416405149983E-3</v>
      </c>
      <c r="AO51" s="5">
        <f t="shared" ca="1" si="134"/>
        <v>7.2837469845045159E-3</v>
      </c>
      <c r="AP51" s="5">
        <f t="shared" ca="1" si="135"/>
        <v>6.3296013710485528E-3</v>
      </c>
      <c r="AQ51" s="5">
        <f t="shared" ca="1" si="136"/>
        <v>6.5216850805540636E-3</v>
      </c>
      <c r="AR51" s="5">
        <f t="shared" ca="1" si="137"/>
        <v>6.5236028736489178E-3</v>
      </c>
      <c r="AS51" s="5">
        <f t="shared" ca="1" si="138"/>
        <v>6.5908775118605828E-3</v>
      </c>
      <c r="AT51" s="5">
        <f t="shared" ca="1" si="139"/>
        <v>6.4577859661938538E-3</v>
      </c>
      <c r="AU51" s="5">
        <f t="shared" ca="1" si="140"/>
        <v>6.2513871122294989E-3</v>
      </c>
      <c r="AV51" s="5">
        <f t="shared" ca="1" si="141"/>
        <v>6.431585155036547E-3</v>
      </c>
      <c r="AW51" s="5">
        <f t="shared" ca="1" si="142"/>
        <v>6.701079354248028E-3</v>
      </c>
      <c r="AX51" s="5">
        <f t="shared" ca="1" si="143"/>
        <v>6.2813893713383803E-3</v>
      </c>
      <c r="AY51" s="5">
        <f t="shared" ca="1" si="144"/>
        <v>6.9572770859443354E-3</v>
      </c>
      <c r="AZ51" s="5">
        <f t="shared" ca="1" si="145"/>
        <v>6.5238661840455745E-3</v>
      </c>
      <c r="BA51" s="5">
        <f t="shared" ca="1" si="146"/>
        <v>6.4926927810862716E-3</v>
      </c>
      <c r="BB51" s="5">
        <f t="shared" ca="1" si="147"/>
        <v>6.6767872966954347E-3</v>
      </c>
      <c r="BC51" s="5">
        <f t="shared" ca="1" si="148"/>
        <v>6.2762138087755388E-3</v>
      </c>
      <c r="BD51" s="5">
        <f t="shared" ca="1" si="149"/>
        <v>6.6874112427837452E-3</v>
      </c>
      <c r="BE51" s="5">
        <f t="shared" ca="1" si="150"/>
        <v>7.2859279356237401E-3</v>
      </c>
      <c r="BF51" s="5">
        <f t="shared" ca="1" si="151"/>
        <v>6.7018011314131142E-3</v>
      </c>
      <c r="BG51" s="5">
        <f t="shared" ca="1" si="152"/>
        <v>6.3129753417717361E-3</v>
      </c>
      <c r="BH51" s="5">
        <f t="shared" ca="1" si="153"/>
        <v>6.1730317902789792E-3</v>
      </c>
      <c r="BI51" s="5">
        <f t="shared" ca="1" si="154"/>
        <v>7.2771100981426154E-3</v>
      </c>
      <c r="BJ51" s="5">
        <f t="shared" ca="1" si="155"/>
        <v>6.9730100137057362E-3</v>
      </c>
      <c r="BK51" s="5">
        <f t="shared" ca="1" si="156"/>
        <v>6.9509825912205062E-3</v>
      </c>
      <c r="BL51" s="5">
        <f t="shared" ca="1" si="157"/>
        <v>6.8372458449071178E-3</v>
      </c>
      <c r="BM51" s="5">
        <f t="shared" ca="1" si="158"/>
        <v>6.1870670704373383E-3</v>
      </c>
      <c r="BN51" s="5">
        <f t="shared" ca="1" si="159"/>
        <v>6.4577410228375907E-3</v>
      </c>
      <c r="BO51" s="5">
        <f t="shared" ca="1" si="160"/>
        <v>6.4723125289560977E-3</v>
      </c>
      <c r="BP51" s="5">
        <f t="shared" ca="1" si="161"/>
        <v>6.5810327722409887E-3</v>
      </c>
      <c r="BQ51" s="5">
        <f t="shared" ca="1" si="162"/>
        <v>6.2227009464709626E-3</v>
      </c>
      <c r="BR51" s="5">
        <f t="shared" ca="1" si="163"/>
        <v>6.4129021287189026E-3</v>
      </c>
      <c r="BS51" s="5">
        <f t="shared" ca="1" si="164"/>
        <v>6.9692850032530076E-3</v>
      </c>
      <c r="BT51" s="5">
        <f t="shared" ca="1" si="165"/>
        <v>6.4197635426578043E-3</v>
      </c>
      <c r="BU51" s="5">
        <f t="shared" ca="1" si="166"/>
        <v>6.7590153622436285E-3</v>
      </c>
      <c r="BV51" s="5">
        <f t="shared" ca="1" si="167"/>
        <v>6.6885042901943101E-3</v>
      </c>
      <c r="BW51" s="5">
        <f t="shared" ca="1" si="168"/>
        <v>6.9945063913492206E-3</v>
      </c>
      <c r="BX51" s="5">
        <f t="shared" ca="1" si="169"/>
        <v>6.7222754059030575E-3</v>
      </c>
      <c r="BY51" s="5">
        <f t="shared" ca="1" si="170"/>
        <v>6.5119007570892231E-3</v>
      </c>
      <c r="BZ51" s="5">
        <f t="shared" ca="1" si="171"/>
        <v>6.984060582209988E-3</v>
      </c>
      <c r="CA51" s="5">
        <f t="shared" ca="1" si="172"/>
        <v>6.2436163943624589E-3</v>
      </c>
      <c r="CB51" s="5">
        <f t="shared" ca="1" si="173"/>
        <v>6.6953300240610884E-3</v>
      </c>
      <c r="CC51" s="5">
        <f t="shared" ca="1" si="174"/>
        <v>6.4640340933862809E-3</v>
      </c>
      <c r="CD51" s="5">
        <f t="shared" ca="1" si="175"/>
        <v>6.6526827245815094E-3</v>
      </c>
      <c r="CE51" s="5">
        <f t="shared" ca="1" si="176"/>
        <v>6.3580756648135483E-3</v>
      </c>
      <c r="CF51" s="5">
        <f t="shared" ca="1" si="177"/>
        <v>6.8513611005504007E-3</v>
      </c>
      <c r="CG51" s="5">
        <f t="shared" ca="1" si="178"/>
        <v>6.7911376663574493E-3</v>
      </c>
      <c r="CH51" s="5">
        <f t="shared" ca="1" si="179"/>
        <v>6.052654934029237E-3</v>
      </c>
      <c r="CI51" s="5">
        <f t="shared" ca="1" si="180"/>
        <v>6.5922742396821695E-3</v>
      </c>
      <c r="CJ51" s="5">
        <f t="shared" ca="1" si="181"/>
        <v>6.9680765830649732E-3</v>
      </c>
      <c r="CK51" s="5">
        <f t="shared" ca="1" si="182"/>
        <v>6.680096525304647E-3</v>
      </c>
      <c r="CL51" s="5">
        <f t="shared" ca="1" si="183"/>
        <v>6.5564417186979619E-3</v>
      </c>
      <c r="CM51" s="5">
        <f t="shared" ca="1" si="184"/>
        <v>6.8310521481072728E-3</v>
      </c>
      <c r="CN51" s="5">
        <f t="shared" ca="1" si="185"/>
        <v>6.8077804999994362E-3</v>
      </c>
      <c r="CO51" s="5">
        <f t="shared" ca="1" si="186"/>
        <v>6.6459165440835594E-3</v>
      </c>
      <c r="CP51" s="5">
        <f t="shared" ca="1" si="187"/>
        <v>6.9212412620169765E-3</v>
      </c>
      <c r="CQ51" s="5">
        <f t="shared" ca="1" si="188"/>
        <v>6.9642185369534681E-3</v>
      </c>
      <c r="CR51" s="5">
        <f t="shared" ca="1" si="189"/>
        <v>6.6799099858881267E-3</v>
      </c>
      <c r="CS51" s="5">
        <f t="shared" ca="1" si="190"/>
        <v>6.9772885559521939E-3</v>
      </c>
      <c r="CT51" s="5">
        <f t="shared" ca="1" si="191"/>
        <v>7.2810254088264388E-3</v>
      </c>
      <c r="CU51" s="5">
        <f t="shared" ca="1" si="192"/>
        <v>6.4094674349985713E-3</v>
      </c>
      <c r="CV51" s="5">
        <f t="shared" ca="1" si="193"/>
        <v>6.5709641392068798E-3</v>
      </c>
      <c r="CW51" s="5">
        <f t="shared" ca="1" si="194"/>
        <v>6.4354885797065376E-3</v>
      </c>
      <c r="CX51" s="5">
        <f t="shared" ca="1" si="195"/>
        <v>6.2767798530720554E-3</v>
      </c>
      <c r="CY51" s="5">
        <f t="shared" ca="1" si="196"/>
        <v>6.4466347287055192E-3</v>
      </c>
      <c r="CZ51" s="5">
        <f t="shared" ca="1" si="197"/>
        <v>6.1950040349688209E-3</v>
      </c>
      <c r="DA51" s="5">
        <f t="shared" ca="1" si="198"/>
        <v>6.8026801297528632E-3</v>
      </c>
      <c r="DB51" s="5">
        <f t="shared" ca="1" si="199"/>
        <v>6.7621890093317542E-3</v>
      </c>
      <c r="DC51" s="5">
        <f t="shared" ca="1" si="200"/>
        <v>6.6834328517246877E-3</v>
      </c>
      <c r="DD51" s="5">
        <f t="shared" ca="1" si="201"/>
        <v>6.4999884685414348E-3</v>
      </c>
      <c r="DE51" s="5">
        <f t="shared" ca="1" si="202"/>
        <v>6.4015489762320145E-3</v>
      </c>
      <c r="DF51" s="5">
        <f t="shared" ca="1" si="203"/>
        <v>6.4274386935587631E-3</v>
      </c>
      <c r="DG51" s="5">
        <f t="shared" ca="1" si="204"/>
        <v>6.3571073581378257E-3</v>
      </c>
      <c r="DH51" s="5">
        <f t="shared" ca="1" si="205"/>
        <v>7.0110649428898582E-3</v>
      </c>
      <c r="DI51" s="5">
        <f t="shared" ca="1" si="206"/>
        <v>6.7475921343929067E-3</v>
      </c>
      <c r="DJ51" s="5">
        <f t="shared" ca="1" si="207"/>
        <v>6.7693870197698455E-3</v>
      </c>
    </row>
    <row r="52" spans="5:114" outlineLevel="1" x14ac:dyDescent="0.2">
      <c r="E52" s="32">
        <v>46054</v>
      </c>
      <c r="F52" s="9">
        <v>2871.8507999999997</v>
      </c>
      <c r="G52" s="5">
        <f t="shared" ca="1" si="105"/>
        <v>-7.1390926604596949E-2</v>
      </c>
      <c r="H52" s="5">
        <f t="shared" ca="1" si="106"/>
        <v>6.3742033255513369E-3</v>
      </c>
      <c r="I52" s="9">
        <f t="shared" ca="1" si="107"/>
        <v>108779.30044641258</v>
      </c>
      <c r="K52" s="6">
        <v>48</v>
      </c>
      <c r="L52" s="5">
        <v>363390.44257741451</v>
      </c>
      <c r="N52" s="32">
        <v>46023</v>
      </c>
      <c r="O52" s="5">
        <f t="shared" ca="1" si="108"/>
        <v>6.808722324680821E-3</v>
      </c>
      <c r="P52" s="5">
        <f t="shared" ca="1" si="109"/>
        <v>6.4552364600856697E-3</v>
      </c>
      <c r="Q52" s="5">
        <f t="shared" ca="1" si="110"/>
        <v>6.6483477539572731E-3</v>
      </c>
      <c r="R52" s="5">
        <f t="shared" ca="1" si="111"/>
        <v>6.5374225107414771E-3</v>
      </c>
      <c r="S52" s="5">
        <f t="shared" ca="1" si="112"/>
        <v>6.3641845654419339E-3</v>
      </c>
      <c r="T52" s="5">
        <f t="shared" ca="1" si="113"/>
        <v>5.7071584527284922E-3</v>
      </c>
      <c r="U52" s="5">
        <f t="shared" ca="1" si="114"/>
        <v>6.6472918396136872E-3</v>
      </c>
      <c r="V52" s="5">
        <f t="shared" ca="1" si="115"/>
        <v>6.7991368096919618E-3</v>
      </c>
      <c r="W52" s="5">
        <f t="shared" ca="1" si="116"/>
        <v>6.7080303357041834E-3</v>
      </c>
      <c r="X52" s="5">
        <f t="shared" ca="1" si="117"/>
        <v>6.8077801458540626E-3</v>
      </c>
      <c r="Y52" s="5">
        <f t="shared" ca="1" si="118"/>
        <v>6.6026608140518327E-3</v>
      </c>
      <c r="Z52" s="5">
        <f t="shared" ca="1" si="119"/>
        <v>7.0223626297076201E-3</v>
      </c>
      <c r="AA52" s="5">
        <f t="shared" ca="1" si="120"/>
        <v>6.6082657490039902E-3</v>
      </c>
      <c r="AB52" s="5">
        <f t="shared" ca="1" si="121"/>
        <v>7.1981636563061609E-3</v>
      </c>
      <c r="AC52" s="5">
        <f t="shared" ca="1" si="122"/>
        <v>7.0823791565067891E-3</v>
      </c>
      <c r="AD52" s="5">
        <f t="shared" ca="1" si="123"/>
        <v>6.6120432466173626E-3</v>
      </c>
      <c r="AE52" s="5">
        <f t="shared" ca="1" si="124"/>
        <v>6.818325824823601E-3</v>
      </c>
      <c r="AF52" s="5">
        <f t="shared" ca="1" si="125"/>
        <v>6.2735707807670075E-3</v>
      </c>
      <c r="AG52" s="5">
        <f t="shared" ca="1" si="126"/>
        <v>6.5623854480586011E-3</v>
      </c>
      <c r="AH52" s="5">
        <f t="shared" ca="1" si="127"/>
        <v>6.3821307764307736E-3</v>
      </c>
      <c r="AI52" s="5">
        <f t="shared" ca="1" si="128"/>
        <v>7.0515893833841357E-3</v>
      </c>
      <c r="AJ52" s="5">
        <f t="shared" ca="1" si="129"/>
        <v>6.3976100119517978E-3</v>
      </c>
      <c r="AK52" s="5">
        <f t="shared" ca="1" si="130"/>
        <v>6.5979926385193802E-3</v>
      </c>
      <c r="AL52" s="5">
        <f t="shared" ca="1" si="131"/>
        <v>6.6289493259040306E-3</v>
      </c>
      <c r="AM52" s="5">
        <f t="shared" ca="1" si="132"/>
        <v>6.7460631817195596E-3</v>
      </c>
      <c r="AN52" s="5">
        <f t="shared" ca="1" si="133"/>
        <v>6.6853413294326825E-3</v>
      </c>
      <c r="AO52" s="5">
        <f t="shared" ca="1" si="134"/>
        <v>7.2651327540962044E-3</v>
      </c>
      <c r="AP52" s="5">
        <f t="shared" ca="1" si="135"/>
        <v>6.3857878922300004E-3</v>
      </c>
      <c r="AQ52" s="5">
        <f t="shared" ca="1" si="136"/>
        <v>6.5579863986957709E-3</v>
      </c>
      <c r="AR52" s="5">
        <f t="shared" ca="1" si="137"/>
        <v>6.5152802591807099E-3</v>
      </c>
      <c r="AS52" s="5">
        <f t="shared" ca="1" si="138"/>
        <v>6.6622501774226848E-3</v>
      </c>
      <c r="AT52" s="5">
        <f t="shared" ca="1" si="139"/>
        <v>6.3308699728982102E-3</v>
      </c>
      <c r="AU52" s="5">
        <f t="shared" ca="1" si="140"/>
        <v>6.1680674944621207E-3</v>
      </c>
      <c r="AV52" s="5">
        <f t="shared" ca="1" si="141"/>
        <v>6.4603173874722645E-3</v>
      </c>
      <c r="AW52" s="5">
        <f t="shared" ca="1" si="142"/>
        <v>6.7709220306443685E-3</v>
      </c>
      <c r="AX52" s="5">
        <f t="shared" ca="1" si="143"/>
        <v>6.302858732166898E-3</v>
      </c>
      <c r="AY52" s="5">
        <f t="shared" ca="1" si="144"/>
        <v>6.8820239907145704E-3</v>
      </c>
      <c r="AZ52" s="5">
        <f t="shared" ca="1" si="145"/>
        <v>6.5485599652509024E-3</v>
      </c>
      <c r="BA52" s="5">
        <f t="shared" ca="1" si="146"/>
        <v>6.5736308506091825E-3</v>
      </c>
      <c r="BB52" s="5">
        <f t="shared" ca="1" si="147"/>
        <v>6.768159008808684E-3</v>
      </c>
      <c r="BC52" s="5">
        <f t="shared" ca="1" si="148"/>
        <v>6.3456879016460374E-3</v>
      </c>
      <c r="BD52" s="5">
        <f t="shared" ca="1" si="149"/>
        <v>6.6003717948224698E-3</v>
      </c>
      <c r="BE52" s="5">
        <f t="shared" ca="1" si="150"/>
        <v>7.273065691232883E-3</v>
      </c>
      <c r="BF52" s="5">
        <f t="shared" ca="1" si="151"/>
        <v>6.7776066999684012E-3</v>
      </c>
      <c r="BG52" s="5">
        <f t="shared" ca="1" si="152"/>
        <v>6.3693253773111011E-3</v>
      </c>
      <c r="BH52" s="5">
        <f t="shared" ca="1" si="153"/>
        <v>6.1724500825558358E-3</v>
      </c>
      <c r="BI52" s="5">
        <f t="shared" ca="1" si="154"/>
        <v>7.2857688610388233E-3</v>
      </c>
      <c r="BJ52" s="5">
        <f t="shared" ca="1" si="155"/>
        <v>6.9372280500503026E-3</v>
      </c>
      <c r="BK52" s="5">
        <f t="shared" ca="1" si="156"/>
        <v>6.9586736153231287E-3</v>
      </c>
      <c r="BL52" s="5">
        <f t="shared" ca="1" si="157"/>
        <v>6.7619500335447764E-3</v>
      </c>
      <c r="BM52" s="5">
        <f t="shared" ca="1" si="158"/>
        <v>6.2557656548004638E-3</v>
      </c>
      <c r="BN52" s="5">
        <f t="shared" ca="1" si="159"/>
        <v>6.501476624552683E-3</v>
      </c>
      <c r="BO52" s="5">
        <f t="shared" ca="1" si="160"/>
        <v>6.4705269830044338E-3</v>
      </c>
      <c r="BP52" s="5">
        <f t="shared" ca="1" si="161"/>
        <v>6.6293367970419658E-3</v>
      </c>
      <c r="BQ52" s="5">
        <f t="shared" ca="1" si="162"/>
        <v>6.2459321149257434E-3</v>
      </c>
      <c r="BR52" s="5">
        <f t="shared" ca="1" si="163"/>
        <v>6.4126269436321796E-3</v>
      </c>
      <c r="BS52" s="5">
        <f t="shared" ca="1" si="164"/>
        <v>6.9912326839534867E-3</v>
      </c>
      <c r="BT52" s="5">
        <f t="shared" ca="1" si="165"/>
        <v>6.4052513295658059E-3</v>
      </c>
      <c r="BU52" s="5">
        <f t="shared" ca="1" si="166"/>
        <v>6.8081365198496141E-3</v>
      </c>
      <c r="BV52" s="5">
        <f t="shared" ca="1" si="167"/>
        <v>6.6625525504838681E-3</v>
      </c>
      <c r="BW52" s="5">
        <f t="shared" ca="1" si="168"/>
        <v>7.0250707960810349E-3</v>
      </c>
      <c r="BX52" s="5">
        <f t="shared" ca="1" si="169"/>
        <v>6.7134350504026389E-3</v>
      </c>
      <c r="BY52" s="5">
        <f t="shared" ca="1" si="170"/>
        <v>6.4957679524815775E-3</v>
      </c>
      <c r="BZ52" s="5">
        <f t="shared" ca="1" si="171"/>
        <v>6.9672376775979953E-3</v>
      </c>
      <c r="CA52" s="5">
        <f t="shared" ca="1" si="172"/>
        <v>6.2577179395707991E-3</v>
      </c>
      <c r="CB52" s="5">
        <f t="shared" ca="1" si="173"/>
        <v>6.7070758840370465E-3</v>
      </c>
      <c r="CC52" s="5">
        <f t="shared" ca="1" si="174"/>
        <v>6.5056494461657255E-3</v>
      </c>
      <c r="CD52" s="5">
        <f t="shared" ca="1" si="175"/>
        <v>6.6666712035670485E-3</v>
      </c>
      <c r="CE52" s="5">
        <f t="shared" ca="1" si="176"/>
        <v>6.3769067955493624E-3</v>
      </c>
      <c r="CF52" s="5">
        <f t="shared" ca="1" si="177"/>
        <v>6.9306931920036421E-3</v>
      </c>
      <c r="CG52" s="5">
        <f t="shared" ca="1" si="178"/>
        <v>6.8542447553905685E-3</v>
      </c>
      <c r="CH52" s="5">
        <f t="shared" ca="1" si="179"/>
        <v>5.9693512047198048E-3</v>
      </c>
      <c r="CI52" s="5">
        <f t="shared" ca="1" si="180"/>
        <v>6.6447015535167622E-3</v>
      </c>
      <c r="CJ52" s="5">
        <f t="shared" ca="1" si="181"/>
        <v>6.9978297265855119E-3</v>
      </c>
      <c r="CK52" s="5">
        <f t="shared" ca="1" si="182"/>
        <v>6.6726220614457552E-3</v>
      </c>
      <c r="CL52" s="5">
        <f t="shared" ca="1" si="183"/>
        <v>6.5488318265355758E-3</v>
      </c>
      <c r="CM52" s="5">
        <f t="shared" ca="1" si="184"/>
        <v>6.8701381506923436E-3</v>
      </c>
      <c r="CN52" s="5">
        <f t="shared" ca="1" si="185"/>
        <v>6.7876376099432392E-3</v>
      </c>
      <c r="CO52" s="5">
        <f t="shared" ca="1" si="186"/>
        <v>6.7348867915459189E-3</v>
      </c>
      <c r="CP52" s="5">
        <f t="shared" ca="1" si="187"/>
        <v>6.9128899668100523E-3</v>
      </c>
      <c r="CQ52" s="5">
        <f t="shared" ca="1" si="188"/>
        <v>6.9858754539936412E-3</v>
      </c>
      <c r="CR52" s="5">
        <f t="shared" ca="1" si="189"/>
        <v>6.6894764889327569E-3</v>
      </c>
      <c r="CS52" s="5">
        <f t="shared" ca="1" si="190"/>
        <v>6.971580863745875E-3</v>
      </c>
      <c r="CT52" s="5">
        <f t="shared" ca="1" si="191"/>
        <v>7.3146490382017381E-3</v>
      </c>
      <c r="CU52" s="5">
        <f t="shared" ca="1" si="192"/>
        <v>6.4167438843949539E-3</v>
      </c>
      <c r="CV52" s="5">
        <f t="shared" ca="1" si="193"/>
        <v>6.5745812703322058E-3</v>
      </c>
      <c r="CW52" s="5">
        <f t="shared" ca="1" si="194"/>
        <v>6.4380883511787291E-3</v>
      </c>
      <c r="CX52" s="5">
        <f t="shared" ca="1" si="195"/>
        <v>6.254898263928943E-3</v>
      </c>
      <c r="CY52" s="5">
        <f t="shared" ca="1" si="196"/>
        <v>6.4447617529211796E-3</v>
      </c>
      <c r="CZ52" s="5">
        <f t="shared" ca="1" si="197"/>
        <v>6.1909263339484499E-3</v>
      </c>
      <c r="DA52" s="5">
        <f t="shared" ca="1" si="198"/>
        <v>6.7947114759479964E-3</v>
      </c>
      <c r="DB52" s="5">
        <f t="shared" ca="1" si="199"/>
        <v>6.7768489570417742E-3</v>
      </c>
      <c r="DC52" s="5">
        <f t="shared" ca="1" si="200"/>
        <v>6.7212117069605616E-3</v>
      </c>
      <c r="DD52" s="5">
        <f t="shared" ca="1" si="201"/>
        <v>6.5111420845603996E-3</v>
      </c>
      <c r="DE52" s="5">
        <f t="shared" ca="1" si="202"/>
        <v>6.4036430152476726E-3</v>
      </c>
      <c r="DF52" s="5">
        <f t="shared" ca="1" si="203"/>
        <v>6.4440143043378141E-3</v>
      </c>
      <c r="DG52" s="5">
        <f t="shared" ca="1" si="204"/>
        <v>6.4834011276773528E-3</v>
      </c>
      <c r="DH52" s="5">
        <f t="shared" ca="1" si="205"/>
        <v>6.9847074918151283E-3</v>
      </c>
      <c r="DI52" s="5">
        <f t="shared" ca="1" si="206"/>
        <v>6.7459841192111956E-3</v>
      </c>
      <c r="DJ52" s="5">
        <f t="shared" ca="1" si="207"/>
        <v>6.784130325823064E-3</v>
      </c>
    </row>
    <row r="53" spans="5:114" outlineLevel="1" x14ac:dyDescent="0.2">
      <c r="E53" s="32">
        <v>46082</v>
      </c>
      <c r="F53" s="9">
        <v>2871.8507999999997</v>
      </c>
      <c r="G53" s="5">
        <f t="shared" ca="1" si="105"/>
        <v>-5.907629585024941E-3</v>
      </c>
      <c r="H53" s="5">
        <f t="shared" ca="1" si="106"/>
        <v>6.3429272269244314E-3</v>
      </c>
      <c r="I53" s="9">
        <f t="shared" ca="1" si="107"/>
        <v>111708.66471077241</v>
      </c>
      <c r="K53" s="6">
        <v>49</v>
      </c>
      <c r="L53" s="5">
        <v>362459.06702362973</v>
      </c>
      <c r="N53" s="32">
        <v>46054</v>
      </c>
      <c r="O53" s="5">
        <f t="shared" ca="1" si="108"/>
        <v>6.7812995636882967E-3</v>
      </c>
      <c r="P53" s="5">
        <f t="shared" ca="1" si="109"/>
        <v>6.4679011447785007E-3</v>
      </c>
      <c r="Q53" s="5">
        <f t="shared" ca="1" si="110"/>
        <v>6.651993623709016E-3</v>
      </c>
      <c r="R53" s="5">
        <f t="shared" ca="1" si="111"/>
        <v>6.574863855016478E-3</v>
      </c>
      <c r="S53" s="5">
        <f t="shared" ca="1" si="112"/>
        <v>6.3005723833488084E-3</v>
      </c>
      <c r="T53" s="5">
        <f t="shared" ca="1" si="113"/>
        <v>5.7636616024393794E-3</v>
      </c>
      <c r="U53" s="5">
        <f t="shared" ca="1" si="114"/>
        <v>6.6944348737049842E-3</v>
      </c>
      <c r="V53" s="5">
        <f t="shared" ca="1" si="115"/>
        <v>6.8418036957503215E-3</v>
      </c>
      <c r="W53" s="5">
        <f t="shared" ca="1" si="116"/>
        <v>6.7738319863479184E-3</v>
      </c>
      <c r="X53" s="5">
        <f t="shared" ca="1" si="117"/>
        <v>6.9082564721211883E-3</v>
      </c>
      <c r="Y53" s="5">
        <f t="shared" ca="1" si="118"/>
        <v>6.577963782644863E-3</v>
      </c>
      <c r="Z53" s="5">
        <f t="shared" ca="1" si="119"/>
        <v>6.9460970507836247E-3</v>
      </c>
      <c r="AA53" s="5">
        <f t="shared" ca="1" si="120"/>
        <v>6.5485885196149476E-3</v>
      </c>
      <c r="AB53" s="5">
        <f t="shared" ca="1" si="121"/>
        <v>7.2508482186753364E-3</v>
      </c>
      <c r="AC53" s="5">
        <f t="shared" ca="1" si="122"/>
        <v>7.0974671686208505E-3</v>
      </c>
      <c r="AD53" s="5">
        <f t="shared" ca="1" si="123"/>
        <v>6.655028800115541E-3</v>
      </c>
      <c r="AE53" s="5">
        <f t="shared" ca="1" si="124"/>
        <v>6.8894798565983326E-3</v>
      </c>
      <c r="AF53" s="5">
        <f t="shared" ca="1" si="125"/>
        <v>6.2984097462316707E-3</v>
      </c>
      <c r="AG53" s="5">
        <f t="shared" ca="1" si="126"/>
        <v>6.559128396578298E-3</v>
      </c>
      <c r="AH53" s="5">
        <f t="shared" ca="1" si="127"/>
        <v>6.4076086393030796E-3</v>
      </c>
      <c r="AI53" s="5">
        <f t="shared" ca="1" si="128"/>
        <v>7.0305165846200109E-3</v>
      </c>
      <c r="AJ53" s="5">
        <f t="shared" ca="1" si="129"/>
        <v>6.4730651717420139E-3</v>
      </c>
      <c r="AK53" s="5">
        <f t="shared" ca="1" si="130"/>
        <v>6.6982263187310319E-3</v>
      </c>
      <c r="AL53" s="5">
        <f t="shared" ca="1" si="131"/>
        <v>6.6206156464779396E-3</v>
      </c>
      <c r="AM53" s="5">
        <f t="shared" ca="1" si="132"/>
        <v>6.7383876626387089E-3</v>
      </c>
      <c r="AN53" s="5">
        <f t="shared" ca="1" si="133"/>
        <v>6.7355050927680226E-3</v>
      </c>
      <c r="AO53" s="5">
        <f t="shared" ca="1" si="134"/>
        <v>7.2387645757391065E-3</v>
      </c>
      <c r="AP53" s="5">
        <f t="shared" ca="1" si="135"/>
        <v>6.436268477300282E-3</v>
      </c>
      <c r="AQ53" s="5">
        <f t="shared" ca="1" si="136"/>
        <v>6.5771828413489662E-3</v>
      </c>
      <c r="AR53" s="5">
        <f t="shared" ca="1" si="137"/>
        <v>6.4892145437879297E-3</v>
      </c>
      <c r="AS53" s="5">
        <f t="shared" ca="1" si="138"/>
        <v>6.6527827159282493E-3</v>
      </c>
      <c r="AT53" s="5">
        <f t="shared" ca="1" si="139"/>
        <v>6.2592361522825221E-3</v>
      </c>
      <c r="AU53" s="5">
        <f t="shared" ca="1" si="140"/>
        <v>6.1984577981665555E-3</v>
      </c>
      <c r="AV53" s="5">
        <f t="shared" ca="1" si="141"/>
        <v>6.4719644201449E-3</v>
      </c>
      <c r="AW53" s="5">
        <f t="shared" ca="1" si="142"/>
        <v>6.8037678154503692E-3</v>
      </c>
      <c r="AX53" s="5">
        <f t="shared" ca="1" si="143"/>
        <v>6.3744809971516764E-3</v>
      </c>
      <c r="AY53" s="5">
        <f t="shared" ca="1" si="144"/>
        <v>6.9326819930522806E-3</v>
      </c>
      <c r="AZ53" s="5">
        <f t="shared" ca="1" si="145"/>
        <v>6.5024247684058152E-3</v>
      </c>
      <c r="BA53" s="5">
        <f t="shared" ca="1" si="146"/>
        <v>6.5311183346456149E-3</v>
      </c>
      <c r="BB53" s="5">
        <f t="shared" ca="1" si="147"/>
        <v>6.8578774037531456E-3</v>
      </c>
      <c r="BC53" s="5">
        <f t="shared" ca="1" si="148"/>
        <v>6.3371515091591073E-3</v>
      </c>
      <c r="BD53" s="5">
        <f t="shared" ca="1" si="149"/>
        <v>6.6097776914257732E-3</v>
      </c>
      <c r="BE53" s="5">
        <f t="shared" ca="1" si="150"/>
        <v>7.3262474183430825E-3</v>
      </c>
      <c r="BF53" s="5">
        <f t="shared" ca="1" si="151"/>
        <v>6.8281322130587761E-3</v>
      </c>
      <c r="BG53" s="5">
        <f t="shared" ca="1" si="152"/>
        <v>6.3356732847471998E-3</v>
      </c>
      <c r="BH53" s="5">
        <f t="shared" ca="1" si="153"/>
        <v>6.1381140782373481E-3</v>
      </c>
      <c r="BI53" s="5">
        <f t="shared" ca="1" si="154"/>
        <v>7.2575544338370082E-3</v>
      </c>
      <c r="BJ53" s="5">
        <f t="shared" ca="1" si="155"/>
        <v>6.9162455637126119E-3</v>
      </c>
      <c r="BK53" s="5">
        <f t="shared" ca="1" si="156"/>
        <v>6.9254308746644882E-3</v>
      </c>
      <c r="BL53" s="5">
        <f t="shared" ca="1" si="157"/>
        <v>6.8345220414709629E-3</v>
      </c>
      <c r="BM53" s="5">
        <f t="shared" ca="1" si="158"/>
        <v>6.2314636551329882E-3</v>
      </c>
      <c r="BN53" s="5">
        <f t="shared" ca="1" si="159"/>
        <v>6.5572544383066238E-3</v>
      </c>
      <c r="BO53" s="5">
        <f t="shared" ca="1" si="160"/>
        <v>6.5652960815677248E-3</v>
      </c>
      <c r="BP53" s="5">
        <f t="shared" ca="1" si="161"/>
        <v>6.663545618735201E-3</v>
      </c>
      <c r="BQ53" s="5">
        <f t="shared" ca="1" si="162"/>
        <v>6.2598104963522945E-3</v>
      </c>
      <c r="BR53" s="5">
        <f t="shared" ca="1" si="163"/>
        <v>6.3209204806737125E-3</v>
      </c>
      <c r="BS53" s="5">
        <f t="shared" ca="1" si="164"/>
        <v>6.9055361061277345E-3</v>
      </c>
      <c r="BT53" s="5">
        <f t="shared" ca="1" si="165"/>
        <v>6.4300617111266618E-3</v>
      </c>
      <c r="BU53" s="5">
        <f t="shared" ca="1" si="166"/>
        <v>6.782083760514237E-3</v>
      </c>
      <c r="BV53" s="5">
        <f t="shared" ca="1" si="167"/>
        <v>6.7564605834896782E-3</v>
      </c>
      <c r="BW53" s="5">
        <f t="shared" ca="1" si="168"/>
        <v>7.0130044840008799E-3</v>
      </c>
      <c r="BX53" s="5">
        <f t="shared" ca="1" si="169"/>
        <v>6.7700758164293742E-3</v>
      </c>
      <c r="BY53" s="5">
        <f t="shared" ca="1" si="170"/>
        <v>6.4927406582018692E-3</v>
      </c>
      <c r="BZ53" s="5">
        <f t="shared" ca="1" si="171"/>
        <v>6.9307805088731026E-3</v>
      </c>
      <c r="CA53" s="5">
        <f t="shared" ca="1" si="172"/>
        <v>6.2766112201553424E-3</v>
      </c>
      <c r="CB53" s="5">
        <f t="shared" ca="1" si="173"/>
        <v>6.7192292972609851E-3</v>
      </c>
      <c r="CC53" s="5">
        <f t="shared" ca="1" si="174"/>
        <v>6.5729825416375315E-3</v>
      </c>
      <c r="CD53" s="5">
        <f t="shared" ca="1" si="175"/>
        <v>6.7066503039714242E-3</v>
      </c>
      <c r="CE53" s="5">
        <f t="shared" ca="1" si="176"/>
        <v>6.3177374940456849E-3</v>
      </c>
      <c r="CF53" s="5">
        <f t="shared" ca="1" si="177"/>
        <v>6.9639522068307017E-3</v>
      </c>
      <c r="CG53" s="5">
        <f t="shared" ca="1" si="178"/>
        <v>6.922249337472243E-3</v>
      </c>
      <c r="CH53" s="5">
        <f t="shared" ca="1" si="179"/>
        <v>5.9828429949679782E-3</v>
      </c>
      <c r="CI53" s="5">
        <f t="shared" ca="1" si="180"/>
        <v>6.6720190733728976E-3</v>
      </c>
      <c r="CJ53" s="5">
        <f t="shared" ca="1" si="181"/>
        <v>6.9580252699482717E-3</v>
      </c>
      <c r="CK53" s="5">
        <f t="shared" ca="1" si="182"/>
        <v>6.6366608929971068E-3</v>
      </c>
      <c r="CL53" s="5">
        <f t="shared" ca="1" si="183"/>
        <v>6.602522259111461E-3</v>
      </c>
      <c r="CM53" s="5">
        <f t="shared" ca="1" si="184"/>
        <v>6.9725612273891452E-3</v>
      </c>
      <c r="CN53" s="5">
        <f t="shared" ca="1" si="185"/>
        <v>6.7023374443644698E-3</v>
      </c>
      <c r="CO53" s="5">
        <f t="shared" ca="1" si="186"/>
        <v>6.8061691743951467E-3</v>
      </c>
      <c r="CP53" s="5">
        <f t="shared" ca="1" si="187"/>
        <v>6.9556871893245581E-3</v>
      </c>
      <c r="CQ53" s="5">
        <f t="shared" ca="1" si="188"/>
        <v>6.9784428558195442E-3</v>
      </c>
      <c r="CR53" s="5">
        <f t="shared" ca="1" si="189"/>
        <v>6.6646860384824312E-3</v>
      </c>
      <c r="CS53" s="5">
        <f t="shared" ca="1" si="190"/>
        <v>6.9429616424246422E-3</v>
      </c>
      <c r="CT53" s="5">
        <f t="shared" ca="1" si="191"/>
        <v>7.3478522478730816E-3</v>
      </c>
      <c r="CU53" s="5">
        <f t="shared" ca="1" si="192"/>
        <v>6.4431883979754944E-3</v>
      </c>
      <c r="CV53" s="5">
        <f t="shared" ca="1" si="193"/>
        <v>6.6103937770262862E-3</v>
      </c>
      <c r="CW53" s="5">
        <f t="shared" ca="1" si="194"/>
        <v>6.4587011554247615E-3</v>
      </c>
      <c r="CX53" s="5">
        <f t="shared" ca="1" si="195"/>
        <v>6.2626361805769755E-3</v>
      </c>
      <c r="CY53" s="5">
        <f t="shared" ca="1" si="196"/>
        <v>6.451804341529927E-3</v>
      </c>
      <c r="CZ53" s="5">
        <f t="shared" ca="1" si="197"/>
        <v>6.2398832385932917E-3</v>
      </c>
      <c r="DA53" s="5">
        <f t="shared" ca="1" si="198"/>
        <v>6.8171300542569134E-3</v>
      </c>
      <c r="DB53" s="5">
        <f t="shared" ca="1" si="199"/>
        <v>6.7713654499774031E-3</v>
      </c>
      <c r="DC53" s="5">
        <f t="shared" ca="1" si="200"/>
        <v>6.7885902516735437E-3</v>
      </c>
      <c r="DD53" s="5">
        <f t="shared" ca="1" si="201"/>
        <v>6.497696525771166E-3</v>
      </c>
      <c r="DE53" s="5">
        <f t="shared" ca="1" si="202"/>
        <v>6.3782418531320821E-3</v>
      </c>
      <c r="DF53" s="5">
        <f t="shared" ca="1" si="203"/>
        <v>6.4404919314736435E-3</v>
      </c>
      <c r="DG53" s="5">
        <f t="shared" ca="1" si="204"/>
        <v>6.5527667017911389E-3</v>
      </c>
      <c r="DH53" s="5">
        <f t="shared" ca="1" si="205"/>
        <v>6.9653540983288754E-3</v>
      </c>
      <c r="DI53" s="5">
        <f t="shared" ca="1" si="206"/>
        <v>6.7665201244102241E-3</v>
      </c>
      <c r="DJ53" s="5">
        <f t="shared" ca="1" si="207"/>
        <v>6.81341070327365E-3</v>
      </c>
    </row>
    <row r="54" spans="5:114" outlineLevel="1" x14ac:dyDescent="0.2">
      <c r="E54" s="32">
        <v>46113</v>
      </c>
      <c r="F54" s="9">
        <v>2871.8507999999997</v>
      </c>
      <c r="G54" s="5">
        <f t="shared" ca="1" si="105"/>
        <v>5.6527545959023796E-2</v>
      </c>
      <c r="H54" s="5">
        <f t="shared" ca="1" si="106"/>
        <v>6.3456358121283529E-3</v>
      </c>
      <c r="I54" s="9">
        <f t="shared" ca="1" si="107"/>
        <v>114639.60300749396</v>
      </c>
      <c r="K54" s="6">
        <v>50</v>
      </c>
      <c r="L54" s="5">
        <v>361654.37029755954</v>
      </c>
      <c r="N54" s="32">
        <v>46082</v>
      </c>
      <c r="O54" s="5">
        <f t="shared" ca="1" si="108"/>
        <v>6.7908430629268031E-3</v>
      </c>
      <c r="P54" s="5">
        <f t="shared" ca="1" si="109"/>
        <v>6.4871262476559263E-3</v>
      </c>
      <c r="Q54" s="5">
        <f t="shared" ca="1" si="110"/>
        <v>6.665018715853714E-3</v>
      </c>
      <c r="R54" s="5">
        <f t="shared" ca="1" si="111"/>
        <v>6.483148419971419E-3</v>
      </c>
      <c r="S54" s="5">
        <f t="shared" ca="1" si="112"/>
        <v>6.2720390390123464E-3</v>
      </c>
      <c r="T54" s="5">
        <f t="shared" ca="1" si="113"/>
        <v>5.827530214614394E-3</v>
      </c>
      <c r="U54" s="5">
        <f t="shared" ca="1" si="114"/>
        <v>6.7099076004513095E-3</v>
      </c>
      <c r="V54" s="5">
        <f t="shared" ca="1" si="115"/>
        <v>6.8281658942503324E-3</v>
      </c>
      <c r="W54" s="5">
        <f t="shared" ca="1" si="116"/>
        <v>6.7846543082515321E-3</v>
      </c>
      <c r="X54" s="5">
        <f t="shared" ca="1" si="117"/>
        <v>6.8817078799558104E-3</v>
      </c>
      <c r="Y54" s="5">
        <f t="shared" ca="1" si="118"/>
        <v>6.5717451314954113E-3</v>
      </c>
      <c r="Z54" s="5">
        <f t="shared" ca="1" si="119"/>
        <v>6.9272935146548345E-3</v>
      </c>
      <c r="AA54" s="5">
        <f t="shared" ca="1" si="120"/>
        <v>6.592428217906625E-3</v>
      </c>
      <c r="AB54" s="5">
        <f t="shared" ca="1" si="121"/>
        <v>7.2234585856803075E-3</v>
      </c>
      <c r="AC54" s="5">
        <f t="shared" ca="1" si="122"/>
        <v>7.035283576824653E-3</v>
      </c>
      <c r="AD54" s="5">
        <f t="shared" ca="1" si="123"/>
        <v>6.659675763528685E-3</v>
      </c>
      <c r="AE54" s="5">
        <f t="shared" ca="1" si="124"/>
        <v>6.9111802714455781E-3</v>
      </c>
      <c r="AF54" s="5">
        <f t="shared" ca="1" si="125"/>
        <v>6.3179121441777506E-3</v>
      </c>
      <c r="AG54" s="5">
        <f t="shared" ca="1" si="126"/>
        <v>6.534141192222136E-3</v>
      </c>
      <c r="AH54" s="5">
        <f t="shared" ca="1" si="127"/>
        <v>6.3959172705781364E-3</v>
      </c>
      <c r="AI54" s="5">
        <f t="shared" ca="1" si="128"/>
        <v>7.0799875993053417E-3</v>
      </c>
      <c r="AJ54" s="5">
        <f t="shared" ca="1" si="129"/>
        <v>6.5016135281943058E-3</v>
      </c>
      <c r="AK54" s="5">
        <f t="shared" ca="1" si="130"/>
        <v>6.7332862002412964E-3</v>
      </c>
      <c r="AL54" s="5">
        <f t="shared" ca="1" si="131"/>
        <v>6.5464657858098612E-3</v>
      </c>
      <c r="AM54" s="5">
        <f t="shared" ca="1" si="132"/>
        <v>6.754815186063026E-3</v>
      </c>
      <c r="AN54" s="5">
        <f t="shared" ca="1" si="133"/>
        <v>6.7294737249810133E-3</v>
      </c>
      <c r="AO54" s="5">
        <f t="shared" ca="1" si="134"/>
        <v>7.2101929012814512E-3</v>
      </c>
      <c r="AP54" s="5">
        <f t="shared" ca="1" si="135"/>
        <v>6.4226567086992205E-3</v>
      </c>
      <c r="AQ54" s="5">
        <f t="shared" ca="1" si="136"/>
        <v>6.5235057795366268E-3</v>
      </c>
      <c r="AR54" s="5">
        <f t="shared" ca="1" si="137"/>
        <v>6.507403942953534E-3</v>
      </c>
      <c r="AS54" s="5">
        <f t="shared" ca="1" si="138"/>
        <v>6.6240092948193037E-3</v>
      </c>
      <c r="AT54" s="5">
        <f t="shared" ca="1" si="139"/>
        <v>6.2993667237415214E-3</v>
      </c>
      <c r="AU54" s="5">
        <f t="shared" ca="1" si="140"/>
        <v>6.244345615950519E-3</v>
      </c>
      <c r="AV54" s="5">
        <f t="shared" ca="1" si="141"/>
        <v>6.4674957140482929E-3</v>
      </c>
      <c r="AW54" s="5">
        <f t="shared" ca="1" si="142"/>
        <v>6.8074436147560558E-3</v>
      </c>
      <c r="AX54" s="5">
        <f t="shared" ca="1" si="143"/>
        <v>6.3023908847052454E-3</v>
      </c>
      <c r="AY54" s="5">
        <f t="shared" ca="1" si="144"/>
        <v>6.8781303491560657E-3</v>
      </c>
      <c r="AZ54" s="5">
        <f t="shared" ca="1" si="145"/>
        <v>6.5685409050056367E-3</v>
      </c>
      <c r="BA54" s="5">
        <f t="shared" ca="1" si="146"/>
        <v>6.5643761861995152E-3</v>
      </c>
      <c r="BB54" s="5">
        <f t="shared" ca="1" si="147"/>
        <v>6.8074393827199245E-3</v>
      </c>
      <c r="BC54" s="5">
        <f t="shared" ca="1" si="148"/>
        <v>6.3461137215720265E-3</v>
      </c>
      <c r="BD54" s="5">
        <f t="shared" ca="1" si="149"/>
        <v>6.5406560719515772E-3</v>
      </c>
      <c r="BE54" s="5">
        <f t="shared" ca="1" si="150"/>
        <v>7.3312854982944204E-3</v>
      </c>
      <c r="BF54" s="5">
        <f t="shared" ca="1" si="151"/>
        <v>6.8184555252423047E-3</v>
      </c>
      <c r="BG54" s="5">
        <f t="shared" ca="1" si="152"/>
        <v>6.3601380321397019E-3</v>
      </c>
      <c r="BH54" s="5">
        <f t="shared" ca="1" si="153"/>
        <v>6.2081734980739631E-3</v>
      </c>
      <c r="BI54" s="5">
        <f t="shared" ca="1" si="154"/>
        <v>7.2785653789499893E-3</v>
      </c>
      <c r="BJ54" s="5">
        <f t="shared" ca="1" si="155"/>
        <v>6.8204547706476274E-3</v>
      </c>
      <c r="BK54" s="5">
        <f t="shared" ca="1" si="156"/>
        <v>6.9433959687448046E-3</v>
      </c>
      <c r="BL54" s="5">
        <f t="shared" ca="1" si="157"/>
        <v>6.8684946583495677E-3</v>
      </c>
      <c r="BM54" s="5">
        <f t="shared" ca="1" si="158"/>
        <v>6.2072189658690822E-3</v>
      </c>
      <c r="BN54" s="5">
        <f t="shared" ca="1" si="159"/>
        <v>6.5525478970135517E-3</v>
      </c>
      <c r="BO54" s="5">
        <f t="shared" ca="1" si="160"/>
        <v>6.5612478689062326E-3</v>
      </c>
      <c r="BP54" s="5">
        <f t="shared" ca="1" si="161"/>
        <v>6.6309462145822855E-3</v>
      </c>
      <c r="BQ54" s="5">
        <f t="shared" ca="1" si="162"/>
        <v>6.2275448264353201E-3</v>
      </c>
      <c r="BR54" s="5">
        <f t="shared" ca="1" si="163"/>
        <v>6.2180347311037243E-3</v>
      </c>
      <c r="BS54" s="5">
        <f t="shared" ca="1" si="164"/>
        <v>6.9028848763208099E-3</v>
      </c>
      <c r="BT54" s="5">
        <f t="shared" ca="1" si="165"/>
        <v>6.3807617272768702E-3</v>
      </c>
      <c r="BU54" s="5">
        <f t="shared" ca="1" si="166"/>
        <v>6.8120004589882609E-3</v>
      </c>
      <c r="BV54" s="5">
        <f t="shared" ca="1" si="167"/>
        <v>6.7685546206704226E-3</v>
      </c>
      <c r="BW54" s="5">
        <f t="shared" ca="1" si="168"/>
        <v>7.0973726532119292E-3</v>
      </c>
      <c r="BX54" s="5">
        <f t="shared" ca="1" si="169"/>
        <v>6.7584416446713575E-3</v>
      </c>
      <c r="BY54" s="5">
        <f t="shared" ca="1" si="170"/>
        <v>6.4775997506194239E-3</v>
      </c>
      <c r="BZ54" s="5">
        <f t="shared" ca="1" si="171"/>
        <v>6.9735645715960515E-3</v>
      </c>
      <c r="CA54" s="5">
        <f t="shared" ca="1" si="172"/>
        <v>6.2988203980472507E-3</v>
      </c>
      <c r="CB54" s="5">
        <f t="shared" ca="1" si="173"/>
        <v>6.7221376572108591E-3</v>
      </c>
      <c r="CC54" s="5">
        <f t="shared" ca="1" si="174"/>
        <v>6.5532672008233412E-3</v>
      </c>
      <c r="CD54" s="5">
        <f t="shared" ca="1" si="175"/>
        <v>6.7329057087589421E-3</v>
      </c>
      <c r="CE54" s="5">
        <f t="shared" ca="1" si="176"/>
        <v>6.2998044044544404E-3</v>
      </c>
      <c r="CF54" s="5">
        <f t="shared" ca="1" si="177"/>
        <v>6.9540785146913961E-3</v>
      </c>
      <c r="CG54" s="5">
        <f t="shared" ca="1" si="178"/>
        <v>6.8480699188486829E-3</v>
      </c>
      <c r="CH54" s="5">
        <f t="shared" ca="1" si="179"/>
        <v>6.0331795887152125E-3</v>
      </c>
      <c r="CI54" s="5">
        <f t="shared" ca="1" si="180"/>
        <v>6.7347185792868631E-3</v>
      </c>
      <c r="CJ54" s="5">
        <f t="shared" ca="1" si="181"/>
        <v>7.040674066118616E-3</v>
      </c>
      <c r="CK54" s="5">
        <f t="shared" ca="1" si="182"/>
        <v>6.6742453290140821E-3</v>
      </c>
      <c r="CL54" s="5">
        <f t="shared" ca="1" si="183"/>
        <v>6.7445275311769689E-3</v>
      </c>
      <c r="CM54" s="5">
        <f t="shared" ca="1" si="184"/>
        <v>6.9567029672419666E-3</v>
      </c>
      <c r="CN54" s="5">
        <f t="shared" ca="1" si="185"/>
        <v>6.835132140089204E-3</v>
      </c>
      <c r="CO54" s="5">
        <f t="shared" ca="1" si="186"/>
        <v>6.8590462464653027E-3</v>
      </c>
      <c r="CP54" s="5">
        <f t="shared" ca="1" si="187"/>
        <v>7.0219824381279267E-3</v>
      </c>
      <c r="CQ54" s="5">
        <f t="shared" ca="1" si="188"/>
        <v>6.9866390833950012E-3</v>
      </c>
      <c r="CR54" s="5">
        <f t="shared" ca="1" si="189"/>
        <v>6.7021145782036762E-3</v>
      </c>
      <c r="CS54" s="5">
        <f t="shared" ca="1" si="190"/>
        <v>6.8667386331379004E-3</v>
      </c>
      <c r="CT54" s="5">
        <f t="shared" ca="1" si="191"/>
        <v>7.3099419528172473E-3</v>
      </c>
      <c r="CU54" s="5">
        <f t="shared" ca="1" si="192"/>
        <v>6.4589442899669345E-3</v>
      </c>
      <c r="CV54" s="5">
        <f t="shared" ca="1" si="193"/>
        <v>6.6547452538787306E-3</v>
      </c>
      <c r="CW54" s="5">
        <f t="shared" ca="1" si="194"/>
        <v>6.4323747020329329E-3</v>
      </c>
      <c r="CX54" s="5">
        <f t="shared" ca="1" si="195"/>
        <v>6.1983205453263615E-3</v>
      </c>
      <c r="CY54" s="5">
        <f t="shared" ca="1" si="196"/>
        <v>6.448426387879117E-3</v>
      </c>
      <c r="CZ54" s="5">
        <f t="shared" ca="1" si="197"/>
        <v>6.2299804265626511E-3</v>
      </c>
      <c r="DA54" s="5">
        <f t="shared" ca="1" si="198"/>
        <v>6.8745634518262485E-3</v>
      </c>
      <c r="DB54" s="5">
        <f t="shared" ca="1" si="199"/>
        <v>6.7934852633498447E-3</v>
      </c>
      <c r="DC54" s="5">
        <f t="shared" ca="1" si="200"/>
        <v>6.8355948093766061E-3</v>
      </c>
      <c r="DD54" s="5">
        <f t="shared" ca="1" si="201"/>
        <v>6.4723508268556031E-3</v>
      </c>
      <c r="DE54" s="5">
        <f t="shared" ca="1" si="202"/>
        <v>6.3872045250659435E-3</v>
      </c>
      <c r="DF54" s="5">
        <f t="shared" ca="1" si="203"/>
        <v>6.4523004912418278E-3</v>
      </c>
      <c r="DG54" s="5">
        <f t="shared" ca="1" si="204"/>
        <v>6.5535040422480756E-3</v>
      </c>
      <c r="DH54" s="5">
        <f t="shared" ca="1" si="205"/>
        <v>6.9308822205611607E-3</v>
      </c>
      <c r="DI54" s="5">
        <f t="shared" ca="1" si="206"/>
        <v>6.7305483492141648E-3</v>
      </c>
      <c r="DJ54" s="5">
        <f t="shared" ca="1" si="207"/>
        <v>6.8860556503214376E-3</v>
      </c>
    </row>
    <row r="55" spans="5:114" outlineLevel="1" x14ac:dyDescent="0.2">
      <c r="E55" s="32">
        <v>46143</v>
      </c>
      <c r="F55" s="9">
        <v>2871.8507999999997</v>
      </c>
      <c r="G55" s="5">
        <f t="shared" ca="1" si="105"/>
        <v>-0.17944864197683155</v>
      </c>
      <c r="H55" s="5">
        <f t="shared" ca="1" si="106"/>
        <v>6.3805475187450585E-3</v>
      </c>
      <c r="I55" s="9">
        <f t="shared" ca="1" si="107"/>
        <v>117572.425301914</v>
      </c>
      <c r="K55" s="6">
        <v>51</v>
      </c>
      <c r="L55" s="5">
        <v>362592.17453342379</v>
      </c>
      <c r="N55" s="32">
        <v>46113</v>
      </c>
      <c r="O55" s="5">
        <f t="shared" ca="1" si="108"/>
        <v>6.8201003802866606E-3</v>
      </c>
      <c r="P55" s="5">
        <f t="shared" ca="1" si="109"/>
        <v>6.5406111663368618E-3</v>
      </c>
      <c r="Q55" s="5">
        <f t="shared" ca="1" si="110"/>
        <v>6.6310684606517463E-3</v>
      </c>
      <c r="R55" s="5">
        <f t="shared" ca="1" si="111"/>
        <v>6.3447201018296418E-3</v>
      </c>
      <c r="S55" s="5">
        <f t="shared" ca="1" si="112"/>
        <v>6.3079603085547716E-3</v>
      </c>
      <c r="T55" s="5">
        <f t="shared" ca="1" si="113"/>
        <v>5.8520998033476683E-3</v>
      </c>
      <c r="U55" s="5">
        <f t="shared" ca="1" si="114"/>
        <v>6.8314652769612535E-3</v>
      </c>
      <c r="V55" s="5">
        <f t="shared" ca="1" si="115"/>
        <v>6.7679333853524959E-3</v>
      </c>
      <c r="W55" s="5">
        <f t="shared" ca="1" si="116"/>
        <v>6.8141406363159927E-3</v>
      </c>
      <c r="X55" s="5">
        <f t="shared" ca="1" si="117"/>
        <v>6.8949337801756626E-3</v>
      </c>
      <c r="Y55" s="5">
        <f t="shared" ca="1" si="118"/>
        <v>6.5452785134608752E-3</v>
      </c>
      <c r="Z55" s="5">
        <f t="shared" ca="1" si="119"/>
        <v>6.8705179564335951E-3</v>
      </c>
      <c r="AA55" s="5">
        <f t="shared" ca="1" si="120"/>
        <v>6.6168141947535722E-3</v>
      </c>
      <c r="AB55" s="5">
        <f t="shared" ca="1" si="121"/>
        <v>7.2011863130872255E-3</v>
      </c>
      <c r="AC55" s="5">
        <f t="shared" ca="1" si="122"/>
        <v>7.0541587810157283E-3</v>
      </c>
      <c r="AD55" s="5">
        <f t="shared" ca="1" si="123"/>
        <v>6.6003310763157802E-3</v>
      </c>
      <c r="AE55" s="5">
        <f t="shared" ca="1" si="124"/>
        <v>6.9081046039506343E-3</v>
      </c>
      <c r="AF55" s="5">
        <f t="shared" ca="1" si="125"/>
        <v>6.4013153626384899E-3</v>
      </c>
      <c r="AG55" s="5">
        <f t="shared" ca="1" si="126"/>
        <v>6.5544340113406294E-3</v>
      </c>
      <c r="AH55" s="5">
        <f t="shared" ca="1" si="127"/>
        <v>6.3604730139685912E-3</v>
      </c>
      <c r="AI55" s="5">
        <f t="shared" ca="1" si="128"/>
        <v>7.016702143434069E-3</v>
      </c>
      <c r="AJ55" s="5">
        <f t="shared" ca="1" si="129"/>
        <v>6.5220514327563039E-3</v>
      </c>
      <c r="AK55" s="5">
        <f t="shared" ca="1" si="130"/>
        <v>6.7755092482497097E-3</v>
      </c>
      <c r="AL55" s="5">
        <f t="shared" ca="1" si="131"/>
        <v>6.5557694305187078E-3</v>
      </c>
      <c r="AM55" s="5">
        <f t="shared" ca="1" si="132"/>
        <v>6.7703853426097594E-3</v>
      </c>
      <c r="AN55" s="5">
        <f t="shared" ca="1" si="133"/>
        <v>6.6712634262140399E-3</v>
      </c>
      <c r="AO55" s="5">
        <f t="shared" ca="1" si="134"/>
        <v>7.2103700888960925E-3</v>
      </c>
      <c r="AP55" s="5">
        <f t="shared" ca="1" si="135"/>
        <v>6.3954842765042083E-3</v>
      </c>
      <c r="AQ55" s="5">
        <f t="shared" ca="1" si="136"/>
        <v>6.5028388258232157E-3</v>
      </c>
      <c r="AR55" s="5">
        <f t="shared" ca="1" si="137"/>
        <v>6.4429736666233974E-3</v>
      </c>
      <c r="AS55" s="5">
        <f t="shared" ca="1" si="138"/>
        <v>6.6842697967055232E-3</v>
      </c>
      <c r="AT55" s="5">
        <f t="shared" ca="1" si="139"/>
        <v>6.2488856352444846E-3</v>
      </c>
      <c r="AU55" s="5">
        <f t="shared" ca="1" si="140"/>
        <v>6.2371013076440744E-3</v>
      </c>
      <c r="AV55" s="5">
        <f t="shared" ca="1" si="141"/>
        <v>6.4199965715843544E-3</v>
      </c>
      <c r="AW55" s="5">
        <f t="shared" ca="1" si="142"/>
        <v>6.7982270877507776E-3</v>
      </c>
      <c r="AX55" s="5">
        <f t="shared" ca="1" si="143"/>
        <v>6.320715335254962E-3</v>
      </c>
      <c r="AY55" s="5">
        <f t="shared" ca="1" si="144"/>
        <v>6.8360420779622578E-3</v>
      </c>
      <c r="AZ55" s="5">
        <f t="shared" ca="1" si="145"/>
        <v>6.6619757701491906E-3</v>
      </c>
      <c r="BA55" s="5">
        <f t="shared" ca="1" si="146"/>
        <v>6.5663023134069172E-3</v>
      </c>
      <c r="BB55" s="5">
        <f t="shared" ca="1" si="147"/>
        <v>6.82975725104892E-3</v>
      </c>
      <c r="BC55" s="5">
        <f t="shared" ca="1" si="148"/>
        <v>6.2898256380599865E-3</v>
      </c>
      <c r="BD55" s="5">
        <f t="shared" ca="1" si="149"/>
        <v>6.5315115407185726E-3</v>
      </c>
      <c r="BE55" s="5">
        <f t="shared" ca="1" si="150"/>
        <v>7.3208795490210385E-3</v>
      </c>
      <c r="BF55" s="5">
        <f t="shared" ca="1" si="151"/>
        <v>6.8378052420183782E-3</v>
      </c>
      <c r="BG55" s="5">
        <f t="shared" ca="1" si="152"/>
        <v>6.3644670110307756E-3</v>
      </c>
      <c r="BH55" s="5">
        <f t="shared" ca="1" si="153"/>
        <v>6.1980163700502376E-3</v>
      </c>
      <c r="BI55" s="5">
        <f t="shared" ca="1" si="154"/>
        <v>7.2541399167072099E-3</v>
      </c>
      <c r="BJ55" s="5">
        <f t="shared" ca="1" si="155"/>
        <v>6.8964821347316718E-3</v>
      </c>
      <c r="BK55" s="5">
        <f t="shared" ca="1" si="156"/>
        <v>6.9013741483816178E-3</v>
      </c>
      <c r="BL55" s="5">
        <f t="shared" ca="1" si="157"/>
        <v>6.898963912189522E-3</v>
      </c>
      <c r="BM55" s="5">
        <f t="shared" ca="1" si="158"/>
        <v>6.2714782714284158E-3</v>
      </c>
      <c r="BN55" s="5">
        <f t="shared" ca="1" si="159"/>
        <v>6.5725816496318154E-3</v>
      </c>
      <c r="BO55" s="5">
        <f t="shared" ca="1" si="160"/>
        <v>6.5940402945110187E-3</v>
      </c>
      <c r="BP55" s="5">
        <f t="shared" ca="1" si="161"/>
        <v>6.6041865612042616E-3</v>
      </c>
      <c r="BQ55" s="5">
        <f t="shared" ca="1" si="162"/>
        <v>6.2686187924927668E-3</v>
      </c>
      <c r="BR55" s="5">
        <f t="shared" ca="1" si="163"/>
        <v>6.2046454124598735E-3</v>
      </c>
      <c r="BS55" s="5">
        <f t="shared" ca="1" si="164"/>
        <v>6.8845546609238358E-3</v>
      </c>
      <c r="BT55" s="5">
        <f t="shared" ca="1" si="165"/>
        <v>6.3720662080821184E-3</v>
      </c>
      <c r="BU55" s="5">
        <f t="shared" ca="1" si="166"/>
        <v>6.7943802808769641E-3</v>
      </c>
      <c r="BV55" s="5">
        <f t="shared" ca="1" si="167"/>
        <v>6.8119388775297407E-3</v>
      </c>
      <c r="BW55" s="5">
        <f t="shared" ca="1" si="168"/>
        <v>7.0880312250709834E-3</v>
      </c>
      <c r="BX55" s="5">
        <f t="shared" ca="1" si="169"/>
        <v>6.7954770652256368E-3</v>
      </c>
      <c r="BY55" s="5">
        <f t="shared" ca="1" si="170"/>
        <v>6.4825276484380759E-3</v>
      </c>
      <c r="BZ55" s="5">
        <f t="shared" ca="1" si="171"/>
        <v>6.9916966098368004E-3</v>
      </c>
      <c r="CA55" s="5">
        <f t="shared" ca="1" si="172"/>
        <v>6.3314048092290394E-3</v>
      </c>
      <c r="CB55" s="5">
        <f t="shared" ca="1" si="173"/>
        <v>6.5941253317407219E-3</v>
      </c>
      <c r="CC55" s="5">
        <f t="shared" ca="1" si="174"/>
        <v>6.5779473624251166E-3</v>
      </c>
      <c r="CD55" s="5">
        <f t="shared" ca="1" si="175"/>
        <v>6.7665747996788978E-3</v>
      </c>
      <c r="CE55" s="5">
        <f t="shared" ca="1" si="176"/>
        <v>6.3008880978508612E-3</v>
      </c>
      <c r="CF55" s="5">
        <f t="shared" ca="1" si="177"/>
        <v>7.0018244100787498E-3</v>
      </c>
      <c r="CG55" s="5">
        <f t="shared" ca="1" si="178"/>
        <v>6.8913808549153086E-3</v>
      </c>
      <c r="CH55" s="5">
        <f t="shared" ca="1" si="179"/>
        <v>6.0538152272161068E-3</v>
      </c>
      <c r="CI55" s="5">
        <f t="shared" ca="1" si="180"/>
        <v>6.7342617604525309E-3</v>
      </c>
      <c r="CJ55" s="5">
        <f t="shared" ca="1" si="181"/>
        <v>7.1058790848616054E-3</v>
      </c>
      <c r="CK55" s="5">
        <f t="shared" ca="1" si="182"/>
        <v>6.6498769136231206E-3</v>
      </c>
      <c r="CL55" s="5">
        <f t="shared" ca="1" si="183"/>
        <v>6.7267052656050383E-3</v>
      </c>
      <c r="CM55" s="5">
        <f t="shared" ca="1" si="184"/>
        <v>6.9924120477909942E-3</v>
      </c>
      <c r="CN55" s="5">
        <f t="shared" ca="1" si="185"/>
        <v>6.9375293368059273E-3</v>
      </c>
      <c r="CO55" s="5">
        <f t="shared" ca="1" si="186"/>
        <v>6.8462415954871824E-3</v>
      </c>
      <c r="CP55" s="5">
        <f t="shared" ca="1" si="187"/>
        <v>7.0054850585586576E-3</v>
      </c>
      <c r="CQ55" s="5">
        <f t="shared" ca="1" si="188"/>
        <v>6.9969828498932518E-3</v>
      </c>
      <c r="CR55" s="5">
        <f t="shared" ca="1" si="189"/>
        <v>6.5985566164497413E-3</v>
      </c>
      <c r="CS55" s="5">
        <f t="shared" ca="1" si="190"/>
        <v>6.8148879700743268E-3</v>
      </c>
      <c r="CT55" s="5">
        <f t="shared" ca="1" si="191"/>
        <v>7.3191484397076489E-3</v>
      </c>
      <c r="CU55" s="5">
        <f t="shared" ca="1" si="192"/>
        <v>6.5073235819772292E-3</v>
      </c>
      <c r="CV55" s="5">
        <f t="shared" ca="1" si="193"/>
        <v>6.6565556239512186E-3</v>
      </c>
      <c r="CW55" s="5">
        <f t="shared" ca="1" si="194"/>
        <v>6.3783132691430291E-3</v>
      </c>
      <c r="CX55" s="5">
        <f t="shared" ca="1" si="195"/>
        <v>6.1860014541498028E-3</v>
      </c>
      <c r="CY55" s="5">
        <f t="shared" ca="1" si="196"/>
        <v>6.4915049198933121E-3</v>
      </c>
      <c r="CZ55" s="5">
        <f t="shared" ca="1" si="197"/>
        <v>6.2031396619752557E-3</v>
      </c>
      <c r="DA55" s="5">
        <f t="shared" ca="1" si="198"/>
        <v>6.8600383444951023E-3</v>
      </c>
      <c r="DB55" s="5">
        <f t="shared" ca="1" si="199"/>
        <v>6.805665217647249E-3</v>
      </c>
      <c r="DC55" s="5">
        <f t="shared" ca="1" si="200"/>
        <v>6.8218127973733254E-3</v>
      </c>
      <c r="DD55" s="5">
        <f t="shared" ca="1" si="201"/>
        <v>6.4179095279525379E-3</v>
      </c>
      <c r="DE55" s="5">
        <f t="shared" ca="1" si="202"/>
        <v>6.4545528908381477E-3</v>
      </c>
      <c r="DF55" s="5">
        <f t="shared" ca="1" si="203"/>
        <v>6.4538453798552321E-3</v>
      </c>
      <c r="DG55" s="5">
        <f t="shared" ca="1" si="204"/>
        <v>6.5879884770730576E-3</v>
      </c>
      <c r="DH55" s="5">
        <f t="shared" ca="1" si="205"/>
        <v>6.8935747608488938E-3</v>
      </c>
      <c r="DI55" s="5">
        <f t="shared" ca="1" si="206"/>
        <v>6.7464981415479956E-3</v>
      </c>
      <c r="DJ55" s="5">
        <f t="shared" ca="1" si="207"/>
        <v>6.8675752665652168E-3</v>
      </c>
    </row>
    <row r="56" spans="5:114" outlineLevel="1" x14ac:dyDescent="0.2">
      <c r="E56" s="32">
        <v>46174</v>
      </c>
      <c r="F56" s="9">
        <v>2871.8507999999997</v>
      </c>
      <c r="G56" s="5">
        <f t="shared" ca="1" si="105"/>
        <v>-4.9948723056966474E-2</v>
      </c>
      <c r="H56" s="5">
        <f t="shared" ca="1" si="106"/>
        <v>6.2933237351660565E-3</v>
      </c>
      <c r="I56" s="9">
        <f t="shared" ca="1" si="107"/>
        <v>120505.95238459708</v>
      </c>
      <c r="K56" s="6">
        <v>52</v>
      </c>
      <c r="L56" s="5">
        <v>362917.02140410419</v>
      </c>
      <c r="N56" s="32">
        <v>46143</v>
      </c>
      <c r="O56" s="5">
        <f t="shared" ca="1" si="108"/>
        <v>6.791089540471233E-3</v>
      </c>
      <c r="P56" s="5">
        <f t="shared" ca="1" si="109"/>
        <v>6.5636253934341499E-3</v>
      </c>
      <c r="Q56" s="5">
        <f t="shared" ca="1" si="110"/>
        <v>6.6175328035748609E-3</v>
      </c>
      <c r="R56" s="5">
        <f t="shared" ca="1" si="111"/>
        <v>6.3851845083120386E-3</v>
      </c>
      <c r="S56" s="5">
        <f t="shared" ca="1" si="112"/>
        <v>6.2864248901802504E-3</v>
      </c>
      <c r="T56" s="5">
        <f t="shared" ca="1" si="113"/>
        <v>5.8259418501641468E-3</v>
      </c>
      <c r="U56" s="5">
        <f t="shared" ca="1" si="114"/>
        <v>6.9069491403196083E-3</v>
      </c>
      <c r="V56" s="5">
        <f t="shared" ca="1" si="115"/>
        <v>6.7706611323098617E-3</v>
      </c>
      <c r="W56" s="5">
        <f t="shared" ca="1" si="116"/>
        <v>6.7948081728064352E-3</v>
      </c>
      <c r="X56" s="5">
        <f t="shared" ca="1" si="117"/>
        <v>6.907432405526135E-3</v>
      </c>
      <c r="Y56" s="5">
        <f t="shared" ca="1" si="118"/>
        <v>6.5564078442422995E-3</v>
      </c>
      <c r="Z56" s="5">
        <f t="shared" ca="1" si="119"/>
        <v>6.8527347469969462E-3</v>
      </c>
      <c r="AA56" s="5">
        <f t="shared" ca="1" si="120"/>
        <v>6.6140936941897349E-3</v>
      </c>
      <c r="AB56" s="5">
        <f t="shared" ca="1" si="121"/>
        <v>7.2259611049903267E-3</v>
      </c>
      <c r="AC56" s="5">
        <f t="shared" ca="1" si="122"/>
        <v>7.0447255604755054E-3</v>
      </c>
      <c r="AD56" s="5">
        <f t="shared" ca="1" si="123"/>
        <v>6.4952112341917926E-3</v>
      </c>
      <c r="AE56" s="5">
        <f t="shared" ca="1" si="124"/>
        <v>6.9296274115129911E-3</v>
      </c>
      <c r="AF56" s="5">
        <f t="shared" ca="1" si="125"/>
        <v>6.4089119816328043E-3</v>
      </c>
      <c r="AG56" s="5">
        <f t="shared" ca="1" si="126"/>
        <v>6.5508360779004482E-3</v>
      </c>
      <c r="AH56" s="5">
        <f t="shared" ca="1" si="127"/>
        <v>6.361116299549479E-3</v>
      </c>
      <c r="AI56" s="5">
        <f t="shared" ca="1" si="128"/>
        <v>6.9794609430585356E-3</v>
      </c>
      <c r="AJ56" s="5">
        <f t="shared" ca="1" si="129"/>
        <v>6.5128515851929384E-3</v>
      </c>
      <c r="AK56" s="5">
        <f t="shared" ca="1" si="130"/>
        <v>6.8419960895812169E-3</v>
      </c>
      <c r="AL56" s="5">
        <f t="shared" ca="1" si="131"/>
        <v>6.5458991611156E-3</v>
      </c>
      <c r="AM56" s="5">
        <f t="shared" ca="1" si="132"/>
        <v>6.7308627181558731E-3</v>
      </c>
      <c r="AN56" s="5">
        <f t="shared" ca="1" si="133"/>
        <v>6.6711986252517824E-3</v>
      </c>
      <c r="AO56" s="5">
        <f t="shared" ca="1" si="134"/>
        <v>7.3076214435472981E-3</v>
      </c>
      <c r="AP56" s="5">
        <f t="shared" ca="1" si="135"/>
        <v>6.4513968684938748E-3</v>
      </c>
      <c r="AQ56" s="5">
        <f t="shared" ca="1" si="136"/>
        <v>6.4517233735730739E-3</v>
      </c>
      <c r="AR56" s="5">
        <f t="shared" ca="1" si="137"/>
        <v>6.4827202263030301E-3</v>
      </c>
      <c r="AS56" s="5">
        <f t="shared" ca="1" si="138"/>
        <v>6.7287488528263778E-3</v>
      </c>
      <c r="AT56" s="5">
        <f t="shared" ca="1" si="139"/>
        <v>6.2157056492549972E-3</v>
      </c>
      <c r="AU56" s="5">
        <f t="shared" ca="1" si="140"/>
        <v>6.2743135467662418E-3</v>
      </c>
      <c r="AV56" s="5">
        <f t="shared" ca="1" si="141"/>
        <v>6.458589018707459E-3</v>
      </c>
      <c r="AW56" s="5">
        <f t="shared" ca="1" si="142"/>
        <v>6.8117207676876429E-3</v>
      </c>
      <c r="AX56" s="5">
        <f t="shared" ca="1" si="143"/>
        <v>6.3460225706790342E-3</v>
      </c>
      <c r="AY56" s="5">
        <f t="shared" ca="1" si="144"/>
        <v>6.7350845055810351E-3</v>
      </c>
      <c r="AZ56" s="5">
        <f t="shared" ca="1" si="145"/>
        <v>6.6588744832236828E-3</v>
      </c>
      <c r="BA56" s="5">
        <f t="shared" ca="1" si="146"/>
        <v>6.5344948952611127E-3</v>
      </c>
      <c r="BB56" s="5">
        <f t="shared" ca="1" si="147"/>
        <v>6.7956881970647779E-3</v>
      </c>
      <c r="BC56" s="5">
        <f t="shared" ca="1" si="148"/>
        <v>6.2430705782462216E-3</v>
      </c>
      <c r="BD56" s="5">
        <f t="shared" ca="1" si="149"/>
        <v>6.49220381659387E-3</v>
      </c>
      <c r="BE56" s="5">
        <f t="shared" ca="1" si="150"/>
        <v>7.3555536813752764E-3</v>
      </c>
      <c r="BF56" s="5">
        <f t="shared" ca="1" si="151"/>
        <v>6.8945724383014887E-3</v>
      </c>
      <c r="BG56" s="5">
        <f t="shared" ca="1" si="152"/>
        <v>6.3344745744265442E-3</v>
      </c>
      <c r="BH56" s="5">
        <f t="shared" ca="1" si="153"/>
        <v>6.2571847991296347E-3</v>
      </c>
      <c r="BI56" s="5">
        <f t="shared" ca="1" si="154"/>
        <v>7.2160323602448607E-3</v>
      </c>
      <c r="BJ56" s="5">
        <f t="shared" ca="1" si="155"/>
        <v>6.8402287746850724E-3</v>
      </c>
      <c r="BK56" s="5">
        <f t="shared" ca="1" si="156"/>
        <v>6.8398210209231211E-3</v>
      </c>
      <c r="BL56" s="5">
        <f t="shared" ca="1" si="157"/>
        <v>6.9467295930728118E-3</v>
      </c>
      <c r="BM56" s="5">
        <f t="shared" ca="1" si="158"/>
        <v>6.276453796381371E-3</v>
      </c>
      <c r="BN56" s="5">
        <f t="shared" ca="1" si="159"/>
        <v>6.5973768556567653E-3</v>
      </c>
      <c r="BO56" s="5">
        <f t="shared" ca="1" si="160"/>
        <v>6.6750534974785386E-3</v>
      </c>
      <c r="BP56" s="5">
        <f t="shared" ca="1" si="161"/>
        <v>6.5860965451651349E-3</v>
      </c>
      <c r="BQ56" s="5">
        <f t="shared" ca="1" si="162"/>
        <v>6.2462548784623815E-3</v>
      </c>
      <c r="BR56" s="5">
        <f t="shared" ca="1" si="163"/>
        <v>6.2250021996549144E-3</v>
      </c>
      <c r="BS56" s="5">
        <f t="shared" ca="1" si="164"/>
        <v>6.8413779707480514E-3</v>
      </c>
      <c r="BT56" s="5">
        <f t="shared" ca="1" si="165"/>
        <v>6.2608917019377685E-3</v>
      </c>
      <c r="BU56" s="5">
        <f t="shared" ca="1" si="166"/>
        <v>6.7860463177705378E-3</v>
      </c>
      <c r="BV56" s="5">
        <f t="shared" ca="1" si="167"/>
        <v>6.8230739454698732E-3</v>
      </c>
      <c r="BW56" s="5">
        <f t="shared" ca="1" si="168"/>
        <v>7.0788450232741199E-3</v>
      </c>
      <c r="BX56" s="5">
        <f t="shared" ca="1" si="169"/>
        <v>6.8277592921682749E-3</v>
      </c>
      <c r="BY56" s="5">
        <f t="shared" ca="1" si="170"/>
        <v>6.480486327386948E-3</v>
      </c>
      <c r="BZ56" s="5">
        <f t="shared" ca="1" si="171"/>
        <v>6.9857347543951214E-3</v>
      </c>
      <c r="CA56" s="5">
        <f t="shared" ca="1" si="172"/>
        <v>6.2274053821983096E-3</v>
      </c>
      <c r="CB56" s="5">
        <f t="shared" ca="1" si="173"/>
        <v>6.6122792856408647E-3</v>
      </c>
      <c r="CC56" s="5">
        <f t="shared" ca="1" si="174"/>
        <v>6.5493893655377512E-3</v>
      </c>
      <c r="CD56" s="5">
        <f t="shared" ca="1" si="175"/>
        <v>6.7646055340789242E-3</v>
      </c>
      <c r="CE56" s="5">
        <f t="shared" ca="1" si="176"/>
        <v>6.3859439775203856E-3</v>
      </c>
      <c r="CF56" s="5">
        <f t="shared" ca="1" si="177"/>
        <v>6.93642355673545E-3</v>
      </c>
      <c r="CG56" s="5">
        <f t="shared" ca="1" si="178"/>
        <v>6.8557089158498953E-3</v>
      </c>
      <c r="CH56" s="5">
        <f t="shared" ca="1" si="179"/>
        <v>6.0190546545195863E-3</v>
      </c>
      <c r="CI56" s="5">
        <f t="shared" ca="1" si="180"/>
        <v>6.707084843797932E-3</v>
      </c>
      <c r="CJ56" s="5">
        <f t="shared" ca="1" si="181"/>
        <v>7.05580861842167E-3</v>
      </c>
      <c r="CK56" s="5">
        <f t="shared" ca="1" si="182"/>
        <v>6.6556891113552482E-3</v>
      </c>
      <c r="CL56" s="5">
        <f t="shared" ca="1" si="183"/>
        <v>6.7259071892083024E-3</v>
      </c>
      <c r="CM56" s="5">
        <f t="shared" ca="1" si="184"/>
        <v>7.0531505880868728E-3</v>
      </c>
      <c r="CN56" s="5">
        <f t="shared" ca="1" si="185"/>
        <v>6.9269402618177831E-3</v>
      </c>
      <c r="CO56" s="5">
        <f t="shared" ca="1" si="186"/>
        <v>6.8088883289715721E-3</v>
      </c>
      <c r="CP56" s="5">
        <f t="shared" ca="1" si="187"/>
        <v>6.9729085178200688E-3</v>
      </c>
      <c r="CQ56" s="5">
        <f t="shared" ca="1" si="188"/>
        <v>7.0319790061132877E-3</v>
      </c>
      <c r="CR56" s="5">
        <f t="shared" ca="1" si="189"/>
        <v>6.6743816344232605E-3</v>
      </c>
      <c r="CS56" s="5">
        <f t="shared" ca="1" si="190"/>
        <v>6.8868784866235799E-3</v>
      </c>
      <c r="CT56" s="5">
        <f t="shared" ca="1" si="191"/>
        <v>7.3136140687744414E-3</v>
      </c>
      <c r="CU56" s="5">
        <f t="shared" ca="1" si="192"/>
        <v>6.5030966667367126E-3</v>
      </c>
      <c r="CV56" s="5">
        <f t="shared" ca="1" si="193"/>
        <v>6.5905236492941142E-3</v>
      </c>
      <c r="CW56" s="5">
        <f t="shared" ca="1" si="194"/>
        <v>6.3480486909809602E-3</v>
      </c>
      <c r="CX56" s="5">
        <f t="shared" ca="1" si="195"/>
        <v>6.121942592119625E-3</v>
      </c>
      <c r="CY56" s="5">
        <f t="shared" ca="1" si="196"/>
        <v>6.5371376358942471E-3</v>
      </c>
      <c r="CZ56" s="5">
        <f t="shared" ca="1" si="197"/>
        <v>6.1729126775809844E-3</v>
      </c>
      <c r="DA56" s="5">
        <f t="shared" ca="1" si="198"/>
        <v>6.95392589307207E-3</v>
      </c>
      <c r="DB56" s="5">
        <f t="shared" ca="1" si="199"/>
        <v>6.8427618390417668E-3</v>
      </c>
      <c r="DC56" s="5">
        <f t="shared" ca="1" si="200"/>
        <v>6.8066459745475608E-3</v>
      </c>
      <c r="DD56" s="5">
        <f t="shared" ca="1" si="201"/>
        <v>6.4861630477558866E-3</v>
      </c>
      <c r="DE56" s="5">
        <f t="shared" ca="1" si="202"/>
        <v>6.4680483838466252E-3</v>
      </c>
      <c r="DF56" s="5">
        <f t="shared" ca="1" si="203"/>
        <v>6.5554298787863742E-3</v>
      </c>
      <c r="DG56" s="5">
        <f t="shared" ca="1" si="204"/>
        <v>6.6649954231577276E-3</v>
      </c>
      <c r="DH56" s="5">
        <f t="shared" ca="1" si="205"/>
        <v>6.8318555024218727E-3</v>
      </c>
      <c r="DI56" s="5">
        <f t="shared" ca="1" si="206"/>
        <v>6.772715260884684E-3</v>
      </c>
      <c r="DJ56" s="5">
        <f t="shared" ca="1" si="207"/>
        <v>6.9539367089952358E-3</v>
      </c>
    </row>
    <row r="57" spans="5:114" outlineLevel="1" x14ac:dyDescent="0.2">
      <c r="E57" s="32">
        <v>46204</v>
      </c>
      <c r="F57" s="9">
        <v>2871.8507999999997</v>
      </c>
      <c r="G57" s="5">
        <f t="shared" ca="1" si="105"/>
        <v>-1.2166030424305977E-2</v>
      </c>
      <c r="H57" s="5">
        <f t="shared" ca="1" si="106"/>
        <v>6.2735969943618561E-3</v>
      </c>
      <c r="I57" s="9">
        <f t="shared" ca="1" si="107"/>
        <v>123440.82013750894</v>
      </c>
      <c r="K57" s="6">
        <v>53</v>
      </c>
      <c r="L57" s="5">
        <v>362368.27543988958</v>
      </c>
      <c r="N57" s="32">
        <v>46174</v>
      </c>
      <c r="O57" s="5">
        <f t="shared" ca="1" si="108"/>
        <v>6.6885657333510167E-3</v>
      </c>
      <c r="P57" s="5">
        <f t="shared" ca="1" si="109"/>
        <v>6.5431526175196604E-3</v>
      </c>
      <c r="Q57" s="5">
        <f t="shared" ca="1" si="110"/>
        <v>6.6298808643489183E-3</v>
      </c>
      <c r="R57" s="5">
        <f t="shared" ca="1" si="111"/>
        <v>6.3739173374026976E-3</v>
      </c>
      <c r="S57" s="5">
        <f t="shared" ca="1" si="112"/>
        <v>6.225307962174167E-3</v>
      </c>
      <c r="T57" s="5">
        <f t="shared" ca="1" si="113"/>
        <v>5.8802091487520011E-3</v>
      </c>
      <c r="U57" s="5">
        <f t="shared" ca="1" si="114"/>
        <v>6.9289510853141863E-3</v>
      </c>
      <c r="V57" s="5">
        <f t="shared" ca="1" si="115"/>
        <v>6.7802902196642898E-3</v>
      </c>
      <c r="W57" s="5">
        <f t="shared" ca="1" si="116"/>
        <v>6.8200078096867017E-3</v>
      </c>
      <c r="X57" s="5">
        <f t="shared" ca="1" si="117"/>
        <v>7.0328693759515457E-3</v>
      </c>
      <c r="Y57" s="5">
        <f t="shared" ca="1" si="118"/>
        <v>6.5834769764584276E-3</v>
      </c>
      <c r="Z57" s="5">
        <f t="shared" ca="1" si="119"/>
        <v>6.8451095031973209E-3</v>
      </c>
      <c r="AA57" s="5">
        <f t="shared" ca="1" si="120"/>
        <v>6.6255756084401853E-3</v>
      </c>
      <c r="AB57" s="5">
        <f t="shared" ca="1" si="121"/>
        <v>7.1886448189554522E-3</v>
      </c>
      <c r="AC57" s="5">
        <f t="shared" ca="1" si="122"/>
        <v>7.1253471551043432E-3</v>
      </c>
      <c r="AD57" s="5">
        <f t="shared" ca="1" si="123"/>
        <v>6.4895322806413818E-3</v>
      </c>
      <c r="AE57" s="5">
        <f t="shared" ca="1" si="124"/>
        <v>6.9254851510747494E-3</v>
      </c>
      <c r="AF57" s="5">
        <f t="shared" ca="1" si="125"/>
        <v>6.4113042451507448E-3</v>
      </c>
      <c r="AG57" s="5">
        <f t="shared" ca="1" si="126"/>
        <v>6.5580116617557273E-3</v>
      </c>
      <c r="AH57" s="5">
        <f t="shared" ca="1" si="127"/>
        <v>6.3949003498782351E-3</v>
      </c>
      <c r="AI57" s="5">
        <f t="shared" ca="1" si="128"/>
        <v>6.9709515648342917E-3</v>
      </c>
      <c r="AJ57" s="5">
        <f t="shared" ca="1" si="129"/>
        <v>6.4748662911565773E-3</v>
      </c>
      <c r="AK57" s="5">
        <f t="shared" ca="1" si="130"/>
        <v>6.783123608449319E-3</v>
      </c>
      <c r="AL57" s="5">
        <f t="shared" ca="1" si="131"/>
        <v>6.4990569670495008E-3</v>
      </c>
      <c r="AM57" s="5">
        <f t="shared" ca="1" si="132"/>
        <v>6.8282340063379188E-3</v>
      </c>
      <c r="AN57" s="5">
        <f t="shared" ca="1" si="133"/>
        <v>6.6470934605308155E-3</v>
      </c>
      <c r="AO57" s="5">
        <f t="shared" ca="1" si="134"/>
        <v>7.3024244701739502E-3</v>
      </c>
      <c r="AP57" s="5">
        <f t="shared" ca="1" si="135"/>
        <v>6.5363102844199104E-3</v>
      </c>
      <c r="AQ57" s="5">
        <f t="shared" ca="1" si="136"/>
        <v>6.4634717501423607E-3</v>
      </c>
      <c r="AR57" s="5">
        <f t="shared" ca="1" si="137"/>
        <v>6.4890136993568538E-3</v>
      </c>
      <c r="AS57" s="5">
        <f t="shared" ca="1" si="138"/>
        <v>6.7441744448050742E-3</v>
      </c>
      <c r="AT57" s="5">
        <f t="shared" ca="1" si="139"/>
        <v>6.2268745732149073E-3</v>
      </c>
      <c r="AU57" s="5">
        <f t="shared" ca="1" si="140"/>
        <v>6.3395779406524742E-3</v>
      </c>
      <c r="AV57" s="5">
        <f t="shared" ca="1" si="141"/>
        <v>6.5006768098989183E-3</v>
      </c>
      <c r="AW57" s="5">
        <f t="shared" ca="1" si="142"/>
        <v>6.8484065073687126E-3</v>
      </c>
      <c r="AX57" s="5">
        <f t="shared" ca="1" si="143"/>
        <v>6.3462903649425858E-3</v>
      </c>
      <c r="AY57" s="5">
        <f t="shared" ca="1" si="144"/>
        <v>6.6897546222288414E-3</v>
      </c>
      <c r="AZ57" s="5">
        <f t="shared" ca="1" si="145"/>
        <v>6.6646455738501274E-3</v>
      </c>
      <c r="BA57" s="5">
        <f t="shared" ca="1" si="146"/>
        <v>6.5359541897574633E-3</v>
      </c>
      <c r="BB57" s="5">
        <f t="shared" ca="1" si="147"/>
        <v>6.8051955270339503E-3</v>
      </c>
      <c r="BC57" s="5">
        <f t="shared" ca="1" si="148"/>
        <v>6.2642856609972999E-3</v>
      </c>
      <c r="BD57" s="5">
        <f t="shared" ca="1" si="149"/>
        <v>6.4571505943896495E-3</v>
      </c>
      <c r="BE57" s="5">
        <f t="shared" ca="1" si="150"/>
        <v>7.375472833970052E-3</v>
      </c>
      <c r="BF57" s="5">
        <f t="shared" ca="1" si="151"/>
        <v>6.9246868733057691E-3</v>
      </c>
      <c r="BG57" s="5">
        <f t="shared" ca="1" si="152"/>
        <v>6.3440544887055543E-3</v>
      </c>
      <c r="BH57" s="5">
        <f t="shared" ca="1" si="153"/>
        <v>6.2623508180921859E-3</v>
      </c>
      <c r="BI57" s="5">
        <f t="shared" ca="1" si="154"/>
        <v>7.3007936587689698E-3</v>
      </c>
      <c r="BJ57" s="5">
        <f t="shared" ca="1" si="155"/>
        <v>6.8642150921212784E-3</v>
      </c>
      <c r="BK57" s="5">
        <f t="shared" ca="1" si="156"/>
        <v>6.813008374898958E-3</v>
      </c>
      <c r="BL57" s="5">
        <f t="shared" ca="1" si="157"/>
        <v>6.924687815439064E-3</v>
      </c>
      <c r="BM57" s="5">
        <f t="shared" ca="1" si="158"/>
        <v>6.2978489284303742E-3</v>
      </c>
      <c r="BN57" s="5">
        <f t="shared" ca="1" si="159"/>
        <v>6.6235631572696867E-3</v>
      </c>
      <c r="BO57" s="5">
        <f t="shared" ca="1" si="160"/>
        <v>6.624496501983785E-3</v>
      </c>
      <c r="BP57" s="5">
        <f t="shared" ca="1" si="161"/>
        <v>6.6322709168546729E-3</v>
      </c>
      <c r="BQ57" s="5">
        <f t="shared" ca="1" si="162"/>
        <v>6.2721507647768423E-3</v>
      </c>
      <c r="BR57" s="5">
        <f t="shared" ca="1" si="163"/>
        <v>6.2370727425717512E-3</v>
      </c>
      <c r="BS57" s="5">
        <f t="shared" ca="1" si="164"/>
        <v>6.7880359413050257E-3</v>
      </c>
      <c r="BT57" s="5">
        <f t="shared" ca="1" si="165"/>
        <v>6.301660863108129E-3</v>
      </c>
      <c r="BU57" s="5">
        <f t="shared" ca="1" si="166"/>
        <v>6.8262783283179508E-3</v>
      </c>
      <c r="BV57" s="5">
        <f t="shared" ca="1" si="167"/>
        <v>6.7517610729974998E-3</v>
      </c>
      <c r="BW57" s="5">
        <f t="shared" ca="1" si="168"/>
        <v>7.0173257659886636E-3</v>
      </c>
      <c r="BX57" s="5">
        <f t="shared" ca="1" si="169"/>
        <v>6.8253267409819456E-3</v>
      </c>
      <c r="BY57" s="5">
        <f t="shared" ca="1" si="170"/>
        <v>6.4295891548990392E-3</v>
      </c>
      <c r="BZ57" s="5">
        <f t="shared" ca="1" si="171"/>
        <v>7.01355414286457E-3</v>
      </c>
      <c r="CA57" s="5">
        <f t="shared" ca="1" si="172"/>
        <v>6.2197406679627551E-3</v>
      </c>
      <c r="CB57" s="5">
        <f t="shared" ca="1" si="173"/>
        <v>6.6039698163723884E-3</v>
      </c>
      <c r="CC57" s="5">
        <f t="shared" ca="1" si="174"/>
        <v>6.5284134073415054E-3</v>
      </c>
      <c r="CD57" s="5">
        <f t="shared" ca="1" si="175"/>
        <v>6.7174573208352659E-3</v>
      </c>
      <c r="CE57" s="5">
        <f t="shared" ca="1" si="176"/>
        <v>6.4673090557983018E-3</v>
      </c>
      <c r="CF57" s="5">
        <f t="shared" ca="1" si="177"/>
        <v>6.8804665253578588E-3</v>
      </c>
      <c r="CG57" s="5">
        <f t="shared" ca="1" si="178"/>
        <v>6.8604096003158357E-3</v>
      </c>
      <c r="CH57" s="5">
        <f t="shared" ca="1" si="179"/>
        <v>6.0713024741559773E-3</v>
      </c>
      <c r="CI57" s="5">
        <f t="shared" ca="1" si="180"/>
        <v>6.6881621944143493E-3</v>
      </c>
      <c r="CJ57" s="5">
        <f t="shared" ca="1" si="181"/>
        <v>7.0270721409731816E-3</v>
      </c>
      <c r="CK57" s="5">
        <f t="shared" ca="1" si="182"/>
        <v>6.6636846777968018E-3</v>
      </c>
      <c r="CL57" s="5">
        <f t="shared" ca="1" si="183"/>
        <v>6.753905539022954E-3</v>
      </c>
      <c r="CM57" s="5">
        <f t="shared" ca="1" si="184"/>
        <v>7.0407260929813264E-3</v>
      </c>
      <c r="CN57" s="5">
        <f t="shared" ca="1" si="185"/>
        <v>6.9443825015919015E-3</v>
      </c>
      <c r="CO57" s="5">
        <f t="shared" ca="1" si="186"/>
        <v>6.8337579505117242E-3</v>
      </c>
      <c r="CP57" s="5">
        <f t="shared" ca="1" si="187"/>
        <v>7.0801869852474492E-3</v>
      </c>
      <c r="CQ57" s="5">
        <f t="shared" ca="1" si="188"/>
        <v>7.0170960533692981E-3</v>
      </c>
      <c r="CR57" s="5">
        <f t="shared" ca="1" si="189"/>
        <v>6.6731151974775554E-3</v>
      </c>
      <c r="CS57" s="5">
        <f t="shared" ca="1" si="190"/>
        <v>6.8972044630445893E-3</v>
      </c>
      <c r="CT57" s="5">
        <f t="shared" ca="1" si="191"/>
        <v>7.3203154671948965E-3</v>
      </c>
      <c r="CU57" s="5">
        <f t="shared" ca="1" si="192"/>
        <v>6.4413434104176482E-3</v>
      </c>
      <c r="CV57" s="5">
        <f t="shared" ca="1" si="193"/>
        <v>6.6290222644641468E-3</v>
      </c>
      <c r="CW57" s="5">
        <f t="shared" ca="1" si="194"/>
        <v>6.3673767341330626E-3</v>
      </c>
      <c r="CX57" s="5">
        <f t="shared" ca="1" si="195"/>
        <v>6.1205737350231576E-3</v>
      </c>
      <c r="CY57" s="5">
        <f t="shared" ca="1" si="196"/>
        <v>6.536965094701949E-3</v>
      </c>
      <c r="CZ57" s="5">
        <f t="shared" ca="1" si="197"/>
        <v>6.2302090473897766E-3</v>
      </c>
      <c r="DA57" s="5">
        <f t="shared" ca="1" si="198"/>
        <v>6.9304419736298199E-3</v>
      </c>
      <c r="DB57" s="5">
        <f t="shared" ca="1" si="199"/>
        <v>6.8023031618082343E-3</v>
      </c>
      <c r="DC57" s="5">
        <f t="shared" ca="1" si="200"/>
        <v>6.8387930557480972E-3</v>
      </c>
      <c r="DD57" s="5">
        <f t="shared" ca="1" si="201"/>
        <v>6.4961068613637934E-3</v>
      </c>
      <c r="DE57" s="5">
        <f t="shared" ca="1" si="202"/>
        <v>6.5359165629492065E-3</v>
      </c>
      <c r="DF57" s="5">
        <f t="shared" ca="1" si="203"/>
        <v>6.5970968275348785E-3</v>
      </c>
      <c r="DG57" s="5">
        <f t="shared" ca="1" si="204"/>
        <v>6.5723193025435632E-3</v>
      </c>
      <c r="DH57" s="5">
        <f t="shared" ca="1" si="205"/>
        <v>6.8222479559773321E-3</v>
      </c>
      <c r="DI57" s="5">
        <f t="shared" ca="1" si="206"/>
        <v>6.8655353094292156E-3</v>
      </c>
      <c r="DJ57" s="5">
        <f t="shared" ca="1" si="207"/>
        <v>7.0102844975647926E-3</v>
      </c>
    </row>
    <row r="58" spans="5:114" outlineLevel="1" x14ac:dyDescent="0.2">
      <c r="E58" s="32">
        <v>46235</v>
      </c>
      <c r="F58" s="9">
        <v>2871.8507999999997</v>
      </c>
      <c r="G58" s="5">
        <f t="shared" ca="1" si="105"/>
        <v>-0.14053428419126984</v>
      </c>
      <c r="H58" s="5">
        <f t="shared" ca="1" si="106"/>
        <v>6.2733661045647699E-3</v>
      </c>
      <c r="I58" s="9">
        <f t="shared" ca="1" si="107"/>
        <v>126377.22026335106</v>
      </c>
      <c r="K58" s="6">
        <v>54</v>
      </c>
      <c r="L58" s="5">
        <v>362054.40378885728</v>
      </c>
      <c r="N58" s="32">
        <v>46204</v>
      </c>
      <c r="O58" s="5">
        <f t="shared" ca="1" si="108"/>
        <v>6.6659464866559584E-3</v>
      </c>
      <c r="P58" s="5">
        <f t="shared" ca="1" si="109"/>
        <v>6.531817709238906E-3</v>
      </c>
      <c r="Q58" s="5">
        <f t="shared" ca="1" si="110"/>
        <v>6.6508356813499885E-3</v>
      </c>
      <c r="R58" s="5">
        <f t="shared" ca="1" si="111"/>
        <v>6.3506947812780601E-3</v>
      </c>
      <c r="S58" s="5">
        <f t="shared" ca="1" si="112"/>
        <v>6.1806849017827601E-3</v>
      </c>
      <c r="T58" s="5">
        <f t="shared" ca="1" si="113"/>
        <v>5.8904422721238713E-3</v>
      </c>
      <c r="U58" s="5">
        <f t="shared" ca="1" si="114"/>
        <v>6.8621623338648435E-3</v>
      </c>
      <c r="V58" s="5">
        <f t="shared" ca="1" si="115"/>
        <v>6.8019983267187294E-3</v>
      </c>
      <c r="W58" s="5">
        <f t="shared" ca="1" si="116"/>
        <v>6.8257640076127774E-3</v>
      </c>
      <c r="X58" s="5">
        <f t="shared" ca="1" si="117"/>
        <v>7.066429879282886E-3</v>
      </c>
      <c r="Y58" s="5">
        <f t="shared" ca="1" si="118"/>
        <v>6.6467886313245714E-3</v>
      </c>
      <c r="Z58" s="5">
        <f t="shared" ca="1" si="119"/>
        <v>6.7854561865854047E-3</v>
      </c>
      <c r="AA58" s="5">
        <f t="shared" ca="1" si="120"/>
        <v>6.5514470487870223E-3</v>
      </c>
      <c r="AB58" s="5">
        <f t="shared" ca="1" si="121"/>
        <v>7.2446384965811428E-3</v>
      </c>
      <c r="AC58" s="5">
        <f t="shared" ca="1" si="122"/>
        <v>7.1156883222508894E-3</v>
      </c>
      <c r="AD58" s="5">
        <f t="shared" ca="1" si="123"/>
        <v>6.4437044229067137E-3</v>
      </c>
      <c r="AE58" s="5">
        <f t="shared" ca="1" si="124"/>
        <v>6.8809851163578097E-3</v>
      </c>
      <c r="AF58" s="5">
        <f t="shared" ca="1" si="125"/>
        <v>6.431145059419054E-3</v>
      </c>
      <c r="AG58" s="5">
        <f t="shared" ca="1" si="126"/>
        <v>6.5547713903351609E-3</v>
      </c>
      <c r="AH58" s="5">
        <f t="shared" ca="1" si="127"/>
        <v>6.2678366594730289E-3</v>
      </c>
      <c r="AI58" s="5">
        <f t="shared" ca="1" si="128"/>
        <v>7.0525061118778074E-3</v>
      </c>
      <c r="AJ58" s="5">
        <f t="shared" ca="1" si="129"/>
        <v>6.4897468650621645E-3</v>
      </c>
      <c r="AK58" s="5">
        <f t="shared" ca="1" si="130"/>
        <v>6.822769161327011E-3</v>
      </c>
      <c r="AL58" s="5">
        <f t="shared" ca="1" si="131"/>
        <v>6.495010280970397E-3</v>
      </c>
      <c r="AM58" s="5">
        <f t="shared" ca="1" si="132"/>
        <v>6.8654420321843327E-3</v>
      </c>
      <c r="AN58" s="5">
        <f t="shared" ca="1" si="133"/>
        <v>6.6788414786906874E-3</v>
      </c>
      <c r="AO58" s="5">
        <f t="shared" ca="1" si="134"/>
        <v>7.2237486075610313E-3</v>
      </c>
      <c r="AP58" s="5">
        <f t="shared" ca="1" si="135"/>
        <v>6.5231619091590427E-3</v>
      </c>
      <c r="AQ58" s="5">
        <f t="shared" ca="1" si="136"/>
        <v>6.4778641950066279E-3</v>
      </c>
      <c r="AR58" s="5">
        <f t="shared" ca="1" si="137"/>
        <v>6.4775539440701758E-3</v>
      </c>
      <c r="AS58" s="5">
        <f t="shared" ca="1" si="138"/>
        <v>6.7951286236086787E-3</v>
      </c>
      <c r="AT58" s="5">
        <f t="shared" ca="1" si="139"/>
        <v>6.1842479749792227E-3</v>
      </c>
      <c r="AU58" s="5">
        <f t="shared" ca="1" si="140"/>
        <v>6.3780531636361947E-3</v>
      </c>
      <c r="AV58" s="5">
        <f t="shared" ca="1" si="141"/>
        <v>6.5238762929490431E-3</v>
      </c>
      <c r="AW58" s="5">
        <f t="shared" ca="1" si="142"/>
        <v>6.8316324081112998E-3</v>
      </c>
      <c r="AX58" s="5">
        <f t="shared" ca="1" si="143"/>
        <v>6.2878919573713032E-3</v>
      </c>
      <c r="AY58" s="5">
        <f t="shared" ca="1" si="144"/>
        <v>6.6240465914077064E-3</v>
      </c>
      <c r="AZ58" s="5">
        <f t="shared" ca="1" si="145"/>
        <v>6.6755316910469958E-3</v>
      </c>
      <c r="BA58" s="5">
        <f t="shared" ca="1" si="146"/>
        <v>6.5837836276600959E-3</v>
      </c>
      <c r="BB58" s="5">
        <f t="shared" ca="1" si="147"/>
        <v>6.8216652179413206E-3</v>
      </c>
      <c r="BC58" s="5">
        <f t="shared" ca="1" si="148"/>
        <v>6.2896087711048349E-3</v>
      </c>
      <c r="BD58" s="5">
        <f t="shared" ca="1" si="149"/>
        <v>6.5246157903303646E-3</v>
      </c>
      <c r="BE58" s="5">
        <f t="shared" ca="1" si="150"/>
        <v>7.4578907323046197E-3</v>
      </c>
      <c r="BF58" s="5">
        <f t="shared" ca="1" si="151"/>
        <v>6.905128220453232E-3</v>
      </c>
      <c r="BG58" s="5">
        <f t="shared" ca="1" si="152"/>
        <v>6.3222099522982772E-3</v>
      </c>
      <c r="BH58" s="5">
        <f t="shared" ca="1" si="153"/>
        <v>6.2844264073133801E-3</v>
      </c>
      <c r="BI58" s="5">
        <f t="shared" ca="1" si="154"/>
        <v>7.2610206042600725E-3</v>
      </c>
      <c r="BJ58" s="5">
        <f t="shared" ca="1" si="155"/>
        <v>6.84202323505184E-3</v>
      </c>
      <c r="BK58" s="5">
        <f t="shared" ca="1" si="156"/>
        <v>6.7831080367308436E-3</v>
      </c>
      <c r="BL58" s="5">
        <f t="shared" ca="1" si="157"/>
        <v>6.9800567093120667E-3</v>
      </c>
      <c r="BM58" s="5">
        <f t="shared" ca="1" si="158"/>
        <v>6.1952987935793135E-3</v>
      </c>
      <c r="BN58" s="5">
        <f t="shared" ca="1" si="159"/>
        <v>6.5866640121339005E-3</v>
      </c>
      <c r="BO58" s="5">
        <f t="shared" ca="1" si="160"/>
        <v>6.6194663923112105E-3</v>
      </c>
      <c r="BP58" s="5">
        <f t="shared" ca="1" si="161"/>
        <v>6.6576994564935595E-3</v>
      </c>
      <c r="BQ58" s="5">
        <f t="shared" ca="1" si="162"/>
        <v>6.2914818927648592E-3</v>
      </c>
      <c r="BR58" s="5">
        <f t="shared" ca="1" si="163"/>
        <v>6.2640090590258407E-3</v>
      </c>
      <c r="BS58" s="5">
        <f t="shared" ca="1" si="164"/>
        <v>6.7758169799253991E-3</v>
      </c>
      <c r="BT58" s="5">
        <f t="shared" ca="1" si="165"/>
        <v>6.2758754160823511E-3</v>
      </c>
      <c r="BU58" s="5">
        <f t="shared" ca="1" si="166"/>
        <v>6.741142270762575E-3</v>
      </c>
      <c r="BV58" s="5">
        <f t="shared" ca="1" si="167"/>
        <v>6.7846511658698084E-3</v>
      </c>
      <c r="BW58" s="5">
        <f t="shared" ca="1" si="168"/>
        <v>6.9524636944436309E-3</v>
      </c>
      <c r="BX58" s="5">
        <f t="shared" ca="1" si="169"/>
        <v>6.8536165703903789E-3</v>
      </c>
      <c r="BY58" s="5">
        <f t="shared" ca="1" si="170"/>
        <v>6.4346564846025928E-3</v>
      </c>
      <c r="BZ58" s="5">
        <f t="shared" ca="1" si="171"/>
        <v>7.0159365517701959E-3</v>
      </c>
      <c r="CA58" s="5">
        <f t="shared" ca="1" si="172"/>
        <v>6.1316348135090435E-3</v>
      </c>
      <c r="CB58" s="5">
        <f t="shared" ca="1" si="173"/>
        <v>6.6449274479066633E-3</v>
      </c>
      <c r="CC58" s="5">
        <f t="shared" ca="1" si="174"/>
        <v>6.515742971728882E-3</v>
      </c>
      <c r="CD58" s="5">
        <f t="shared" ca="1" si="175"/>
        <v>6.7648349894341448E-3</v>
      </c>
      <c r="CE58" s="5">
        <f t="shared" ca="1" si="176"/>
        <v>6.5117772846672375E-3</v>
      </c>
      <c r="CF58" s="5">
        <f t="shared" ca="1" si="177"/>
        <v>6.926347384437509E-3</v>
      </c>
      <c r="CG58" s="5">
        <f t="shared" ca="1" si="178"/>
        <v>6.8872440894041931E-3</v>
      </c>
      <c r="CH58" s="5">
        <f t="shared" ca="1" si="179"/>
        <v>6.0595141994385891E-3</v>
      </c>
      <c r="CI58" s="5">
        <f t="shared" ca="1" si="180"/>
        <v>6.7797718419074973E-3</v>
      </c>
      <c r="CJ58" s="5">
        <f t="shared" ca="1" si="181"/>
        <v>7.0789003468523072E-3</v>
      </c>
      <c r="CK58" s="5">
        <f t="shared" ca="1" si="182"/>
        <v>6.6291577501040918E-3</v>
      </c>
      <c r="CL58" s="5">
        <f t="shared" ca="1" si="183"/>
        <v>6.892102784390234E-3</v>
      </c>
      <c r="CM58" s="5">
        <f t="shared" ca="1" si="184"/>
        <v>7.0669832549951446E-3</v>
      </c>
      <c r="CN58" s="5">
        <f t="shared" ca="1" si="185"/>
        <v>6.9337394521633037E-3</v>
      </c>
      <c r="CO58" s="5">
        <f t="shared" ca="1" si="186"/>
        <v>6.7443166598927188E-3</v>
      </c>
      <c r="CP58" s="5">
        <f t="shared" ca="1" si="187"/>
        <v>7.0600546768662519E-3</v>
      </c>
      <c r="CQ58" s="5">
        <f t="shared" ca="1" si="188"/>
        <v>6.9701554590242219E-3</v>
      </c>
      <c r="CR58" s="5">
        <f t="shared" ca="1" si="189"/>
        <v>6.6792730621297461E-3</v>
      </c>
      <c r="CS58" s="5">
        <f t="shared" ca="1" si="190"/>
        <v>6.8647546749551662E-3</v>
      </c>
      <c r="CT58" s="5">
        <f t="shared" ca="1" si="191"/>
        <v>7.327426325560357E-3</v>
      </c>
      <c r="CU58" s="5">
        <f t="shared" ca="1" si="192"/>
        <v>6.3984145715424417E-3</v>
      </c>
      <c r="CV58" s="5">
        <f t="shared" ca="1" si="193"/>
        <v>6.6487114329894627E-3</v>
      </c>
      <c r="CW58" s="5">
        <f t="shared" ca="1" si="194"/>
        <v>6.3721167039722665E-3</v>
      </c>
      <c r="CX58" s="5">
        <f t="shared" ca="1" si="195"/>
        <v>6.0772839798794009E-3</v>
      </c>
      <c r="CY58" s="5">
        <f t="shared" ca="1" si="196"/>
        <v>6.5070745169168538E-3</v>
      </c>
      <c r="CZ58" s="5">
        <f t="shared" ca="1" si="197"/>
        <v>6.2096860988768822E-3</v>
      </c>
      <c r="DA58" s="5">
        <f t="shared" ca="1" si="198"/>
        <v>6.8903921415739153E-3</v>
      </c>
      <c r="DB58" s="5">
        <f t="shared" ca="1" si="199"/>
        <v>6.7478244287394913E-3</v>
      </c>
      <c r="DC58" s="5">
        <f t="shared" ca="1" si="200"/>
        <v>6.8963728446439776E-3</v>
      </c>
      <c r="DD58" s="5">
        <f t="shared" ca="1" si="201"/>
        <v>6.619870348652114E-3</v>
      </c>
      <c r="DE58" s="5">
        <f t="shared" ca="1" si="202"/>
        <v>6.5984547429968664E-3</v>
      </c>
      <c r="DF58" s="5">
        <f t="shared" ca="1" si="203"/>
        <v>6.5536378410039359E-3</v>
      </c>
      <c r="DG58" s="5">
        <f t="shared" ca="1" si="204"/>
        <v>6.5043202859851835E-3</v>
      </c>
      <c r="DH58" s="5">
        <f t="shared" ca="1" si="205"/>
        <v>6.8184889659598513E-3</v>
      </c>
      <c r="DI58" s="5">
        <f t="shared" ca="1" si="206"/>
        <v>6.8784224631046297E-3</v>
      </c>
      <c r="DJ58" s="5">
        <f t="shared" ca="1" si="207"/>
        <v>7.006170422253391E-3</v>
      </c>
    </row>
    <row r="59" spans="5:114" outlineLevel="1" x14ac:dyDescent="0.2">
      <c r="E59" s="32">
        <v>46266</v>
      </c>
      <c r="F59" s="9">
        <v>2871.8507999999997</v>
      </c>
      <c r="G59" s="5">
        <f t="shared" ca="1" si="105"/>
        <v>1.3778757545580474E-2</v>
      </c>
      <c r="H59" s="5">
        <f t="shared" ca="1" si="106"/>
        <v>6.207282224520827E-3</v>
      </c>
      <c r="I59" s="9">
        <f t="shared" ca="1" si="107"/>
        <v>129314.45956317316</v>
      </c>
      <c r="K59" s="6">
        <v>55</v>
      </c>
      <c r="L59" s="5">
        <v>363113.00987963547</v>
      </c>
      <c r="N59" s="32">
        <v>46235</v>
      </c>
      <c r="O59" s="5">
        <f t="shared" ca="1" si="108"/>
        <v>6.6400937765264236E-3</v>
      </c>
      <c r="P59" s="5">
        <f t="shared" ca="1" si="109"/>
        <v>6.4801978407053379E-3</v>
      </c>
      <c r="Q59" s="5">
        <f t="shared" ca="1" si="110"/>
        <v>6.6244459896645427E-3</v>
      </c>
      <c r="R59" s="5">
        <f t="shared" ca="1" si="111"/>
        <v>6.3697014951161974E-3</v>
      </c>
      <c r="S59" s="5">
        <f t="shared" ca="1" si="112"/>
        <v>6.0700180837450724E-3</v>
      </c>
      <c r="T59" s="5">
        <f t="shared" ca="1" si="113"/>
        <v>5.9047794733993941E-3</v>
      </c>
      <c r="U59" s="5">
        <f t="shared" ca="1" si="114"/>
        <v>6.8294590619027602E-3</v>
      </c>
      <c r="V59" s="5">
        <f t="shared" ca="1" si="115"/>
        <v>6.7581063292429669E-3</v>
      </c>
      <c r="W59" s="5">
        <f t="shared" ca="1" si="116"/>
        <v>6.8179619744886582E-3</v>
      </c>
      <c r="X59" s="5">
        <f t="shared" ca="1" si="117"/>
        <v>6.9391792602357515E-3</v>
      </c>
      <c r="Y59" s="5">
        <f t="shared" ca="1" si="118"/>
        <v>6.6479516008470674E-3</v>
      </c>
      <c r="Z59" s="5">
        <f t="shared" ca="1" si="119"/>
        <v>6.8242358918862251E-3</v>
      </c>
      <c r="AA59" s="5">
        <f t="shared" ca="1" si="120"/>
        <v>6.5732636252232995E-3</v>
      </c>
      <c r="AB59" s="5">
        <f t="shared" ca="1" si="121"/>
        <v>7.2134158252426962E-3</v>
      </c>
      <c r="AC59" s="5">
        <f t="shared" ca="1" si="122"/>
        <v>7.0777483658017335E-3</v>
      </c>
      <c r="AD59" s="5">
        <f t="shared" ca="1" si="123"/>
        <v>6.4776448079324773E-3</v>
      </c>
      <c r="AE59" s="5">
        <f t="shared" ca="1" si="124"/>
        <v>6.9724422470991325E-3</v>
      </c>
      <c r="AF59" s="5">
        <f t="shared" ca="1" si="125"/>
        <v>6.5141959243629373E-3</v>
      </c>
      <c r="AG59" s="5">
        <f t="shared" ca="1" si="126"/>
        <v>6.5964168860498809E-3</v>
      </c>
      <c r="AH59" s="5">
        <f t="shared" ca="1" si="127"/>
        <v>6.1766539278736068E-3</v>
      </c>
      <c r="AI59" s="5">
        <f t="shared" ca="1" si="128"/>
        <v>6.9849205447692396E-3</v>
      </c>
      <c r="AJ59" s="5">
        <f t="shared" ca="1" si="129"/>
        <v>6.5058328087550998E-3</v>
      </c>
      <c r="AK59" s="5">
        <f t="shared" ca="1" si="130"/>
        <v>6.7362280255551426E-3</v>
      </c>
      <c r="AL59" s="5">
        <f t="shared" ca="1" si="131"/>
        <v>6.4939733689578592E-3</v>
      </c>
      <c r="AM59" s="5">
        <f t="shared" ca="1" si="132"/>
        <v>6.8444007971980372E-3</v>
      </c>
      <c r="AN59" s="5">
        <f t="shared" ca="1" si="133"/>
        <v>6.7328676314403722E-3</v>
      </c>
      <c r="AO59" s="5">
        <f t="shared" ca="1" si="134"/>
        <v>7.2042559853884094E-3</v>
      </c>
      <c r="AP59" s="5">
        <f t="shared" ca="1" si="135"/>
        <v>6.5516619974230247E-3</v>
      </c>
      <c r="AQ59" s="5">
        <f t="shared" ca="1" si="136"/>
        <v>6.3894685103316664E-3</v>
      </c>
      <c r="AR59" s="5">
        <f t="shared" ca="1" si="137"/>
        <v>6.5501283451350591E-3</v>
      </c>
      <c r="AS59" s="5">
        <f t="shared" ca="1" si="138"/>
        <v>6.8180535553483673E-3</v>
      </c>
      <c r="AT59" s="5">
        <f t="shared" ca="1" si="139"/>
        <v>6.2441485928850038E-3</v>
      </c>
      <c r="AU59" s="5">
        <f t="shared" ca="1" si="140"/>
        <v>6.4973938238742949E-3</v>
      </c>
      <c r="AV59" s="5">
        <f t="shared" ca="1" si="141"/>
        <v>6.4642304989034859E-3</v>
      </c>
      <c r="AW59" s="5">
        <f t="shared" ca="1" si="142"/>
        <v>6.8919892581184479E-3</v>
      </c>
      <c r="AX59" s="5">
        <f t="shared" ca="1" si="143"/>
        <v>6.2670137843390738E-3</v>
      </c>
      <c r="AY59" s="5">
        <f t="shared" ca="1" si="144"/>
        <v>6.5748894037106157E-3</v>
      </c>
      <c r="AZ59" s="5">
        <f t="shared" ca="1" si="145"/>
        <v>6.7544329834415924E-3</v>
      </c>
      <c r="BA59" s="5">
        <f t="shared" ca="1" si="146"/>
        <v>6.6676756132806074E-3</v>
      </c>
      <c r="BB59" s="5">
        <f t="shared" ca="1" si="147"/>
        <v>6.8758289665818827E-3</v>
      </c>
      <c r="BC59" s="5">
        <f t="shared" ca="1" si="148"/>
        <v>6.3606603651095127E-3</v>
      </c>
      <c r="BD59" s="5">
        <f t="shared" ca="1" si="149"/>
        <v>6.5242275495369928E-3</v>
      </c>
      <c r="BE59" s="5">
        <f t="shared" ca="1" si="150"/>
        <v>7.3775639141934841E-3</v>
      </c>
      <c r="BF59" s="5">
        <f t="shared" ca="1" si="151"/>
        <v>6.9031644803277245E-3</v>
      </c>
      <c r="BG59" s="5">
        <f t="shared" ca="1" si="152"/>
        <v>6.3110470426563378E-3</v>
      </c>
      <c r="BH59" s="5">
        <f t="shared" ca="1" si="153"/>
        <v>6.2370168857373669E-3</v>
      </c>
      <c r="BI59" s="5">
        <f t="shared" ca="1" si="154"/>
        <v>7.2498228705490551E-3</v>
      </c>
      <c r="BJ59" s="5">
        <f t="shared" ca="1" si="155"/>
        <v>6.8047866481230606E-3</v>
      </c>
      <c r="BK59" s="5">
        <f t="shared" ca="1" si="156"/>
        <v>6.8543348835184295E-3</v>
      </c>
      <c r="BL59" s="5">
        <f t="shared" ca="1" si="157"/>
        <v>6.9512988819790036E-3</v>
      </c>
      <c r="BM59" s="5">
        <f t="shared" ca="1" si="158"/>
        <v>6.2339515259203842E-3</v>
      </c>
      <c r="BN59" s="5">
        <f t="shared" ca="1" si="159"/>
        <v>6.5440205127544364E-3</v>
      </c>
      <c r="BO59" s="5">
        <f t="shared" ca="1" si="160"/>
        <v>6.6388606184984893E-3</v>
      </c>
      <c r="BP59" s="5">
        <f t="shared" ca="1" si="161"/>
        <v>6.6759237838552249E-3</v>
      </c>
      <c r="BQ59" s="5">
        <f t="shared" ca="1" si="162"/>
        <v>6.2624251132340396E-3</v>
      </c>
      <c r="BR59" s="5">
        <f t="shared" ca="1" si="163"/>
        <v>6.2463058483747703E-3</v>
      </c>
      <c r="BS59" s="5">
        <f t="shared" ca="1" si="164"/>
        <v>6.8152556644346853E-3</v>
      </c>
      <c r="BT59" s="5">
        <f t="shared" ca="1" si="165"/>
        <v>6.3194903096178605E-3</v>
      </c>
      <c r="BU59" s="5">
        <f t="shared" ca="1" si="166"/>
        <v>6.7535234963275537E-3</v>
      </c>
      <c r="BV59" s="5">
        <f t="shared" ca="1" si="167"/>
        <v>6.7766378386156859E-3</v>
      </c>
      <c r="BW59" s="5">
        <f t="shared" ca="1" si="168"/>
        <v>6.9105566811213676E-3</v>
      </c>
      <c r="BX59" s="5">
        <f t="shared" ca="1" si="169"/>
        <v>6.8085357590943925E-3</v>
      </c>
      <c r="BY59" s="5">
        <f t="shared" ca="1" si="170"/>
        <v>6.368400205601271E-3</v>
      </c>
      <c r="BZ59" s="5">
        <f t="shared" ca="1" si="171"/>
        <v>7.0123727642423563E-3</v>
      </c>
      <c r="CA59" s="5">
        <f t="shared" ca="1" si="172"/>
        <v>6.1235312675023733E-3</v>
      </c>
      <c r="CB59" s="5">
        <f t="shared" ca="1" si="173"/>
        <v>6.6528929182274208E-3</v>
      </c>
      <c r="CC59" s="5">
        <f t="shared" ca="1" si="174"/>
        <v>6.5311793675253025E-3</v>
      </c>
      <c r="CD59" s="5">
        <f t="shared" ca="1" si="175"/>
        <v>6.7459540013510341E-3</v>
      </c>
      <c r="CE59" s="5">
        <f t="shared" ca="1" si="176"/>
        <v>6.462352265023244E-3</v>
      </c>
      <c r="CF59" s="5">
        <f t="shared" ca="1" si="177"/>
        <v>6.9585924514843668E-3</v>
      </c>
      <c r="CG59" s="5">
        <f t="shared" ca="1" si="178"/>
        <v>6.8938529432642165E-3</v>
      </c>
      <c r="CH59" s="5">
        <f t="shared" ca="1" si="179"/>
        <v>6.0179759022723385E-3</v>
      </c>
      <c r="CI59" s="5">
        <f t="shared" ca="1" si="180"/>
        <v>6.8280152936842538E-3</v>
      </c>
      <c r="CJ59" s="5">
        <f t="shared" ca="1" si="181"/>
        <v>7.0715419240921472E-3</v>
      </c>
      <c r="CK59" s="5">
        <f t="shared" ca="1" si="182"/>
        <v>6.6838282642232858E-3</v>
      </c>
      <c r="CL59" s="5">
        <f t="shared" ca="1" si="183"/>
        <v>6.9550345504819974E-3</v>
      </c>
      <c r="CM59" s="5">
        <f t="shared" ca="1" si="184"/>
        <v>7.0384352961063643E-3</v>
      </c>
      <c r="CN59" s="5">
        <f t="shared" ca="1" si="185"/>
        <v>6.9203382509058957E-3</v>
      </c>
      <c r="CO59" s="5">
        <f t="shared" ca="1" si="186"/>
        <v>6.7834514153954813E-3</v>
      </c>
      <c r="CP59" s="5">
        <f t="shared" ca="1" si="187"/>
        <v>7.0752935758582308E-3</v>
      </c>
      <c r="CQ59" s="5">
        <f t="shared" ca="1" si="188"/>
        <v>7.003488569224843E-3</v>
      </c>
      <c r="CR59" s="5">
        <f t="shared" ca="1" si="189"/>
        <v>6.6483985759775936E-3</v>
      </c>
      <c r="CS59" s="5">
        <f t="shared" ca="1" si="190"/>
        <v>6.8371628594624109E-3</v>
      </c>
      <c r="CT59" s="5">
        <f t="shared" ca="1" si="191"/>
        <v>7.281823658094622E-3</v>
      </c>
      <c r="CU59" s="5">
        <f t="shared" ca="1" si="192"/>
        <v>6.3627581682625068E-3</v>
      </c>
      <c r="CV59" s="5">
        <f t="shared" ca="1" si="193"/>
        <v>6.6701907418549207E-3</v>
      </c>
      <c r="CW59" s="5">
        <f t="shared" ca="1" si="194"/>
        <v>6.3926418016781381E-3</v>
      </c>
      <c r="CX59" s="5">
        <f t="shared" ca="1" si="195"/>
        <v>6.0779219985849075E-3</v>
      </c>
      <c r="CY59" s="5">
        <f t="shared" ca="1" si="196"/>
        <v>6.5052426288632267E-3</v>
      </c>
      <c r="CZ59" s="5">
        <f t="shared" ca="1" si="197"/>
        <v>6.2046575308510156E-3</v>
      </c>
      <c r="DA59" s="5">
        <f t="shared" ca="1" si="198"/>
        <v>6.8753753725316075E-3</v>
      </c>
      <c r="DB59" s="5">
        <f t="shared" ca="1" si="199"/>
        <v>6.6710539921906687E-3</v>
      </c>
      <c r="DC59" s="5">
        <f t="shared" ca="1" si="200"/>
        <v>6.893006859573129E-3</v>
      </c>
      <c r="DD59" s="5">
        <f t="shared" ca="1" si="201"/>
        <v>6.6466165524772455E-3</v>
      </c>
      <c r="DE59" s="5">
        <f t="shared" ca="1" si="202"/>
        <v>6.6462913193263773E-3</v>
      </c>
      <c r="DF59" s="5">
        <f t="shared" ca="1" si="203"/>
        <v>6.5926470537782007E-3</v>
      </c>
      <c r="DG59" s="5">
        <f t="shared" ca="1" si="204"/>
        <v>6.4601987655251254E-3</v>
      </c>
      <c r="DH59" s="5">
        <f t="shared" ca="1" si="205"/>
        <v>6.8027868283314745E-3</v>
      </c>
      <c r="DI59" s="5">
        <f t="shared" ca="1" si="206"/>
        <v>6.874839234333103E-3</v>
      </c>
      <c r="DJ59" s="5">
        <f t="shared" ca="1" si="207"/>
        <v>6.9826697768308396E-3</v>
      </c>
    </row>
    <row r="60" spans="5:114" outlineLevel="1" x14ac:dyDescent="0.2">
      <c r="E60" s="32">
        <v>46296</v>
      </c>
      <c r="F60" s="9">
        <v>2871.8507999999997</v>
      </c>
      <c r="G60" s="5">
        <f t="shared" ca="1" si="105"/>
        <v>5.5042562985699803E-3</v>
      </c>
      <c r="H60" s="5">
        <f t="shared" ca="1" si="106"/>
        <v>6.2205674315383638E-3</v>
      </c>
      <c r="I60" s="9">
        <f t="shared" ca="1" si="107"/>
        <v>132253.36185039952</v>
      </c>
      <c r="K60" s="6">
        <v>56</v>
      </c>
      <c r="L60" s="5">
        <v>363675.43385299883</v>
      </c>
      <c r="N60" s="32">
        <v>46266</v>
      </c>
      <c r="O60" s="5">
        <f t="shared" ca="1" si="108"/>
        <v>6.6213622787001476E-3</v>
      </c>
      <c r="P60" s="5">
        <f t="shared" ca="1" si="109"/>
        <v>6.52453446935773E-3</v>
      </c>
      <c r="Q60" s="5">
        <f t="shared" ca="1" si="110"/>
        <v>6.5517973000632796E-3</v>
      </c>
      <c r="R60" s="5">
        <f t="shared" ca="1" si="111"/>
        <v>6.4012266101839861E-3</v>
      </c>
      <c r="S60" s="5">
        <f t="shared" ca="1" si="112"/>
        <v>6.0464132134824987E-3</v>
      </c>
      <c r="T60" s="5">
        <f t="shared" ca="1" si="113"/>
        <v>5.9500282839215317E-3</v>
      </c>
      <c r="U60" s="5">
        <f t="shared" ca="1" si="114"/>
        <v>6.8189738335313194E-3</v>
      </c>
      <c r="V60" s="5">
        <f t="shared" ca="1" si="115"/>
        <v>6.7373845738145808E-3</v>
      </c>
      <c r="W60" s="5">
        <f t="shared" ca="1" si="116"/>
        <v>6.7859292146287787E-3</v>
      </c>
      <c r="X60" s="5">
        <f t="shared" ca="1" si="117"/>
        <v>6.8487964809588178E-3</v>
      </c>
      <c r="Y60" s="5">
        <f t="shared" ca="1" si="118"/>
        <v>6.6404229698649115E-3</v>
      </c>
      <c r="Z60" s="5">
        <f t="shared" ca="1" si="119"/>
        <v>6.8473244355324427E-3</v>
      </c>
      <c r="AA60" s="5">
        <f t="shared" ca="1" si="120"/>
        <v>6.5449581438266477E-3</v>
      </c>
      <c r="AB60" s="5">
        <f t="shared" ca="1" si="121"/>
        <v>7.2164735445024511E-3</v>
      </c>
      <c r="AC60" s="5">
        <f t="shared" ca="1" si="122"/>
        <v>7.0901598319516538E-3</v>
      </c>
      <c r="AD60" s="5">
        <f t="shared" ca="1" si="123"/>
        <v>6.4821023577020199E-3</v>
      </c>
      <c r="AE60" s="5">
        <f t="shared" ca="1" si="124"/>
        <v>6.9723235557115574E-3</v>
      </c>
      <c r="AF60" s="5">
        <f t="shared" ca="1" si="125"/>
        <v>6.5106848743584442E-3</v>
      </c>
      <c r="AG60" s="5">
        <f t="shared" ca="1" si="126"/>
        <v>6.6643400141694464E-3</v>
      </c>
      <c r="AH60" s="5">
        <f t="shared" ca="1" si="127"/>
        <v>6.1833168618819264E-3</v>
      </c>
      <c r="AI60" s="5">
        <f t="shared" ca="1" si="128"/>
        <v>6.9936326298415258E-3</v>
      </c>
      <c r="AJ60" s="5">
        <f t="shared" ca="1" si="129"/>
        <v>6.4531497040567001E-3</v>
      </c>
      <c r="AK60" s="5">
        <f t="shared" ca="1" si="130"/>
        <v>6.8060108462040213E-3</v>
      </c>
      <c r="AL60" s="5">
        <f t="shared" ca="1" si="131"/>
        <v>6.5724844357374747E-3</v>
      </c>
      <c r="AM60" s="5">
        <f t="shared" ca="1" si="132"/>
        <v>6.892995735320059E-3</v>
      </c>
      <c r="AN60" s="5">
        <f t="shared" ca="1" si="133"/>
        <v>6.7049694831885749E-3</v>
      </c>
      <c r="AO60" s="5">
        <f t="shared" ca="1" si="134"/>
        <v>7.2212653969924191E-3</v>
      </c>
      <c r="AP60" s="5">
        <f t="shared" ca="1" si="135"/>
        <v>6.519071157639944E-3</v>
      </c>
      <c r="AQ60" s="5">
        <f t="shared" ca="1" si="136"/>
        <v>6.3219907803791645E-3</v>
      </c>
      <c r="AR60" s="5">
        <f t="shared" ca="1" si="137"/>
        <v>6.5468998682540963E-3</v>
      </c>
      <c r="AS60" s="5">
        <f t="shared" ca="1" si="138"/>
        <v>6.8387166365553396E-3</v>
      </c>
      <c r="AT60" s="5">
        <f t="shared" ca="1" si="139"/>
        <v>6.2209085561498647E-3</v>
      </c>
      <c r="AU60" s="5">
        <f t="shared" ca="1" si="140"/>
        <v>6.4085581662617717E-3</v>
      </c>
      <c r="AV60" s="5">
        <f t="shared" ca="1" si="141"/>
        <v>6.5092374976049331E-3</v>
      </c>
      <c r="AW60" s="5">
        <f t="shared" ca="1" si="142"/>
        <v>6.9507123121218192E-3</v>
      </c>
      <c r="AX60" s="5">
        <f t="shared" ca="1" si="143"/>
        <v>6.3258425529780608E-3</v>
      </c>
      <c r="AY60" s="5">
        <f t="shared" ca="1" si="144"/>
        <v>6.5861747575051473E-3</v>
      </c>
      <c r="AZ60" s="5">
        <f t="shared" ca="1" si="145"/>
        <v>6.8206367740859149E-3</v>
      </c>
      <c r="BA60" s="5">
        <f t="shared" ca="1" si="146"/>
        <v>6.7093338628057232E-3</v>
      </c>
      <c r="BB60" s="5">
        <f t="shared" ca="1" si="147"/>
        <v>6.8019028070720675E-3</v>
      </c>
      <c r="BC60" s="5">
        <f t="shared" ca="1" si="148"/>
        <v>6.3910435809605114E-3</v>
      </c>
      <c r="BD60" s="5">
        <f t="shared" ca="1" si="149"/>
        <v>6.5467633408387987E-3</v>
      </c>
      <c r="BE60" s="5">
        <f t="shared" ca="1" si="150"/>
        <v>7.3447423000895561E-3</v>
      </c>
      <c r="BF60" s="5">
        <f t="shared" ca="1" si="151"/>
        <v>6.9432723832247075E-3</v>
      </c>
      <c r="BG60" s="5">
        <f t="shared" ca="1" si="152"/>
        <v>6.3297175343749066E-3</v>
      </c>
      <c r="BH60" s="5">
        <f t="shared" ca="1" si="153"/>
        <v>6.2190843520045025E-3</v>
      </c>
      <c r="BI60" s="5">
        <f t="shared" ca="1" si="154"/>
        <v>7.2133217330028641E-3</v>
      </c>
      <c r="BJ60" s="5">
        <f t="shared" ca="1" si="155"/>
        <v>6.816041434707194E-3</v>
      </c>
      <c r="BK60" s="5">
        <f t="shared" ca="1" si="156"/>
        <v>6.8337178532868479E-3</v>
      </c>
      <c r="BL60" s="5">
        <f t="shared" ca="1" si="157"/>
        <v>6.9533872225573364E-3</v>
      </c>
      <c r="BM60" s="5">
        <f t="shared" ca="1" si="158"/>
        <v>6.2577970188449229E-3</v>
      </c>
      <c r="BN60" s="5">
        <f t="shared" ca="1" si="159"/>
        <v>6.5226065093998645E-3</v>
      </c>
      <c r="BO60" s="5">
        <f t="shared" ca="1" si="160"/>
        <v>6.6803336504700711E-3</v>
      </c>
      <c r="BP60" s="5">
        <f t="shared" ca="1" si="161"/>
        <v>6.6820319440561255E-3</v>
      </c>
      <c r="BQ60" s="5">
        <f t="shared" ca="1" si="162"/>
        <v>6.2834463437324295E-3</v>
      </c>
      <c r="BR60" s="5">
        <f t="shared" ca="1" si="163"/>
        <v>6.2000918358785561E-3</v>
      </c>
      <c r="BS60" s="5">
        <f t="shared" ca="1" si="164"/>
        <v>6.8131971221348873E-3</v>
      </c>
      <c r="BT60" s="5">
        <f t="shared" ca="1" si="165"/>
        <v>6.3884519559858207E-3</v>
      </c>
      <c r="BU60" s="5">
        <f t="shared" ca="1" si="166"/>
        <v>6.7876353429042746E-3</v>
      </c>
      <c r="BV60" s="5">
        <f t="shared" ca="1" si="167"/>
        <v>6.736799166835691E-3</v>
      </c>
      <c r="BW60" s="5">
        <f t="shared" ca="1" si="168"/>
        <v>6.8840747876856402E-3</v>
      </c>
      <c r="BX60" s="5">
        <f t="shared" ca="1" si="169"/>
        <v>6.7875937853656421E-3</v>
      </c>
      <c r="BY60" s="5">
        <f t="shared" ca="1" si="170"/>
        <v>6.3660912362554908E-3</v>
      </c>
      <c r="BZ60" s="5">
        <f t="shared" ca="1" si="171"/>
        <v>6.9942914896205721E-3</v>
      </c>
      <c r="CA60" s="5">
        <f t="shared" ca="1" si="172"/>
        <v>6.1072694178587574E-3</v>
      </c>
      <c r="CB60" s="5">
        <f t="shared" ca="1" si="173"/>
        <v>6.7519118241926258E-3</v>
      </c>
      <c r="CC60" s="5">
        <f t="shared" ca="1" si="174"/>
        <v>6.5177877403633242E-3</v>
      </c>
      <c r="CD60" s="5">
        <f t="shared" ca="1" si="175"/>
        <v>6.7894811251361428E-3</v>
      </c>
      <c r="CE60" s="5">
        <f t="shared" ca="1" si="176"/>
        <v>6.4188902153575278E-3</v>
      </c>
      <c r="CF60" s="5">
        <f t="shared" ca="1" si="177"/>
        <v>6.9731531534368068E-3</v>
      </c>
      <c r="CG60" s="5">
        <f t="shared" ca="1" si="178"/>
        <v>6.8549086157320659E-3</v>
      </c>
      <c r="CH60" s="5">
        <f t="shared" ca="1" si="179"/>
        <v>6.0697839718337433E-3</v>
      </c>
      <c r="CI60" s="5">
        <f t="shared" ca="1" si="180"/>
        <v>6.8387170272387367E-3</v>
      </c>
      <c r="CJ60" s="5">
        <f t="shared" ca="1" si="181"/>
        <v>7.1309663623979674E-3</v>
      </c>
      <c r="CK60" s="5">
        <f t="shared" ca="1" si="182"/>
        <v>6.7061371574001841E-3</v>
      </c>
      <c r="CL60" s="5">
        <f t="shared" ca="1" si="183"/>
        <v>6.9196794792161682E-3</v>
      </c>
      <c r="CM60" s="5">
        <f t="shared" ca="1" si="184"/>
        <v>7.0268333065905591E-3</v>
      </c>
      <c r="CN60" s="5">
        <f t="shared" ca="1" si="185"/>
        <v>6.8860967792033854E-3</v>
      </c>
      <c r="CO60" s="5">
        <f t="shared" ca="1" si="186"/>
        <v>6.8509387670733345E-3</v>
      </c>
      <c r="CP60" s="5">
        <f t="shared" ca="1" si="187"/>
        <v>7.059301541637043E-3</v>
      </c>
      <c r="CQ60" s="5">
        <f t="shared" ca="1" si="188"/>
        <v>6.9647557935898392E-3</v>
      </c>
      <c r="CR60" s="5">
        <f t="shared" ca="1" si="189"/>
        <v>6.6371249549093837E-3</v>
      </c>
      <c r="CS60" s="5">
        <f t="shared" ca="1" si="190"/>
        <v>6.857467015201445E-3</v>
      </c>
      <c r="CT60" s="5">
        <f t="shared" ca="1" si="191"/>
        <v>7.2742058032747321E-3</v>
      </c>
      <c r="CU60" s="5">
        <f t="shared" ca="1" si="192"/>
        <v>6.3580520453539015E-3</v>
      </c>
      <c r="CV60" s="5">
        <f t="shared" ca="1" si="193"/>
        <v>6.6771914777960881E-3</v>
      </c>
      <c r="CW60" s="5">
        <f t="shared" ca="1" si="194"/>
        <v>6.3091444984763531E-3</v>
      </c>
      <c r="CX60" s="5">
        <f t="shared" ca="1" si="195"/>
        <v>5.9679134177518913E-3</v>
      </c>
      <c r="CY60" s="5">
        <f t="shared" ca="1" si="196"/>
        <v>6.589203607018544E-3</v>
      </c>
      <c r="CZ60" s="5">
        <f t="shared" ca="1" si="197"/>
        <v>6.2126313475951997E-3</v>
      </c>
      <c r="DA60" s="5">
        <f t="shared" ca="1" si="198"/>
        <v>6.8070093822362471E-3</v>
      </c>
      <c r="DB60" s="5">
        <f t="shared" ca="1" si="199"/>
        <v>6.655869488462321E-3</v>
      </c>
      <c r="DC60" s="5">
        <f t="shared" ca="1" si="200"/>
        <v>6.9500208858815403E-3</v>
      </c>
      <c r="DD60" s="5">
        <f t="shared" ca="1" si="201"/>
        <v>6.6223997543706607E-3</v>
      </c>
      <c r="DE60" s="5">
        <f t="shared" ca="1" si="202"/>
        <v>6.6598962675569143E-3</v>
      </c>
      <c r="DF60" s="5">
        <f t="shared" ca="1" si="203"/>
        <v>6.6020242852061753E-3</v>
      </c>
      <c r="DG60" s="5">
        <f t="shared" ca="1" si="204"/>
        <v>6.4793870093868026E-3</v>
      </c>
      <c r="DH60" s="5">
        <f t="shared" ca="1" si="205"/>
        <v>6.8280517441504096E-3</v>
      </c>
      <c r="DI60" s="5">
        <f t="shared" ca="1" si="206"/>
        <v>6.8583620711626563E-3</v>
      </c>
      <c r="DJ60" s="5">
        <f t="shared" ca="1" si="207"/>
        <v>6.9669205057988374E-3</v>
      </c>
    </row>
    <row r="61" spans="5:114" outlineLevel="1" x14ac:dyDescent="0.2">
      <c r="E61" s="32">
        <v>46327</v>
      </c>
      <c r="F61" s="9">
        <v>2871.8507999999997</v>
      </c>
      <c r="G61" s="5">
        <f t="shared" ca="1" si="105"/>
        <v>2.0042150141669469E-2</v>
      </c>
      <c r="H61" s="5">
        <f t="shared" ca="1" si="106"/>
        <v>6.2295844070869221E-3</v>
      </c>
      <c r="I61" s="9">
        <f t="shared" ca="1" si="107"/>
        <v>135193.88743122719</v>
      </c>
      <c r="K61" s="6">
        <v>57</v>
      </c>
      <c r="L61" s="5">
        <v>363058.24774265732</v>
      </c>
      <c r="N61" s="32">
        <v>46296</v>
      </c>
      <c r="O61" s="5">
        <f t="shared" ca="1" si="108"/>
        <v>6.5747282251034508E-3</v>
      </c>
      <c r="P61" s="5">
        <f t="shared" ca="1" si="109"/>
        <v>6.494236686526992E-3</v>
      </c>
      <c r="Q61" s="5">
        <f t="shared" ca="1" si="110"/>
        <v>6.5109687535329129E-3</v>
      </c>
      <c r="R61" s="5">
        <f t="shared" ca="1" si="111"/>
        <v>6.4688710325837553E-3</v>
      </c>
      <c r="S61" s="5">
        <f t="shared" ca="1" si="112"/>
        <v>6.1175365494053101E-3</v>
      </c>
      <c r="T61" s="5">
        <f t="shared" ca="1" si="113"/>
        <v>5.9589890839167377E-3</v>
      </c>
      <c r="U61" s="5">
        <f t="shared" ca="1" si="114"/>
        <v>6.780127617378201E-3</v>
      </c>
      <c r="V61" s="5">
        <f t="shared" ca="1" si="115"/>
        <v>6.7211624369898576E-3</v>
      </c>
      <c r="W61" s="5">
        <f t="shared" ca="1" si="116"/>
        <v>6.7735847978297294E-3</v>
      </c>
      <c r="X61" s="5">
        <f t="shared" ca="1" si="117"/>
        <v>6.8092386232812829E-3</v>
      </c>
      <c r="Y61" s="5">
        <f t="shared" ca="1" si="118"/>
        <v>6.6974926893556379E-3</v>
      </c>
      <c r="Z61" s="5">
        <f t="shared" ca="1" si="119"/>
        <v>6.7851175301180122E-3</v>
      </c>
      <c r="AA61" s="5">
        <f t="shared" ca="1" si="120"/>
        <v>6.4557265826627073E-3</v>
      </c>
      <c r="AB61" s="5">
        <f t="shared" ca="1" si="121"/>
        <v>7.2350901644515717E-3</v>
      </c>
      <c r="AC61" s="5">
        <f t="shared" ca="1" si="122"/>
        <v>7.121165787168063E-3</v>
      </c>
      <c r="AD61" s="5">
        <f t="shared" ca="1" si="123"/>
        <v>6.4710913516242497E-3</v>
      </c>
      <c r="AE61" s="5">
        <f t="shared" ca="1" si="124"/>
        <v>7.0067495218734807E-3</v>
      </c>
      <c r="AF61" s="5">
        <f t="shared" ca="1" si="125"/>
        <v>6.496839290227866E-3</v>
      </c>
      <c r="AG61" s="5">
        <f t="shared" ca="1" si="126"/>
        <v>6.6526041351509307E-3</v>
      </c>
      <c r="AH61" s="5">
        <f t="shared" ca="1" si="127"/>
        <v>6.2018463976791106E-3</v>
      </c>
      <c r="AI61" s="5">
        <f t="shared" ca="1" si="128"/>
        <v>6.9936555228274763E-3</v>
      </c>
      <c r="AJ61" s="5">
        <f t="shared" ca="1" si="129"/>
        <v>6.4958212835240208E-3</v>
      </c>
      <c r="AK61" s="5">
        <f t="shared" ca="1" si="130"/>
        <v>6.8259224533152836E-3</v>
      </c>
      <c r="AL61" s="5">
        <f t="shared" ca="1" si="131"/>
        <v>6.555628413057216E-3</v>
      </c>
      <c r="AM61" s="5">
        <f t="shared" ca="1" si="132"/>
        <v>6.9631668149587383E-3</v>
      </c>
      <c r="AN61" s="5">
        <f t="shared" ca="1" si="133"/>
        <v>6.7109845651951638E-3</v>
      </c>
      <c r="AO61" s="5">
        <f t="shared" ca="1" si="134"/>
        <v>7.2710490400102034E-3</v>
      </c>
      <c r="AP61" s="5">
        <f t="shared" ca="1" si="135"/>
        <v>6.5704276792510671E-3</v>
      </c>
      <c r="AQ61" s="5">
        <f t="shared" ca="1" si="136"/>
        <v>6.3210037183730828E-3</v>
      </c>
      <c r="AR61" s="5">
        <f t="shared" ca="1" si="137"/>
        <v>6.5931591715017454E-3</v>
      </c>
      <c r="AS61" s="5">
        <f t="shared" ca="1" si="138"/>
        <v>6.8651408899039409E-3</v>
      </c>
      <c r="AT61" s="5">
        <f t="shared" ca="1" si="139"/>
        <v>6.2360827564431854E-3</v>
      </c>
      <c r="AU61" s="5">
        <f t="shared" ca="1" si="140"/>
        <v>6.4317276816373793E-3</v>
      </c>
      <c r="AV61" s="5">
        <f t="shared" ca="1" si="141"/>
        <v>6.5527821389932215E-3</v>
      </c>
      <c r="AW61" s="5">
        <f t="shared" ca="1" si="142"/>
        <v>6.9844089272163463E-3</v>
      </c>
      <c r="AX61" s="5">
        <f t="shared" ca="1" si="143"/>
        <v>6.3248406163172784E-3</v>
      </c>
      <c r="AY61" s="5">
        <f t="shared" ca="1" si="144"/>
        <v>6.604159132539123E-3</v>
      </c>
      <c r="AZ61" s="5">
        <f t="shared" ca="1" si="145"/>
        <v>6.7977001527771671E-3</v>
      </c>
      <c r="BA61" s="5">
        <f t="shared" ca="1" si="146"/>
        <v>6.6420118593006269E-3</v>
      </c>
      <c r="BB61" s="5">
        <f t="shared" ca="1" si="147"/>
        <v>6.7652032799932864E-3</v>
      </c>
      <c r="BC61" s="5">
        <f t="shared" ca="1" si="148"/>
        <v>6.3605357437132347E-3</v>
      </c>
      <c r="BD61" s="5">
        <f t="shared" ca="1" si="149"/>
        <v>6.5975432570513316E-3</v>
      </c>
      <c r="BE61" s="5">
        <f t="shared" ca="1" si="150"/>
        <v>7.3633453007265785E-3</v>
      </c>
      <c r="BF61" s="5">
        <f t="shared" ca="1" si="151"/>
        <v>6.9963721174507096E-3</v>
      </c>
      <c r="BG61" s="5">
        <f t="shared" ca="1" si="152"/>
        <v>6.2860279372892926E-3</v>
      </c>
      <c r="BH61" s="5">
        <f t="shared" ca="1" si="153"/>
        <v>6.1900060862849051E-3</v>
      </c>
      <c r="BI61" s="5">
        <f t="shared" ca="1" si="154"/>
        <v>7.1901598974486152E-3</v>
      </c>
      <c r="BJ61" s="5">
        <f t="shared" ca="1" si="155"/>
        <v>6.813746668448797E-3</v>
      </c>
      <c r="BK61" s="5">
        <f t="shared" ca="1" si="156"/>
        <v>6.8620490360580769E-3</v>
      </c>
      <c r="BL61" s="5">
        <f t="shared" ca="1" si="157"/>
        <v>6.9561716051393108E-3</v>
      </c>
      <c r="BM61" s="5">
        <f t="shared" ca="1" si="158"/>
        <v>6.2759907377602266E-3</v>
      </c>
      <c r="BN61" s="5">
        <f t="shared" ca="1" si="159"/>
        <v>6.4377429016951055E-3</v>
      </c>
      <c r="BO61" s="5">
        <f t="shared" ca="1" si="160"/>
        <v>6.6993098372357283E-3</v>
      </c>
      <c r="BP61" s="5">
        <f t="shared" ca="1" si="161"/>
        <v>6.6974348802607215E-3</v>
      </c>
      <c r="BQ61" s="5">
        <f t="shared" ca="1" si="162"/>
        <v>6.3172580388702508E-3</v>
      </c>
      <c r="BR61" s="5">
        <f t="shared" ca="1" si="163"/>
        <v>6.2673272849933064E-3</v>
      </c>
      <c r="BS61" s="5">
        <f t="shared" ca="1" si="164"/>
        <v>6.7669511883441686E-3</v>
      </c>
      <c r="BT61" s="5">
        <f t="shared" ca="1" si="165"/>
        <v>6.3437125887995166E-3</v>
      </c>
      <c r="BU61" s="5">
        <f t="shared" ca="1" si="166"/>
        <v>6.8535877786273444E-3</v>
      </c>
      <c r="BV61" s="5">
        <f t="shared" ca="1" si="167"/>
        <v>6.7111463781407438E-3</v>
      </c>
      <c r="BW61" s="5">
        <f t="shared" ca="1" si="168"/>
        <v>6.7855648686432719E-3</v>
      </c>
      <c r="BX61" s="5">
        <f t="shared" ca="1" si="169"/>
        <v>6.8390446397405122E-3</v>
      </c>
      <c r="BY61" s="5">
        <f t="shared" ca="1" si="170"/>
        <v>6.2908008619274765E-3</v>
      </c>
      <c r="BZ61" s="5">
        <f t="shared" ca="1" si="171"/>
        <v>6.9575659880779274E-3</v>
      </c>
      <c r="CA61" s="5">
        <f t="shared" ca="1" si="172"/>
        <v>6.1364533442063544E-3</v>
      </c>
      <c r="CB61" s="5">
        <f t="shared" ca="1" si="173"/>
        <v>6.6746981938857796E-3</v>
      </c>
      <c r="CC61" s="5">
        <f t="shared" ca="1" si="174"/>
        <v>6.5111912565020795E-3</v>
      </c>
      <c r="CD61" s="5">
        <f t="shared" ca="1" si="175"/>
        <v>6.8070813100686153E-3</v>
      </c>
      <c r="CE61" s="5">
        <f t="shared" ca="1" si="176"/>
        <v>6.3945718606714811E-3</v>
      </c>
      <c r="CF61" s="5">
        <f t="shared" ca="1" si="177"/>
        <v>6.9403350556431209E-3</v>
      </c>
      <c r="CG61" s="5">
        <f t="shared" ca="1" si="178"/>
        <v>6.8556495582549476E-3</v>
      </c>
      <c r="CH61" s="5">
        <f t="shared" ca="1" si="179"/>
        <v>6.0602659528865644E-3</v>
      </c>
      <c r="CI61" s="5">
        <f t="shared" ca="1" si="180"/>
        <v>6.9205331940002E-3</v>
      </c>
      <c r="CJ61" s="5">
        <f t="shared" ca="1" si="181"/>
        <v>7.0933118979317668E-3</v>
      </c>
      <c r="CK61" s="5">
        <f t="shared" ca="1" si="182"/>
        <v>6.7059512153910409E-3</v>
      </c>
      <c r="CL61" s="5">
        <f t="shared" ca="1" si="183"/>
        <v>6.8871965344900338E-3</v>
      </c>
      <c r="CM61" s="5">
        <f t="shared" ca="1" si="184"/>
        <v>6.9728749535260849E-3</v>
      </c>
      <c r="CN61" s="5">
        <f t="shared" ca="1" si="185"/>
        <v>6.8368762520055826E-3</v>
      </c>
      <c r="CO61" s="5">
        <f t="shared" ca="1" si="186"/>
        <v>6.8336209806632202E-3</v>
      </c>
      <c r="CP61" s="5">
        <f t="shared" ca="1" si="187"/>
        <v>7.115865660841175E-3</v>
      </c>
      <c r="CQ61" s="5">
        <f t="shared" ca="1" si="188"/>
        <v>6.9367689860551224E-3</v>
      </c>
      <c r="CR61" s="5">
        <f t="shared" ca="1" si="189"/>
        <v>6.6058716262334784E-3</v>
      </c>
      <c r="CS61" s="5">
        <f t="shared" ca="1" si="190"/>
        <v>6.8719142339030859E-3</v>
      </c>
      <c r="CT61" s="5">
        <f t="shared" ca="1" si="191"/>
        <v>7.3451205863148926E-3</v>
      </c>
      <c r="CU61" s="5">
        <f t="shared" ca="1" si="192"/>
        <v>6.2862509453429985E-3</v>
      </c>
      <c r="CV61" s="5">
        <f t="shared" ca="1" si="193"/>
        <v>6.7432724562708352E-3</v>
      </c>
      <c r="CW61" s="5">
        <f t="shared" ca="1" si="194"/>
        <v>6.3639720211664686E-3</v>
      </c>
      <c r="CX61" s="5">
        <f t="shared" ca="1" si="195"/>
        <v>5.9705150305654946E-3</v>
      </c>
      <c r="CY61" s="5">
        <f t="shared" ca="1" si="196"/>
        <v>6.5967519847917305E-3</v>
      </c>
      <c r="CZ61" s="5">
        <f t="shared" ca="1" si="197"/>
        <v>6.1088256327181166E-3</v>
      </c>
      <c r="DA61" s="5">
        <f t="shared" ca="1" si="198"/>
        <v>6.9349258034783184E-3</v>
      </c>
      <c r="DB61" s="5">
        <f t="shared" ca="1" si="199"/>
        <v>6.6563346528751011E-3</v>
      </c>
      <c r="DC61" s="5">
        <f t="shared" ca="1" si="200"/>
        <v>6.9643898408909407E-3</v>
      </c>
      <c r="DD61" s="5">
        <f t="shared" ca="1" si="201"/>
        <v>6.6359991299911759E-3</v>
      </c>
      <c r="DE61" s="5">
        <f t="shared" ca="1" si="202"/>
        <v>6.693379285372625E-3</v>
      </c>
      <c r="DF61" s="5">
        <f t="shared" ca="1" si="203"/>
        <v>6.6303112071039198E-3</v>
      </c>
      <c r="DG61" s="5">
        <f t="shared" ca="1" si="204"/>
        <v>6.462714631178609E-3</v>
      </c>
      <c r="DH61" s="5">
        <f t="shared" ca="1" si="205"/>
        <v>6.8135292557636139E-3</v>
      </c>
      <c r="DI61" s="5">
        <f t="shared" ca="1" si="206"/>
        <v>6.8493669200171067E-3</v>
      </c>
      <c r="DJ61" s="5">
        <f t="shared" ca="1" si="207"/>
        <v>6.972625388521024E-3</v>
      </c>
    </row>
    <row r="62" spans="5:114" outlineLevel="1" x14ac:dyDescent="0.2">
      <c r="E62" s="32">
        <v>46357</v>
      </c>
      <c r="F62" s="9">
        <v>2871.8507999999997</v>
      </c>
      <c r="G62" s="5">
        <f t="shared" ca="1" si="105"/>
        <v>-4.9845445556168481E-3</v>
      </c>
      <c r="H62" s="5">
        <f t="shared" ca="1" si="106"/>
        <v>6.246002307526686E-3</v>
      </c>
      <c r="I62" s="9">
        <f t="shared" ca="1" si="107"/>
        <v>138136.12499220431</v>
      </c>
      <c r="K62" s="6">
        <v>58</v>
      </c>
      <c r="L62" s="5">
        <v>361928.19039238832</v>
      </c>
      <c r="N62" s="32">
        <v>46327</v>
      </c>
      <c r="O62" s="5">
        <f t="shared" ca="1" si="108"/>
        <v>6.5799526356425794E-3</v>
      </c>
      <c r="P62" s="5">
        <f t="shared" ca="1" si="109"/>
        <v>6.4810195010529172E-3</v>
      </c>
      <c r="Q62" s="5">
        <f t="shared" ca="1" si="110"/>
        <v>6.4581384947412007E-3</v>
      </c>
      <c r="R62" s="5">
        <f t="shared" ca="1" si="111"/>
        <v>6.3881061175066192E-3</v>
      </c>
      <c r="S62" s="5">
        <f t="shared" ca="1" si="112"/>
        <v>6.0776024439866041E-3</v>
      </c>
      <c r="T62" s="5">
        <f t="shared" ca="1" si="113"/>
        <v>5.883465276133865E-3</v>
      </c>
      <c r="U62" s="5">
        <f t="shared" ca="1" si="114"/>
        <v>6.701830181159313E-3</v>
      </c>
      <c r="V62" s="5">
        <f t="shared" ca="1" si="115"/>
        <v>6.5804135081363423E-3</v>
      </c>
      <c r="W62" s="5">
        <f t="shared" ca="1" si="116"/>
        <v>6.8132537198188703E-3</v>
      </c>
      <c r="X62" s="5">
        <f t="shared" ca="1" si="117"/>
        <v>6.8120206216586241E-3</v>
      </c>
      <c r="Y62" s="5">
        <f t="shared" ca="1" si="118"/>
        <v>6.7247326518151624E-3</v>
      </c>
      <c r="Z62" s="5">
        <f t="shared" ca="1" si="119"/>
        <v>6.8378097538888587E-3</v>
      </c>
      <c r="AA62" s="5">
        <f t="shared" ca="1" si="120"/>
        <v>6.4878925396546546E-3</v>
      </c>
      <c r="AB62" s="5">
        <f t="shared" ca="1" si="121"/>
        <v>7.2106353139531395E-3</v>
      </c>
      <c r="AC62" s="5">
        <f t="shared" ca="1" si="122"/>
        <v>7.1123231335240818E-3</v>
      </c>
      <c r="AD62" s="5">
        <f t="shared" ca="1" si="123"/>
        <v>6.500410768729775E-3</v>
      </c>
      <c r="AE62" s="5">
        <f t="shared" ca="1" si="124"/>
        <v>7.0076466247029527E-3</v>
      </c>
      <c r="AF62" s="5">
        <f t="shared" ca="1" si="125"/>
        <v>6.4441045634692513E-3</v>
      </c>
      <c r="AG62" s="5">
        <f t="shared" ca="1" si="126"/>
        <v>6.6628205670382183E-3</v>
      </c>
      <c r="AH62" s="5">
        <f t="shared" ca="1" si="127"/>
        <v>6.1491909028102611E-3</v>
      </c>
      <c r="AI62" s="5">
        <f t="shared" ca="1" si="128"/>
        <v>6.930820776978824E-3</v>
      </c>
      <c r="AJ62" s="5">
        <f t="shared" ca="1" si="129"/>
        <v>6.4125727307043738E-3</v>
      </c>
      <c r="AK62" s="5">
        <f t="shared" ca="1" si="130"/>
        <v>6.8884864328914832E-3</v>
      </c>
      <c r="AL62" s="5">
        <f t="shared" ca="1" si="131"/>
        <v>6.5703348010285644E-3</v>
      </c>
      <c r="AM62" s="5">
        <f t="shared" ca="1" si="132"/>
        <v>7.0746993639966265E-3</v>
      </c>
      <c r="AN62" s="5">
        <f t="shared" ca="1" si="133"/>
        <v>6.7939794965618215E-3</v>
      </c>
      <c r="AO62" s="5">
        <f t="shared" ca="1" si="134"/>
        <v>7.2709024188493919E-3</v>
      </c>
      <c r="AP62" s="5">
        <f t="shared" ca="1" si="135"/>
        <v>6.4873439540748994E-3</v>
      </c>
      <c r="AQ62" s="5">
        <f t="shared" ca="1" si="136"/>
        <v>6.2734997853926789E-3</v>
      </c>
      <c r="AR62" s="5">
        <f t="shared" ca="1" si="137"/>
        <v>6.5947664232793206E-3</v>
      </c>
      <c r="AS62" s="5">
        <f t="shared" ca="1" si="138"/>
        <v>6.9148547328314715E-3</v>
      </c>
      <c r="AT62" s="5">
        <f t="shared" ca="1" si="139"/>
        <v>6.202864740481033E-3</v>
      </c>
      <c r="AU62" s="5">
        <f t="shared" ca="1" si="140"/>
        <v>6.3938334383525086E-3</v>
      </c>
      <c r="AV62" s="5">
        <f t="shared" ca="1" si="141"/>
        <v>6.5566774420287412E-3</v>
      </c>
      <c r="AW62" s="5">
        <f t="shared" ca="1" si="142"/>
        <v>7.0067092984604819E-3</v>
      </c>
      <c r="AX62" s="5">
        <f t="shared" ca="1" si="143"/>
        <v>6.2655757910893544E-3</v>
      </c>
      <c r="AY62" s="5">
        <f t="shared" ca="1" si="144"/>
        <v>6.6051667123606878E-3</v>
      </c>
      <c r="AZ62" s="5">
        <f t="shared" ca="1" si="145"/>
        <v>6.8975757185766751E-3</v>
      </c>
      <c r="BA62" s="5">
        <f t="shared" ca="1" si="146"/>
        <v>6.6899193914590092E-3</v>
      </c>
      <c r="BB62" s="5">
        <f t="shared" ca="1" si="147"/>
        <v>6.6436691092708394E-3</v>
      </c>
      <c r="BC62" s="5">
        <f t="shared" ca="1" si="148"/>
        <v>6.3945874609697591E-3</v>
      </c>
      <c r="BD62" s="5">
        <f t="shared" ca="1" si="149"/>
        <v>6.6300442038862845E-3</v>
      </c>
      <c r="BE62" s="5">
        <f t="shared" ca="1" si="150"/>
        <v>7.3916854885083243E-3</v>
      </c>
      <c r="BF62" s="5">
        <f t="shared" ca="1" si="151"/>
        <v>7.0073697161232235E-3</v>
      </c>
      <c r="BG62" s="5">
        <f t="shared" ca="1" si="152"/>
        <v>6.3639892445535445E-3</v>
      </c>
      <c r="BH62" s="5">
        <f t="shared" ca="1" si="153"/>
        <v>6.2538947425684697E-3</v>
      </c>
      <c r="BI62" s="5">
        <f t="shared" ca="1" si="154"/>
        <v>7.2222627107421606E-3</v>
      </c>
      <c r="BJ62" s="5">
        <f t="shared" ca="1" si="155"/>
        <v>6.8307726990807661E-3</v>
      </c>
      <c r="BK62" s="5">
        <f t="shared" ca="1" si="156"/>
        <v>6.9460996653113805E-3</v>
      </c>
      <c r="BL62" s="5">
        <f t="shared" ca="1" si="157"/>
        <v>6.866514086628946E-3</v>
      </c>
      <c r="BM62" s="5">
        <f t="shared" ca="1" si="158"/>
        <v>6.1877923224150947E-3</v>
      </c>
      <c r="BN62" s="5">
        <f t="shared" ca="1" si="159"/>
        <v>6.4114605329176231E-3</v>
      </c>
      <c r="BO62" s="5">
        <f t="shared" ca="1" si="160"/>
        <v>6.8123432112558438E-3</v>
      </c>
      <c r="BP62" s="5">
        <f t="shared" ca="1" si="161"/>
        <v>6.6462152073292454E-3</v>
      </c>
      <c r="BQ62" s="5">
        <f t="shared" ca="1" si="162"/>
        <v>6.2891608580305635E-3</v>
      </c>
      <c r="BR62" s="5">
        <f t="shared" ca="1" si="163"/>
        <v>6.2814214623605974E-3</v>
      </c>
      <c r="BS62" s="5">
        <f t="shared" ca="1" si="164"/>
        <v>6.7767017433663281E-3</v>
      </c>
      <c r="BT62" s="5">
        <f t="shared" ca="1" si="165"/>
        <v>6.4022094345689414E-3</v>
      </c>
      <c r="BU62" s="5">
        <f t="shared" ca="1" si="166"/>
        <v>6.8789512530374689E-3</v>
      </c>
      <c r="BV62" s="5">
        <f t="shared" ca="1" si="167"/>
        <v>6.7417380718864705E-3</v>
      </c>
      <c r="BW62" s="5">
        <f t="shared" ca="1" si="168"/>
        <v>6.9097187960518672E-3</v>
      </c>
      <c r="BX62" s="5">
        <f t="shared" ca="1" si="169"/>
        <v>6.8151584331141877E-3</v>
      </c>
      <c r="BY62" s="5">
        <f t="shared" ca="1" si="170"/>
        <v>6.2931843433825943E-3</v>
      </c>
      <c r="BZ62" s="5">
        <f t="shared" ca="1" si="171"/>
        <v>7.0036614075426433E-3</v>
      </c>
      <c r="CA62" s="5">
        <f t="shared" ca="1" si="172"/>
        <v>6.1032289375020149E-3</v>
      </c>
      <c r="CB62" s="5">
        <f t="shared" ca="1" si="173"/>
        <v>6.6780825158517581E-3</v>
      </c>
      <c r="CC62" s="5">
        <f t="shared" ca="1" si="174"/>
        <v>6.5318525187627484E-3</v>
      </c>
      <c r="CD62" s="5">
        <f t="shared" ca="1" si="175"/>
        <v>6.8570455481362274E-3</v>
      </c>
      <c r="CE62" s="5">
        <f t="shared" ca="1" si="176"/>
        <v>6.4089262754657367E-3</v>
      </c>
      <c r="CF62" s="5">
        <f t="shared" ca="1" si="177"/>
        <v>6.960747914412457E-3</v>
      </c>
      <c r="CG62" s="5">
        <f t="shared" ca="1" si="178"/>
        <v>6.8481879924168617E-3</v>
      </c>
      <c r="CH62" s="5">
        <f t="shared" ca="1" si="179"/>
        <v>6.0238095351858268E-3</v>
      </c>
      <c r="CI62" s="5">
        <f t="shared" ca="1" si="180"/>
        <v>6.935191622649297E-3</v>
      </c>
      <c r="CJ62" s="5">
        <f t="shared" ca="1" si="181"/>
        <v>7.0976290444343488E-3</v>
      </c>
      <c r="CK62" s="5">
        <f t="shared" ca="1" si="182"/>
        <v>6.6884310507782929E-3</v>
      </c>
      <c r="CL62" s="5">
        <f t="shared" ca="1" si="183"/>
        <v>6.918270212809087E-3</v>
      </c>
      <c r="CM62" s="5">
        <f t="shared" ca="1" si="184"/>
        <v>6.9735615026873515E-3</v>
      </c>
      <c r="CN62" s="5">
        <f t="shared" ca="1" si="185"/>
        <v>6.8025835088399537E-3</v>
      </c>
      <c r="CO62" s="5">
        <f t="shared" ca="1" si="186"/>
        <v>6.820937329060214E-3</v>
      </c>
      <c r="CP62" s="5">
        <f t="shared" ca="1" si="187"/>
        <v>7.0073699807166098E-3</v>
      </c>
      <c r="CQ62" s="5">
        <f t="shared" ca="1" si="188"/>
        <v>6.908526615741933E-3</v>
      </c>
      <c r="CR62" s="5">
        <f t="shared" ca="1" si="189"/>
        <v>6.5837912751902693E-3</v>
      </c>
      <c r="CS62" s="5">
        <f t="shared" ca="1" si="190"/>
        <v>6.8577905000765018E-3</v>
      </c>
      <c r="CT62" s="5">
        <f t="shared" ca="1" si="191"/>
        <v>7.3466950489862537E-3</v>
      </c>
      <c r="CU62" s="5">
        <f t="shared" ca="1" si="192"/>
        <v>6.3379882394345877E-3</v>
      </c>
      <c r="CV62" s="5">
        <f t="shared" ca="1" si="193"/>
        <v>6.7105769524362811E-3</v>
      </c>
      <c r="CW62" s="5">
        <f t="shared" ca="1" si="194"/>
        <v>6.4200019118414347E-3</v>
      </c>
      <c r="CX62" s="5">
        <f t="shared" ca="1" si="195"/>
        <v>5.9527821137347293E-3</v>
      </c>
      <c r="CY62" s="5">
        <f t="shared" ca="1" si="196"/>
        <v>6.6930901671971282E-3</v>
      </c>
      <c r="CZ62" s="5">
        <f t="shared" ca="1" si="197"/>
        <v>6.1215407681644539E-3</v>
      </c>
      <c r="DA62" s="5">
        <f t="shared" ca="1" si="198"/>
        <v>6.9705944159021748E-3</v>
      </c>
      <c r="DB62" s="5">
        <f t="shared" ca="1" si="199"/>
        <v>6.7189572010465356E-3</v>
      </c>
      <c r="DC62" s="5">
        <f t="shared" ca="1" si="200"/>
        <v>7.0654258867963414E-3</v>
      </c>
      <c r="DD62" s="5">
        <f t="shared" ca="1" si="201"/>
        <v>6.7151209657990516E-3</v>
      </c>
      <c r="DE62" s="5">
        <f t="shared" ca="1" si="202"/>
        <v>6.722237250454813E-3</v>
      </c>
      <c r="DF62" s="5">
        <f t="shared" ca="1" si="203"/>
        <v>6.6365603056410885E-3</v>
      </c>
      <c r="DG62" s="5">
        <f t="shared" ca="1" si="204"/>
        <v>6.508141941574507E-3</v>
      </c>
      <c r="DH62" s="5">
        <f t="shared" ca="1" si="205"/>
        <v>6.7665263055404013E-3</v>
      </c>
      <c r="DI62" s="5">
        <f t="shared" ca="1" si="206"/>
        <v>6.8940287765438162E-3</v>
      </c>
      <c r="DJ62" s="5">
        <f t="shared" ca="1" si="207"/>
        <v>6.9424447849463907E-3</v>
      </c>
    </row>
    <row r="63" spans="5:114" outlineLevel="1" x14ac:dyDescent="0.2">
      <c r="E63" s="32">
        <v>46388</v>
      </c>
      <c r="F63" s="9">
        <v>2871.8507999999997</v>
      </c>
      <c r="G63" s="5">
        <f t="shared" ca="1" si="105"/>
        <v>-3.2537536628616734E-2</v>
      </c>
      <c r="H63" s="5">
        <f t="shared" ca="1" si="106"/>
        <v>6.2495625691538137E-3</v>
      </c>
      <c r="I63" s="9">
        <f t="shared" ca="1" si="107"/>
        <v>141079.93539176192</v>
      </c>
      <c r="K63" s="6">
        <v>59</v>
      </c>
      <c r="L63" s="5">
        <v>362507.66721769574</v>
      </c>
      <c r="N63" s="32">
        <v>46357</v>
      </c>
      <c r="O63" s="5">
        <f t="shared" ca="1" si="108"/>
        <v>6.5212733447753482E-3</v>
      </c>
      <c r="P63" s="5">
        <f t="shared" ca="1" si="109"/>
        <v>6.501801055458294E-3</v>
      </c>
      <c r="Q63" s="5">
        <f t="shared" ca="1" si="110"/>
        <v>6.5138223700726998E-3</v>
      </c>
      <c r="R63" s="5">
        <f t="shared" ca="1" si="111"/>
        <v>6.3576976064484286E-3</v>
      </c>
      <c r="S63" s="5">
        <f t="shared" ca="1" si="112"/>
        <v>6.0349085545347769E-3</v>
      </c>
      <c r="T63" s="5">
        <f t="shared" ca="1" si="113"/>
        <v>5.9377191967660992E-3</v>
      </c>
      <c r="U63" s="5">
        <f t="shared" ca="1" si="114"/>
        <v>6.7033553959939089E-3</v>
      </c>
      <c r="V63" s="5">
        <f t="shared" ca="1" si="115"/>
        <v>6.6007999024265719E-3</v>
      </c>
      <c r="W63" s="5">
        <f t="shared" ca="1" si="116"/>
        <v>6.8537738760075274E-3</v>
      </c>
      <c r="X63" s="5">
        <f t="shared" ca="1" si="117"/>
        <v>6.7873917047606069E-3</v>
      </c>
      <c r="Y63" s="5">
        <f t="shared" ca="1" si="118"/>
        <v>6.7706151222601671E-3</v>
      </c>
      <c r="Z63" s="5">
        <f t="shared" ca="1" si="119"/>
        <v>6.8451147084050484E-3</v>
      </c>
      <c r="AA63" s="5">
        <f t="shared" ca="1" si="120"/>
        <v>6.4566147993301995E-3</v>
      </c>
      <c r="AB63" s="5">
        <f t="shared" ca="1" si="121"/>
        <v>7.22594439832121E-3</v>
      </c>
      <c r="AC63" s="5">
        <f t="shared" ca="1" si="122"/>
        <v>7.1565944314053095E-3</v>
      </c>
      <c r="AD63" s="5">
        <f t="shared" ca="1" si="123"/>
        <v>6.5680125939839192E-3</v>
      </c>
      <c r="AE63" s="5">
        <f t="shared" ca="1" si="124"/>
        <v>7.0490600972580846E-3</v>
      </c>
      <c r="AF63" s="5">
        <f t="shared" ca="1" si="125"/>
        <v>6.5133688791353507E-3</v>
      </c>
      <c r="AG63" s="5">
        <f t="shared" ca="1" si="126"/>
        <v>6.6633310642450379E-3</v>
      </c>
      <c r="AH63" s="5">
        <f t="shared" ca="1" si="127"/>
        <v>6.2329081853834956E-3</v>
      </c>
      <c r="AI63" s="5">
        <f t="shared" ca="1" si="128"/>
        <v>6.9361074603232183E-3</v>
      </c>
      <c r="AJ63" s="5">
        <f t="shared" ca="1" si="129"/>
        <v>6.3923893368160491E-3</v>
      </c>
      <c r="AK63" s="5">
        <f t="shared" ca="1" si="130"/>
        <v>6.9550555259126137E-3</v>
      </c>
      <c r="AL63" s="5">
        <f t="shared" ca="1" si="131"/>
        <v>6.5149971334209954E-3</v>
      </c>
      <c r="AM63" s="5">
        <f t="shared" ca="1" si="132"/>
        <v>6.9769157386064254E-3</v>
      </c>
      <c r="AN63" s="5">
        <f t="shared" ca="1" si="133"/>
        <v>6.8671143890093149E-3</v>
      </c>
      <c r="AO63" s="5">
        <f t="shared" ca="1" si="134"/>
        <v>7.2634456163917704E-3</v>
      </c>
      <c r="AP63" s="5">
        <f t="shared" ca="1" si="135"/>
        <v>6.5300359067890102E-3</v>
      </c>
      <c r="AQ63" s="5">
        <f t="shared" ca="1" si="136"/>
        <v>6.2236492777939202E-3</v>
      </c>
      <c r="AR63" s="5">
        <f t="shared" ca="1" si="137"/>
        <v>6.6484860002721316E-3</v>
      </c>
      <c r="AS63" s="5">
        <f t="shared" ca="1" si="138"/>
        <v>6.9392606433590666E-3</v>
      </c>
      <c r="AT63" s="5">
        <f t="shared" ca="1" si="139"/>
        <v>6.1925058921087376E-3</v>
      </c>
      <c r="AU63" s="5">
        <f t="shared" ca="1" si="140"/>
        <v>6.3534105078405911E-3</v>
      </c>
      <c r="AV63" s="5">
        <f t="shared" ca="1" si="141"/>
        <v>6.530565597441188E-3</v>
      </c>
      <c r="AW63" s="5">
        <f t="shared" ca="1" si="142"/>
        <v>6.9841713132998825E-3</v>
      </c>
      <c r="AX63" s="5">
        <f t="shared" ca="1" si="143"/>
        <v>6.31798172579377E-3</v>
      </c>
      <c r="AY63" s="5">
        <f t="shared" ca="1" si="144"/>
        <v>6.5680847051155459E-3</v>
      </c>
      <c r="AZ63" s="5">
        <f t="shared" ca="1" si="145"/>
        <v>6.93050212098384E-3</v>
      </c>
      <c r="BA63" s="5">
        <f t="shared" ca="1" si="146"/>
        <v>6.7953855582933449E-3</v>
      </c>
      <c r="BB63" s="5">
        <f t="shared" ca="1" si="147"/>
        <v>6.5968251393342392E-3</v>
      </c>
      <c r="BC63" s="5">
        <f t="shared" ca="1" si="148"/>
        <v>6.4396277027528896E-3</v>
      </c>
      <c r="BD63" s="5">
        <f t="shared" ca="1" si="149"/>
        <v>6.6370653161266155E-3</v>
      </c>
      <c r="BE63" s="5">
        <f t="shared" ca="1" si="150"/>
        <v>7.3806084529300566E-3</v>
      </c>
      <c r="BF63" s="5">
        <f t="shared" ca="1" si="151"/>
        <v>7.04064032920566E-3</v>
      </c>
      <c r="BG63" s="5">
        <f t="shared" ca="1" si="152"/>
        <v>6.4035803326505086E-3</v>
      </c>
      <c r="BH63" s="5">
        <f t="shared" ca="1" si="153"/>
        <v>6.3303533449476585E-3</v>
      </c>
      <c r="BI63" s="5">
        <f t="shared" ca="1" si="154"/>
        <v>7.2453122073208873E-3</v>
      </c>
      <c r="BJ63" s="5">
        <f t="shared" ca="1" si="155"/>
        <v>6.8715361829905352E-3</v>
      </c>
      <c r="BK63" s="5">
        <f t="shared" ca="1" si="156"/>
        <v>6.9971680255836348E-3</v>
      </c>
      <c r="BL63" s="5">
        <f t="shared" ca="1" si="157"/>
        <v>6.9003180552209102E-3</v>
      </c>
      <c r="BM63" s="5">
        <f t="shared" ca="1" si="158"/>
        <v>6.2518765808611248E-3</v>
      </c>
      <c r="BN63" s="5">
        <f t="shared" ca="1" si="159"/>
        <v>6.3822147253272789E-3</v>
      </c>
      <c r="BO63" s="5">
        <f t="shared" ca="1" si="160"/>
        <v>6.8434316019818755E-3</v>
      </c>
      <c r="BP63" s="5">
        <f t="shared" ca="1" si="161"/>
        <v>6.621382173219505E-3</v>
      </c>
      <c r="BQ63" s="5">
        <f t="shared" ca="1" si="162"/>
        <v>6.267489528797114E-3</v>
      </c>
      <c r="BR63" s="5">
        <f t="shared" ca="1" si="163"/>
        <v>6.1795161602312141E-3</v>
      </c>
      <c r="BS63" s="5">
        <f t="shared" ca="1" si="164"/>
        <v>6.7693937152376272E-3</v>
      </c>
      <c r="BT63" s="5">
        <f t="shared" ca="1" si="165"/>
        <v>6.4166405880587002E-3</v>
      </c>
      <c r="BU63" s="5">
        <f t="shared" ca="1" si="166"/>
        <v>6.8252650897257594E-3</v>
      </c>
      <c r="BV63" s="5">
        <f t="shared" ca="1" si="167"/>
        <v>6.7711226935187824E-3</v>
      </c>
      <c r="BW63" s="5">
        <f t="shared" ca="1" si="168"/>
        <v>6.9489882378779072E-3</v>
      </c>
      <c r="BX63" s="5">
        <f t="shared" ca="1" si="169"/>
        <v>6.7995888406599996E-3</v>
      </c>
      <c r="BY63" s="5">
        <f t="shared" ca="1" si="170"/>
        <v>6.2644374406646691E-3</v>
      </c>
      <c r="BZ63" s="5">
        <f t="shared" ca="1" si="171"/>
        <v>7.0342334314128984E-3</v>
      </c>
      <c r="CA63" s="5">
        <f t="shared" ca="1" si="172"/>
        <v>6.0505853975838901E-3</v>
      </c>
      <c r="CB63" s="5">
        <f t="shared" ca="1" si="173"/>
        <v>6.7004830031368902E-3</v>
      </c>
      <c r="CC63" s="5">
        <f t="shared" ca="1" si="174"/>
        <v>6.4810227485172563E-3</v>
      </c>
      <c r="CD63" s="5">
        <f t="shared" ca="1" si="175"/>
        <v>6.8796652872275899E-3</v>
      </c>
      <c r="CE63" s="5">
        <f t="shared" ca="1" si="176"/>
        <v>6.3695469030397448E-3</v>
      </c>
      <c r="CF63" s="5">
        <f t="shared" ca="1" si="177"/>
        <v>6.9896507822415537E-3</v>
      </c>
      <c r="CG63" s="5">
        <f t="shared" ca="1" si="178"/>
        <v>6.7879158807656386E-3</v>
      </c>
      <c r="CH63" s="5">
        <f t="shared" ca="1" si="179"/>
        <v>6.0003352497243886E-3</v>
      </c>
      <c r="CI63" s="5">
        <f t="shared" ca="1" si="180"/>
        <v>6.942305883928997E-3</v>
      </c>
      <c r="CJ63" s="5">
        <f t="shared" ca="1" si="181"/>
        <v>7.1104552772672611E-3</v>
      </c>
      <c r="CK63" s="5">
        <f t="shared" ca="1" si="182"/>
        <v>6.7759092666794711E-3</v>
      </c>
      <c r="CL63" s="5">
        <f t="shared" ca="1" si="183"/>
        <v>6.8979576951055744E-3</v>
      </c>
      <c r="CM63" s="5">
        <f t="shared" ca="1" si="184"/>
        <v>6.8902968053176665E-3</v>
      </c>
      <c r="CN63" s="5">
        <f t="shared" ca="1" si="185"/>
        <v>6.7016132310683844E-3</v>
      </c>
      <c r="CO63" s="5">
        <f t="shared" ca="1" si="186"/>
        <v>6.8367902753342915E-3</v>
      </c>
      <c r="CP63" s="5">
        <f t="shared" ca="1" si="187"/>
        <v>6.9897474707934486E-3</v>
      </c>
      <c r="CQ63" s="5">
        <f t="shared" ca="1" si="188"/>
        <v>6.9530075177145446E-3</v>
      </c>
      <c r="CR63" s="5">
        <f t="shared" ca="1" si="189"/>
        <v>6.5958757694206983E-3</v>
      </c>
      <c r="CS63" s="5">
        <f t="shared" ca="1" si="190"/>
        <v>6.8304873816592811E-3</v>
      </c>
      <c r="CT63" s="5">
        <f t="shared" ca="1" si="191"/>
        <v>7.2581200949316119E-3</v>
      </c>
      <c r="CU63" s="5">
        <f t="shared" ca="1" si="192"/>
        <v>6.3025837594581054E-3</v>
      </c>
      <c r="CV63" s="5">
        <f t="shared" ca="1" si="193"/>
        <v>6.7423574865486087E-3</v>
      </c>
      <c r="CW63" s="5">
        <f t="shared" ca="1" si="194"/>
        <v>6.4673710727198627E-3</v>
      </c>
      <c r="CX63" s="5">
        <f t="shared" ca="1" si="195"/>
        <v>5.9915712339362465E-3</v>
      </c>
      <c r="CY63" s="5">
        <f t="shared" ca="1" si="196"/>
        <v>6.736157388703372E-3</v>
      </c>
      <c r="CZ63" s="5">
        <f t="shared" ca="1" si="197"/>
        <v>6.1382813818840996E-3</v>
      </c>
      <c r="DA63" s="5">
        <f t="shared" ca="1" si="198"/>
        <v>6.961951293827714E-3</v>
      </c>
      <c r="DB63" s="5">
        <f t="shared" ca="1" si="199"/>
        <v>6.7121622258324593E-3</v>
      </c>
      <c r="DC63" s="5">
        <f t="shared" ca="1" si="200"/>
        <v>7.1119147519793551E-3</v>
      </c>
      <c r="DD63" s="5">
        <f t="shared" ca="1" si="201"/>
        <v>6.7247915971430849E-3</v>
      </c>
      <c r="DE63" s="5">
        <f t="shared" ca="1" si="202"/>
        <v>6.7448813411909222E-3</v>
      </c>
      <c r="DF63" s="5">
        <f t="shared" ca="1" si="203"/>
        <v>6.6167346853864863E-3</v>
      </c>
      <c r="DG63" s="5">
        <f t="shared" ca="1" si="204"/>
        <v>6.5443961069322956E-3</v>
      </c>
      <c r="DH63" s="5">
        <f t="shared" ca="1" si="205"/>
        <v>6.7706232332546811E-3</v>
      </c>
      <c r="DI63" s="5">
        <f t="shared" ca="1" si="206"/>
        <v>6.8859509168680919E-3</v>
      </c>
      <c r="DJ63" s="5">
        <f t="shared" ca="1" si="207"/>
        <v>6.9959241733162066E-3</v>
      </c>
    </row>
    <row r="64" spans="5:114" outlineLevel="1" x14ac:dyDescent="0.2">
      <c r="E64" s="32">
        <v>46419</v>
      </c>
      <c r="F64" s="9">
        <v>2986.7248319999999</v>
      </c>
      <c r="G64" s="5">
        <f t="shared" ca="1" si="105"/>
        <v>-8.675080252147821E-2</v>
      </c>
      <c r="H64" s="5">
        <f t="shared" ca="1" si="106"/>
        <v>6.2390009691251601E-3</v>
      </c>
      <c r="I64" s="9">
        <f t="shared" ca="1" si="107"/>
        <v>144140.02911610325</v>
      </c>
      <c r="K64" s="6">
        <v>60</v>
      </c>
      <c r="L64" s="5">
        <v>362268.73634723912</v>
      </c>
      <c r="N64" s="32">
        <v>46388</v>
      </c>
      <c r="O64" s="5">
        <f t="shared" ca="1" si="108"/>
        <v>6.5625409237495304E-3</v>
      </c>
      <c r="P64" s="5">
        <f t="shared" ca="1" si="109"/>
        <v>6.4985826343543661E-3</v>
      </c>
      <c r="Q64" s="5">
        <f t="shared" ca="1" si="110"/>
        <v>6.4712404543530904E-3</v>
      </c>
      <c r="R64" s="5">
        <f t="shared" ca="1" si="111"/>
        <v>6.3903458421819105E-3</v>
      </c>
      <c r="S64" s="5">
        <f t="shared" ca="1" si="112"/>
        <v>6.0027715615056099E-3</v>
      </c>
      <c r="T64" s="5">
        <f t="shared" ca="1" si="113"/>
        <v>5.9644180647832491E-3</v>
      </c>
      <c r="U64" s="5">
        <f t="shared" ca="1" si="114"/>
        <v>6.6536047588824504E-3</v>
      </c>
      <c r="V64" s="5">
        <f t="shared" ca="1" si="115"/>
        <v>6.6263835522387231E-3</v>
      </c>
      <c r="W64" s="5">
        <f t="shared" ca="1" si="116"/>
        <v>6.8880761083377536E-3</v>
      </c>
      <c r="X64" s="5">
        <f t="shared" ca="1" si="117"/>
        <v>6.7893206825125289E-3</v>
      </c>
      <c r="Y64" s="5">
        <f t="shared" ca="1" si="118"/>
        <v>6.8560175757922956E-3</v>
      </c>
      <c r="Z64" s="5">
        <f t="shared" ca="1" si="119"/>
        <v>6.9296673461101818E-3</v>
      </c>
      <c r="AA64" s="5">
        <f t="shared" ca="1" si="120"/>
        <v>6.4274186597424437E-3</v>
      </c>
      <c r="AB64" s="5">
        <f t="shared" ca="1" si="121"/>
        <v>7.1914248601781328E-3</v>
      </c>
      <c r="AC64" s="5">
        <f t="shared" ca="1" si="122"/>
        <v>7.1265266457688319E-3</v>
      </c>
      <c r="AD64" s="5">
        <f t="shared" ca="1" si="123"/>
        <v>6.6720802028499412E-3</v>
      </c>
      <c r="AE64" s="5">
        <f t="shared" ca="1" si="124"/>
        <v>7.0218337050700595E-3</v>
      </c>
      <c r="AF64" s="5">
        <f t="shared" ca="1" si="125"/>
        <v>6.5762029586024532E-3</v>
      </c>
      <c r="AG64" s="5">
        <f t="shared" ca="1" si="126"/>
        <v>6.685167226487352E-3</v>
      </c>
      <c r="AH64" s="5">
        <f t="shared" ca="1" si="127"/>
        <v>6.1725548645594893E-3</v>
      </c>
      <c r="AI64" s="5">
        <f t="shared" ca="1" si="128"/>
        <v>6.9022971908656644E-3</v>
      </c>
      <c r="AJ64" s="5">
        <f t="shared" ca="1" si="129"/>
        <v>6.4479376449585405E-3</v>
      </c>
      <c r="AK64" s="5">
        <f t="shared" ca="1" si="130"/>
        <v>6.9330035068444927E-3</v>
      </c>
      <c r="AL64" s="5">
        <f t="shared" ca="1" si="131"/>
        <v>6.5456746929154269E-3</v>
      </c>
      <c r="AM64" s="5">
        <f t="shared" ca="1" si="132"/>
        <v>6.9902982358703994E-3</v>
      </c>
      <c r="AN64" s="5">
        <f t="shared" ca="1" si="133"/>
        <v>6.9274019459779129E-3</v>
      </c>
      <c r="AO64" s="5">
        <f t="shared" ca="1" si="134"/>
        <v>7.2839016281721373E-3</v>
      </c>
      <c r="AP64" s="5">
        <f t="shared" ca="1" si="135"/>
        <v>6.5774088602294769E-3</v>
      </c>
      <c r="AQ64" s="5">
        <f t="shared" ca="1" si="136"/>
        <v>6.3252451723425128E-3</v>
      </c>
      <c r="AR64" s="5">
        <f t="shared" ca="1" si="137"/>
        <v>6.6433332378328849E-3</v>
      </c>
      <c r="AS64" s="5">
        <f t="shared" ca="1" si="138"/>
        <v>6.9448139735352179E-3</v>
      </c>
      <c r="AT64" s="5">
        <f t="shared" ca="1" si="139"/>
        <v>6.1874867824347358E-3</v>
      </c>
      <c r="AU64" s="5">
        <f t="shared" ca="1" si="140"/>
        <v>6.3931376180093478E-3</v>
      </c>
      <c r="AV64" s="5">
        <f t="shared" ca="1" si="141"/>
        <v>6.5403553077127505E-3</v>
      </c>
      <c r="AW64" s="5">
        <f t="shared" ca="1" si="142"/>
        <v>7.0395816331179431E-3</v>
      </c>
      <c r="AX64" s="5">
        <f t="shared" ca="1" si="143"/>
        <v>6.2839468838772868E-3</v>
      </c>
      <c r="AY64" s="5">
        <f t="shared" ca="1" si="144"/>
        <v>6.5508990473316124E-3</v>
      </c>
      <c r="AZ64" s="5">
        <f t="shared" ca="1" si="145"/>
        <v>6.9232209724374681E-3</v>
      </c>
      <c r="BA64" s="5">
        <f t="shared" ca="1" si="146"/>
        <v>6.8221082542020807E-3</v>
      </c>
      <c r="BB64" s="5">
        <f t="shared" ca="1" si="147"/>
        <v>6.578444838620405E-3</v>
      </c>
      <c r="BC64" s="5">
        <f t="shared" ca="1" si="148"/>
        <v>6.4750548631173068E-3</v>
      </c>
      <c r="BD64" s="5">
        <f t="shared" ca="1" si="149"/>
        <v>6.6443592384063128E-3</v>
      </c>
      <c r="BE64" s="5">
        <f t="shared" ca="1" si="150"/>
        <v>7.3610249237288008E-3</v>
      </c>
      <c r="BF64" s="5">
        <f t="shared" ca="1" si="151"/>
        <v>7.0702391969490706E-3</v>
      </c>
      <c r="BG64" s="5">
        <f t="shared" ca="1" si="152"/>
        <v>6.4444369597237662E-3</v>
      </c>
      <c r="BH64" s="5">
        <f t="shared" ca="1" si="153"/>
        <v>6.2854582988101301E-3</v>
      </c>
      <c r="BI64" s="5">
        <f t="shared" ca="1" si="154"/>
        <v>7.2197910512897898E-3</v>
      </c>
      <c r="BJ64" s="5">
        <f t="shared" ca="1" si="155"/>
        <v>6.9165304241514272E-3</v>
      </c>
      <c r="BK64" s="5">
        <f t="shared" ca="1" si="156"/>
        <v>6.9856286667504281E-3</v>
      </c>
      <c r="BL64" s="5">
        <f t="shared" ca="1" si="157"/>
        <v>6.9963735350803682E-3</v>
      </c>
      <c r="BM64" s="5">
        <f t="shared" ca="1" si="158"/>
        <v>6.2918310129517164E-3</v>
      </c>
      <c r="BN64" s="5">
        <f t="shared" ca="1" si="159"/>
        <v>6.3228351182745028E-3</v>
      </c>
      <c r="BO64" s="5">
        <f t="shared" ca="1" si="160"/>
        <v>6.8279317908357335E-3</v>
      </c>
      <c r="BP64" s="5">
        <f t="shared" ca="1" si="161"/>
        <v>6.6803620598080782E-3</v>
      </c>
      <c r="BQ64" s="5">
        <f t="shared" ca="1" si="162"/>
        <v>6.2335549838471137E-3</v>
      </c>
      <c r="BR64" s="5">
        <f t="shared" ca="1" si="163"/>
        <v>6.197753787007816E-3</v>
      </c>
      <c r="BS64" s="5">
        <f t="shared" ca="1" si="164"/>
        <v>6.7988871813162034E-3</v>
      </c>
      <c r="BT64" s="5">
        <f t="shared" ca="1" si="165"/>
        <v>6.4052635632386046E-3</v>
      </c>
      <c r="BU64" s="5">
        <f t="shared" ca="1" si="166"/>
        <v>6.8578027913323014E-3</v>
      </c>
      <c r="BV64" s="5">
        <f t="shared" ca="1" si="167"/>
        <v>6.7757994620298865E-3</v>
      </c>
      <c r="BW64" s="5">
        <f t="shared" ca="1" si="168"/>
        <v>6.9515144493960618E-3</v>
      </c>
      <c r="BX64" s="5">
        <f t="shared" ca="1" si="169"/>
        <v>6.8678981521848106E-3</v>
      </c>
      <c r="BY64" s="5">
        <f t="shared" ca="1" si="170"/>
        <v>6.2097816957862248E-3</v>
      </c>
      <c r="BZ64" s="5">
        <f t="shared" ca="1" si="171"/>
        <v>7.0716781885274398E-3</v>
      </c>
      <c r="CA64" s="5">
        <f t="shared" ca="1" si="172"/>
        <v>6.0081213313425957E-3</v>
      </c>
      <c r="CB64" s="5">
        <f t="shared" ca="1" si="173"/>
        <v>6.6542151801145012E-3</v>
      </c>
      <c r="CC64" s="5">
        <f t="shared" ca="1" si="174"/>
        <v>6.5664419906123527E-3</v>
      </c>
      <c r="CD64" s="5">
        <f t="shared" ca="1" si="175"/>
        <v>6.8168462301273144E-3</v>
      </c>
      <c r="CE64" s="5">
        <f t="shared" ca="1" si="176"/>
        <v>6.446933014543123E-3</v>
      </c>
      <c r="CF64" s="5">
        <f t="shared" ca="1" si="177"/>
        <v>6.9273324842379401E-3</v>
      </c>
      <c r="CG64" s="5">
        <f t="shared" ca="1" si="178"/>
        <v>6.8420983643871797E-3</v>
      </c>
      <c r="CH64" s="5">
        <f t="shared" ca="1" si="179"/>
        <v>5.9953047835158875E-3</v>
      </c>
      <c r="CI64" s="5">
        <f t="shared" ca="1" si="180"/>
        <v>6.9034599610931519E-3</v>
      </c>
      <c r="CJ64" s="5">
        <f t="shared" ca="1" si="181"/>
        <v>7.0560091277580266E-3</v>
      </c>
      <c r="CK64" s="5">
        <f t="shared" ca="1" si="182"/>
        <v>6.849518426531173E-3</v>
      </c>
      <c r="CL64" s="5">
        <f t="shared" ca="1" si="183"/>
        <v>6.8630725871192877E-3</v>
      </c>
      <c r="CM64" s="5">
        <f t="shared" ca="1" si="184"/>
        <v>6.8934460248975061E-3</v>
      </c>
      <c r="CN64" s="5">
        <f t="shared" ca="1" si="185"/>
        <v>6.618155816232504E-3</v>
      </c>
      <c r="CO64" s="5">
        <f t="shared" ca="1" si="186"/>
        <v>6.8524120467849184E-3</v>
      </c>
      <c r="CP64" s="5">
        <f t="shared" ca="1" si="187"/>
        <v>6.9206024325376408E-3</v>
      </c>
      <c r="CQ64" s="5">
        <f t="shared" ca="1" si="188"/>
        <v>6.9767434494029746E-3</v>
      </c>
      <c r="CR64" s="5">
        <f t="shared" ca="1" si="189"/>
        <v>6.591940517503731E-3</v>
      </c>
      <c r="CS64" s="5">
        <f t="shared" ca="1" si="190"/>
        <v>6.8317951294280576E-3</v>
      </c>
      <c r="CT64" s="5">
        <f t="shared" ca="1" si="191"/>
        <v>7.2547387552678415E-3</v>
      </c>
      <c r="CU64" s="5">
        <f t="shared" ca="1" si="192"/>
        <v>6.2691663269873309E-3</v>
      </c>
      <c r="CV64" s="5">
        <f t="shared" ca="1" si="193"/>
        <v>6.6783806685685246E-3</v>
      </c>
      <c r="CW64" s="5">
        <f t="shared" ca="1" si="194"/>
        <v>6.3620522466262429E-3</v>
      </c>
      <c r="CX64" s="5">
        <f t="shared" ca="1" si="195"/>
        <v>5.9594364797634931E-3</v>
      </c>
      <c r="CY64" s="5">
        <f t="shared" ca="1" si="196"/>
        <v>6.7511168518851533E-3</v>
      </c>
      <c r="CZ64" s="5">
        <f t="shared" ca="1" si="197"/>
        <v>6.1468953607856959E-3</v>
      </c>
      <c r="DA64" s="5">
        <f t="shared" ca="1" si="198"/>
        <v>6.9087968983393014E-3</v>
      </c>
      <c r="DB64" s="5">
        <f t="shared" ca="1" si="199"/>
        <v>6.7718322583660258E-3</v>
      </c>
      <c r="DC64" s="5">
        <f t="shared" ca="1" si="200"/>
        <v>7.1620222855083822E-3</v>
      </c>
      <c r="DD64" s="5">
        <f t="shared" ca="1" si="201"/>
        <v>6.8123828827668575E-3</v>
      </c>
      <c r="DE64" s="5">
        <f t="shared" ca="1" si="202"/>
        <v>6.7474572748720176E-3</v>
      </c>
      <c r="DF64" s="5">
        <f t="shared" ca="1" si="203"/>
        <v>6.5759201291562307E-3</v>
      </c>
      <c r="DG64" s="5">
        <f t="shared" ca="1" si="204"/>
        <v>6.5675343754551113E-3</v>
      </c>
      <c r="DH64" s="5">
        <f t="shared" ca="1" si="205"/>
        <v>6.867184099428038E-3</v>
      </c>
      <c r="DI64" s="5">
        <f t="shared" ca="1" si="206"/>
        <v>6.8255527086894989E-3</v>
      </c>
      <c r="DJ64" s="5">
        <f t="shared" ca="1" si="207"/>
        <v>7.0525536127550624E-3</v>
      </c>
    </row>
    <row r="65" spans="5:114" outlineLevel="1" x14ac:dyDescent="0.2">
      <c r="E65" s="32">
        <v>46447</v>
      </c>
      <c r="F65" s="9">
        <v>2986.7248319999999</v>
      </c>
      <c r="G65" s="5">
        <f t="shared" ca="1" si="105"/>
        <v>4.9535925321257397E-2</v>
      </c>
      <c r="H65" s="5">
        <f t="shared" ca="1" si="106"/>
        <v>6.2007566582717635E-3</v>
      </c>
      <c r="I65" s="9">
        <f t="shared" ca="1" si="107"/>
        <v>147201.2546319098</v>
      </c>
      <c r="K65" s="6">
        <v>61</v>
      </c>
      <c r="L65" s="5">
        <v>362748.29304304777</v>
      </c>
      <c r="N65" s="32">
        <v>46419</v>
      </c>
      <c r="O65" s="5">
        <f t="shared" ca="1" si="108"/>
        <v>6.6229001228469394E-3</v>
      </c>
      <c r="P65" s="5">
        <f t="shared" ca="1" si="109"/>
        <v>6.4978911239312112E-3</v>
      </c>
      <c r="Q65" s="5">
        <f t="shared" ca="1" si="110"/>
        <v>6.4613982692724586E-3</v>
      </c>
      <c r="R65" s="5">
        <f t="shared" ca="1" si="111"/>
        <v>6.436620915357634E-3</v>
      </c>
      <c r="S65" s="5">
        <f t="shared" ca="1" si="112"/>
        <v>5.9249217961597055E-3</v>
      </c>
      <c r="T65" s="5">
        <f t="shared" ca="1" si="113"/>
        <v>5.9658572399632487E-3</v>
      </c>
      <c r="U65" s="5">
        <f t="shared" ca="1" si="114"/>
        <v>6.6644137955942833E-3</v>
      </c>
      <c r="V65" s="5">
        <f t="shared" ca="1" si="115"/>
        <v>6.6085707844389793E-3</v>
      </c>
      <c r="W65" s="5">
        <f t="shared" ca="1" si="116"/>
        <v>6.9627650153609487E-3</v>
      </c>
      <c r="X65" s="5">
        <f t="shared" ca="1" si="117"/>
        <v>6.7458957410337188E-3</v>
      </c>
      <c r="Y65" s="5">
        <f t="shared" ca="1" si="118"/>
        <v>6.8635883989719626E-3</v>
      </c>
      <c r="Z65" s="5">
        <f t="shared" ca="1" si="119"/>
        <v>6.9070239426317192E-3</v>
      </c>
      <c r="AA65" s="5">
        <f t="shared" ca="1" si="120"/>
        <v>6.4639477767908116E-3</v>
      </c>
      <c r="AB65" s="5">
        <f t="shared" ca="1" si="121"/>
        <v>7.1826341899919009E-3</v>
      </c>
      <c r="AC65" s="5">
        <f t="shared" ca="1" si="122"/>
        <v>7.0539080143689611E-3</v>
      </c>
      <c r="AD65" s="5">
        <f t="shared" ca="1" si="123"/>
        <v>6.6402252345163816E-3</v>
      </c>
      <c r="AE65" s="5">
        <f t="shared" ca="1" si="124"/>
        <v>6.9432740756032547E-3</v>
      </c>
      <c r="AF65" s="5">
        <f t="shared" ca="1" si="125"/>
        <v>6.6505193211650717E-3</v>
      </c>
      <c r="AG65" s="5">
        <f t="shared" ca="1" si="126"/>
        <v>6.6870139075575954E-3</v>
      </c>
      <c r="AH65" s="5">
        <f t="shared" ca="1" si="127"/>
        <v>6.1871416627629757E-3</v>
      </c>
      <c r="AI65" s="5">
        <f t="shared" ca="1" si="128"/>
        <v>6.9351974588561845E-3</v>
      </c>
      <c r="AJ65" s="5">
        <f t="shared" ca="1" si="129"/>
        <v>6.5164728277614867E-3</v>
      </c>
      <c r="AK65" s="5">
        <f t="shared" ca="1" si="130"/>
        <v>6.9511926101826728E-3</v>
      </c>
      <c r="AL65" s="5">
        <f t="shared" ca="1" si="131"/>
        <v>6.5625668335417466E-3</v>
      </c>
      <c r="AM65" s="5">
        <f t="shared" ca="1" si="132"/>
        <v>6.9867967290312217E-3</v>
      </c>
      <c r="AN65" s="5">
        <f t="shared" ca="1" si="133"/>
        <v>6.9249707193305161E-3</v>
      </c>
      <c r="AO65" s="5">
        <f t="shared" ca="1" si="134"/>
        <v>7.3059804666473797E-3</v>
      </c>
      <c r="AP65" s="5">
        <f t="shared" ca="1" si="135"/>
        <v>6.5967974620234305E-3</v>
      </c>
      <c r="AQ65" s="5">
        <f t="shared" ca="1" si="136"/>
        <v>6.336779032079509E-3</v>
      </c>
      <c r="AR65" s="5">
        <f t="shared" ca="1" si="137"/>
        <v>6.6630159081131181E-3</v>
      </c>
      <c r="AS65" s="5">
        <f t="shared" ca="1" si="138"/>
        <v>6.9687355139796438E-3</v>
      </c>
      <c r="AT65" s="5">
        <f t="shared" ca="1" si="139"/>
        <v>6.2293658016591468E-3</v>
      </c>
      <c r="AU65" s="5">
        <f t="shared" ca="1" si="140"/>
        <v>6.342673646359741E-3</v>
      </c>
      <c r="AV65" s="5">
        <f t="shared" ca="1" si="141"/>
        <v>6.5482126498678716E-3</v>
      </c>
      <c r="AW65" s="5">
        <f t="shared" ca="1" si="142"/>
        <v>7.0927380207045712E-3</v>
      </c>
      <c r="AX65" s="5">
        <f t="shared" ca="1" si="143"/>
        <v>6.2351194357972298E-3</v>
      </c>
      <c r="AY65" s="5">
        <f t="shared" ca="1" si="144"/>
        <v>6.6196177617057943E-3</v>
      </c>
      <c r="AZ65" s="5">
        <f t="shared" ca="1" si="145"/>
        <v>6.9770426813589199E-3</v>
      </c>
      <c r="BA65" s="5">
        <f t="shared" ca="1" si="146"/>
        <v>6.7105529419876093E-3</v>
      </c>
      <c r="BB65" s="5">
        <f t="shared" ca="1" si="147"/>
        <v>6.4671168968022177E-3</v>
      </c>
      <c r="BC65" s="5">
        <f t="shared" ca="1" si="148"/>
        <v>6.4934677722586305E-3</v>
      </c>
      <c r="BD65" s="5">
        <f t="shared" ca="1" si="149"/>
        <v>6.6175128944388926E-3</v>
      </c>
      <c r="BE65" s="5">
        <f t="shared" ca="1" si="150"/>
        <v>7.3115330252117262E-3</v>
      </c>
      <c r="BF65" s="5">
        <f t="shared" ca="1" si="151"/>
        <v>7.0842684775319709E-3</v>
      </c>
      <c r="BG65" s="5">
        <f t="shared" ca="1" si="152"/>
        <v>6.475290201688323E-3</v>
      </c>
      <c r="BH65" s="5">
        <f t="shared" ca="1" si="153"/>
        <v>6.2772575107985697E-3</v>
      </c>
      <c r="BI65" s="5">
        <f t="shared" ca="1" si="154"/>
        <v>7.1954826036300466E-3</v>
      </c>
      <c r="BJ65" s="5">
        <f t="shared" ca="1" si="155"/>
        <v>6.9578148942771607E-3</v>
      </c>
      <c r="BK65" s="5">
        <f t="shared" ca="1" si="156"/>
        <v>6.9686314868495965E-3</v>
      </c>
      <c r="BL65" s="5">
        <f t="shared" ca="1" si="157"/>
        <v>7.0409652775810681E-3</v>
      </c>
      <c r="BM65" s="5">
        <f t="shared" ca="1" si="158"/>
        <v>6.2964153901448527E-3</v>
      </c>
      <c r="BN65" s="5">
        <f t="shared" ca="1" si="159"/>
        <v>6.3162583756834869E-3</v>
      </c>
      <c r="BO65" s="5">
        <f t="shared" ca="1" si="160"/>
        <v>6.9134037650486263E-3</v>
      </c>
      <c r="BP65" s="5">
        <f t="shared" ca="1" si="161"/>
        <v>6.750718975623269E-3</v>
      </c>
      <c r="BQ65" s="5">
        <f t="shared" ca="1" si="162"/>
        <v>6.2028594986397552E-3</v>
      </c>
      <c r="BR65" s="5">
        <f t="shared" ca="1" si="163"/>
        <v>6.2059061061295233E-3</v>
      </c>
      <c r="BS65" s="5">
        <f t="shared" ca="1" si="164"/>
        <v>6.8239357853306665E-3</v>
      </c>
      <c r="BT65" s="5">
        <f t="shared" ca="1" si="165"/>
        <v>6.4435302099316305E-3</v>
      </c>
      <c r="BU65" s="5">
        <f t="shared" ca="1" si="166"/>
        <v>6.8019747632464492E-3</v>
      </c>
      <c r="BV65" s="5">
        <f t="shared" ca="1" si="167"/>
        <v>6.7570385164914173E-3</v>
      </c>
      <c r="BW65" s="5">
        <f t="shared" ca="1" si="168"/>
        <v>6.9227182012687183E-3</v>
      </c>
      <c r="BX65" s="5">
        <f t="shared" ca="1" si="169"/>
        <v>6.8403506056138579E-3</v>
      </c>
      <c r="BY65" s="5">
        <f t="shared" ca="1" si="170"/>
        <v>6.2698351114124284E-3</v>
      </c>
      <c r="BZ65" s="5">
        <f t="shared" ca="1" si="171"/>
        <v>7.0828619069248783E-3</v>
      </c>
      <c r="CA65" s="5">
        <f t="shared" ca="1" si="172"/>
        <v>6.0316693262618404E-3</v>
      </c>
      <c r="CB65" s="5">
        <f t="shared" ca="1" si="173"/>
        <v>6.6993881948098286E-3</v>
      </c>
      <c r="CC65" s="5">
        <f t="shared" ca="1" si="174"/>
        <v>6.55891340648112E-3</v>
      </c>
      <c r="CD65" s="5">
        <f t="shared" ca="1" si="175"/>
        <v>6.7798986118078651E-3</v>
      </c>
      <c r="CE65" s="5">
        <f t="shared" ca="1" si="176"/>
        <v>6.4352856280395524E-3</v>
      </c>
      <c r="CF65" s="5">
        <f t="shared" ca="1" si="177"/>
        <v>6.8925822331633831E-3</v>
      </c>
      <c r="CG65" s="5">
        <f t="shared" ca="1" si="178"/>
        <v>6.7923702288855805E-3</v>
      </c>
      <c r="CH65" s="5">
        <f t="shared" ca="1" si="179"/>
        <v>5.989439808070496E-3</v>
      </c>
      <c r="CI65" s="5">
        <f t="shared" ca="1" si="180"/>
        <v>6.8848012766595922E-3</v>
      </c>
      <c r="CJ65" s="5">
        <f t="shared" ca="1" si="181"/>
        <v>6.9855048693499393E-3</v>
      </c>
      <c r="CK65" s="5">
        <f t="shared" ca="1" si="182"/>
        <v>6.8347132991855904E-3</v>
      </c>
      <c r="CL65" s="5">
        <f t="shared" ca="1" si="183"/>
        <v>6.8918916811728115E-3</v>
      </c>
      <c r="CM65" s="5">
        <f t="shared" ca="1" si="184"/>
        <v>6.8898261264646E-3</v>
      </c>
      <c r="CN65" s="5">
        <f t="shared" ca="1" si="185"/>
        <v>6.6757950343768607E-3</v>
      </c>
      <c r="CO65" s="5">
        <f t="shared" ca="1" si="186"/>
        <v>6.932022954132506E-3</v>
      </c>
      <c r="CP65" s="5">
        <f t="shared" ca="1" si="187"/>
        <v>6.9533140915896399E-3</v>
      </c>
      <c r="CQ65" s="5">
        <f t="shared" ca="1" si="188"/>
        <v>7.0019999805487655E-3</v>
      </c>
      <c r="CR65" s="5">
        <f t="shared" ca="1" si="189"/>
        <v>6.6174562285169769E-3</v>
      </c>
      <c r="CS65" s="5">
        <f t="shared" ca="1" si="190"/>
        <v>6.8113459871713081E-3</v>
      </c>
      <c r="CT65" s="5">
        <f t="shared" ca="1" si="191"/>
        <v>7.1868852630908881E-3</v>
      </c>
      <c r="CU65" s="5">
        <f t="shared" ca="1" si="192"/>
        <v>6.3095172024252707E-3</v>
      </c>
      <c r="CV65" s="5">
        <f t="shared" ca="1" si="193"/>
        <v>6.7257941348331874E-3</v>
      </c>
      <c r="CW65" s="5">
        <f t="shared" ca="1" si="194"/>
        <v>6.3657657606145434E-3</v>
      </c>
      <c r="CX65" s="5">
        <f t="shared" ca="1" si="195"/>
        <v>6.0091642217864755E-3</v>
      </c>
      <c r="CY65" s="5">
        <f t="shared" ca="1" si="196"/>
        <v>6.8325715048247748E-3</v>
      </c>
      <c r="CZ65" s="5">
        <f t="shared" ca="1" si="197"/>
        <v>6.0949462298895809E-3</v>
      </c>
      <c r="DA65" s="5">
        <f t="shared" ca="1" si="198"/>
        <v>6.9019647194878443E-3</v>
      </c>
      <c r="DB65" s="5">
        <f t="shared" ca="1" si="199"/>
        <v>6.8065698957786502E-3</v>
      </c>
      <c r="DC65" s="5">
        <f t="shared" ca="1" si="200"/>
        <v>7.0952987849370987E-3</v>
      </c>
      <c r="DD65" s="5">
        <f t="shared" ca="1" si="201"/>
        <v>6.8042543979722611E-3</v>
      </c>
      <c r="DE65" s="5">
        <f t="shared" ca="1" si="202"/>
        <v>6.7320740455282897E-3</v>
      </c>
      <c r="DF65" s="5">
        <f t="shared" ca="1" si="203"/>
        <v>6.575063744907338E-3</v>
      </c>
      <c r="DG65" s="5">
        <f t="shared" ca="1" si="204"/>
        <v>6.5168897846688244E-3</v>
      </c>
      <c r="DH65" s="5">
        <f t="shared" ca="1" si="205"/>
        <v>6.8425353749940561E-3</v>
      </c>
      <c r="DI65" s="5">
        <f t="shared" ca="1" si="206"/>
        <v>6.8071422624167849E-3</v>
      </c>
      <c r="DJ65" s="5">
        <f t="shared" ca="1" si="207"/>
        <v>6.9478663314774935E-3</v>
      </c>
    </row>
    <row r="66" spans="5:114" outlineLevel="1" x14ac:dyDescent="0.2">
      <c r="E66" s="32">
        <v>46478</v>
      </c>
      <c r="F66" s="9">
        <v>2986.7248319999999</v>
      </c>
      <c r="G66" s="5">
        <f t="shared" ca="1" si="105"/>
        <v>-4.141249117970143E-2</v>
      </c>
      <c r="H66" s="5">
        <f t="shared" ca="1" si="106"/>
        <v>6.232299372209176E-3</v>
      </c>
      <c r="I66" s="9">
        <f t="shared" ca="1" si="107"/>
        <v>150264.44951043613</v>
      </c>
      <c r="K66" s="6">
        <v>62</v>
      </c>
      <c r="L66" s="5">
        <v>362047.5535711103</v>
      </c>
      <c r="N66" s="32">
        <v>46447</v>
      </c>
      <c r="O66" s="5">
        <f t="shared" ca="1" si="108"/>
        <v>6.6626321242936604E-3</v>
      </c>
      <c r="P66" s="5">
        <f t="shared" ca="1" si="109"/>
        <v>6.488127002700436E-3</v>
      </c>
      <c r="Q66" s="5">
        <f t="shared" ca="1" si="110"/>
        <v>6.504046799408394E-3</v>
      </c>
      <c r="R66" s="5">
        <f t="shared" ca="1" si="111"/>
        <v>6.5534493158623409E-3</v>
      </c>
      <c r="S66" s="5">
        <f t="shared" ca="1" si="112"/>
        <v>5.8782632158335671E-3</v>
      </c>
      <c r="T66" s="5">
        <f t="shared" ca="1" si="113"/>
        <v>5.9200896834750213E-3</v>
      </c>
      <c r="U66" s="5">
        <f t="shared" ca="1" si="114"/>
        <v>6.6552915569956439E-3</v>
      </c>
      <c r="V66" s="5">
        <f t="shared" ca="1" si="115"/>
        <v>6.6579472731598125E-3</v>
      </c>
      <c r="W66" s="5">
        <f t="shared" ca="1" si="116"/>
        <v>6.9443178700500539E-3</v>
      </c>
      <c r="X66" s="5">
        <f t="shared" ca="1" si="117"/>
        <v>6.7649509009598228E-3</v>
      </c>
      <c r="Y66" s="5">
        <f t="shared" ca="1" si="118"/>
        <v>6.8722613105081177E-3</v>
      </c>
      <c r="Z66" s="5">
        <f t="shared" ca="1" si="119"/>
        <v>6.8814753610555472E-3</v>
      </c>
      <c r="AA66" s="5">
        <f t="shared" ca="1" si="120"/>
        <v>6.508791533793792E-3</v>
      </c>
      <c r="AB66" s="5">
        <f t="shared" ca="1" si="121"/>
        <v>7.1841895973311374E-3</v>
      </c>
      <c r="AC66" s="5">
        <f t="shared" ca="1" si="122"/>
        <v>7.0219638993530703E-3</v>
      </c>
      <c r="AD66" s="5">
        <f t="shared" ca="1" si="123"/>
        <v>6.6593467234237974E-3</v>
      </c>
      <c r="AE66" s="5">
        <f t="shared" ca="1" si="124"/>
        <v>6.9858790441405276E-3</v>
      </c>
      <c r="AF66" s="5">
        <f t="shared" ca="1" si="125"/>
        <v>6.7106940017195348E-3</v>
      </c>
      <c r="AG66" s="5">
        <f t="shared" ca="1" si="126"/>
        <v>6.7202989604905295E-3</v>
      </c>
      <c r="AH66" s="5">
        <f t="shared" ca="1" si="127"/>
        <v>6.2244194766135795E-3</v>
      </c>
      <c r="AI66" s="5">
        <f t="shared" ca="1" si="128"/>
        <v>6.888972663758341E-3</v>
      </c>
      <c r="AJ66" s="5">
        <f t="shared" ca="1" si="129"/>
        <v>6.5603458926204675E-3</v>
      </c>
      <c r="AK66" s="5">
        <f t="shared" ca="1" si="130"/>
        <v>7.0534502073650012E-3</v>
      </c>
      <c r="AL66" s="5">
        <f t="shared" ca="1" si="131"/>
        <v>6.5226517388058732E-3</v>
      </c>
      <c r="AM66" s="5">
        <f t="shared" ca="1" si="132"/>
        <v>6.9706270177662469E-3</v>
      </c>
      <c r="AN66" s="5">
        <f t="shared" ca="1" si="133"/>
        <v>6.8737983616085794E-3</v>
      </c>
      <c r="AO66" s="5">
        <f t="shared" ca="1" si="134"/>
        <v>7.3750360082080607E-3</v>
      </c>
      <c r="AP66" s="5">
        <f t="shared" ca="1" si="135"/>
        <v>6.6735364354261646E-3</v>
      </c>
      <c r="AQ66" s="5">
        <f t="shared" ca="1" si="136"/>
        <v>6.364362798360168E-3</v>
      </c>
      <c r="AR66" s="5">
        <f t="shared" ca="1" si="137"/>
        <v>6.66076860231759E-3</v>
      </c>
      <c r="AS66" s="5">
        <f t="shared" ca="1" si="138"/>
        <v>6.9906148194858525E-3</v>
      </c>
      <c r="AT66" s="5">
        <f t="shared" ca="1" si="139"/>
        <v>6.1576471522615589E-3</v>
      </c>
      <c r="AU66" s="5">
        <f t="shared" ca="1" si="140"/>
        <v>6.3886660919805624E-3</v>
      </c>
      <c r="AV66" s="5">
        <f t="shared" ca="1" si="141"/>
        <v>6.5825122713413873E-3</v>
      </c>
      <c r="AW66" s="5">
        <f t="shared" ca="1" si="142"/>
        <v>7.1044380662232485E-3</v>
      </c>
      <c r="AX66" s="5">
        <f t="shared" ca="1" si="143"/>
        <v>6.2893948280984407E-3</v>
      </c>
      <c r="AY66" s="5">
        <f t="shared" ca="1" si="144"/>
        <v>6.6344159502730897E-3</v>
      </c>
      <c r="AZ66" s="5">
        <f t="shared" ca="1" si="145"/>
        <v>6.9941864987747918E-3</v>
      </c>
      <c r="BA66" s="5">
        <f t="shared" ca="1" si="146"/>
        <v>6.6993479363919939E-3</v>
      </c>
      <c r="BB66" s="5">
        <f t="shared" ca="1" si="147"/>
        <v>6.4208520431195334E-3</v>
      </c>
      <c r="BC66" s="5">
        <f t="shared" ca="1" si="148"/>
        <v>6.4502055272608978E-3</v>
      </c>
      <c r="BD66" s="5">
        <f t="shared" ca="1" si="149"/>
        <v>6.6409464226109037E-3</v>
      </c>
      <c r="BE66" s="5">
        <f t="shared" ca="1" si="150"/>
        <v>7.3028072783582277E-3</v>
      </c>
      <c r="BF66" s="5">
        <f t="shared" ca="1" si="151"/>
        <v>7.0531162775946789E-3</v>
      </c>
      <c r="BG66" s="5">
        <f t="shared" ca="1" si="152"/>
        <v>6.4641646770429483E-3</v>
      </c>
      <c r="BH66" s="5">
        <f t="shared" ca="1" si="153"/>
        <v>6.2420140186891186E-3</v>
      </c>
      <c r="BI66" s="5">
        <f t="shared" ca="1" si="154"/>
        <v>7.1573771602170448E-3</v>
      </c>
      <c r="BJ66" s="5">
        <f t="shared" ca="1" si="155"/>
        <v>6.956314163636272E-3</v>
      </c>
      <c r="BK66" s="5">
        <f t="shared" ca="1" si="156"/>
        <v>7.0095037820096066E-3</v>
      </c>
      <c r="BL66" s="5">
        <f t="shared" ca="1" si="157"/>
        <v>7.0644946555078183E-3</v>
      </c>
      <c r="BM66" s="5">
        <f t="shared" ca="1" si="158"/>
        <v>6.2764685321243909E-3</v>
      </c>
      <c r="BN66" s="5">
        <f t="shared" ca="1" si="159"/>
        <v>6.3079946698564064E-3</v>
      </c>
      <c r="BO66" s="5">
        <f t="shared" ca="1" si="160"/>
        <v>6.985994937019643E-3</v>
      </c>
      <c r="BP66" s="5">
        <f t="shared" ca="1" si="161"/>
        <v>6.7918855240731461E-3</v>
      </c>
      <c r="BQ66" s="5">
        <f t="shared" ca="1" si="162"/>
        <v>6.1918665957246708E-3</v>
      </c>
      <c r="BR66" s="5">
        <f t="shared" ca="1" si="163"/>
        <v>6.150349879144883E-3</v>
      </c>
      <c r="BS66" s="5">
        <f t="shared" ca="1" si="164"/>
        <v>6.8166320742632279E-3</v>
      </c>
      <c r="BT66" s="5">
        <f t="shared" ca="1" si="165"/>
        <v>6.4553606814707612E-3</v>
      </c>
      <c r="BU66" s="5">
        <f t="shared" ca="1" si="166"/>
        <v>6.8183456050657414E-3</v>
      </c>
      <c r="BV66" s="5">
        <f t="shared" ca="1" si="167"/>
        <v>6.6827002069428923E-3</v>
      </c>
      <c r="BW66" s="5">
        <f t="shared" ca="1" si="168"/>
        <v>6.9196078392784908E-3</v>
      </c>
      <c r="BX66" s="5">
        <f t="shared" ca="1" si="169"/>
        <v>6.8713212782346824E-3</v>
      </c>
      <c r="BY66" s="5">
        <f t="shared" ca="1" si="170"/>
        <v>6.2965046311142837E-3</v>
      </c>
      <c r="BZ66" s="5">
        <f t="shared" ca="1" si="171"/>
        <v>7.1332509586564917E-3</v>
      </c>
      <c r="CA66" s="5">
        <f t="shared" ca="1" si="172"/>
        <v>6.1052534906255035E-3</v>
      </c>
      <c r="CB66" s="5">
        <f t="shared" ca="1" si="173"/>
        <v>6.7454144650682625E-3</v>
      </c>
      <c r="CC66" s="5">
        <f t="shared" ca="1" si="174"/>
        <v>6.6426009259850224E-3</v>
      </c>
      <c r="CD66" s="5">
        <f t="shared" ca="1" si="175"/>
        <v>6.8886102429559521E-3</v>
      </c>
      <c r="CE66" s="5">
        <f t="shared" ca="1" si="176"/>
        <v>6.4258016737350019E-3</v>
      </c>
      <c r="CF66" s="5">
        <f t="shared" ca="1" si="177"/>
        <v>6.8915341443182227E-3</v>
      </c>
      <c r="CG66" s="5">
        <f t="shared" ca="1" si="178"/>
        <v>6.7615095429081765E-3</v>
      </c>
      <c r="CH66" s="5">
        <f t="shared" ca="1" si="179"/>
        <v>5.9173316216821334E-3</v>
      </c>
      <c r="CI66" s="5">
        <f t="shared" ca="1" si="180"/>
        <v>6.9527036901089042E-3</v>
      </c>
      <c r="CJ66" s="5">
        <f t="shared" ca="1" si="181"/>
        <v>7.0359977792419561E-3</v>
      </c>
      <c r="CK66" s="5">
        <f t="shared" ca="1" si="182"/>
        <v>6.9661197868337308E-3</v>
      </c>
      <c r="CL66" s="5">
        <f t="shared" ca="1" si="183"/>
        <v>6.8536909238551998E-3</v>
      </c>
      <c r="CM66" s="5">
        <f t="shared" ca="1" si="184"/>
        <v>6.901460232369221E-3</v>
      </c>
      <c r="CN66" s="5">
        <f t="shared" ca="1" si="185"/>
        <v>6.6302905245644427E-3</v>
      </c>
      <c r="CO66" s="5">
        <f t="shared" ca="1" si="186"/>
        <v>6.8836538321440013E-3</v>
      </c>
      <c r="CP66" s="5">
        <f t="shared" ca="1" si="187"/>
        <v>6.981553784629637E-3</v>
      </c>
      <c r="CQ66" s="5">
        <f t="shared" ca="1" si="188"/>
        <v>6.949835399142363E-3</v>
      </c>
      <c r="CR66" s="5">
        <f t="shared" ca="1" si="189"/>
        <v>6.5477195655317911E-3</v>
      </c>
      <c r="CS66" s="5">
        <f t="shared" ca="1" si="190"/>
        <v>6.773649609202256E-3</v>
      </c>
      <c r="CT66" s="5">
        <f t="shared" ca="1" si="191"/>
        <v>7.2009577087390293E-3</v>
      </c>
      <c r="CU66" s="5">
        <f t="shared" ca="1" si="192"/>
        <v>6.2036762338694793E-3</v>
      </c>
      <c r="CV66" s="5">
        <f t="shared" ca="1" si="193"/>
        <v>6.7239073087074289E-3</v>
      </c>
      <c r="CW66" s="5">
        <f t="shared" ca="1" si="194"/>
        <v>6.4147478527202366E-3</v>
      </c>
      <c r="CX66" s="5">
        <f t="shared" ca="1" si="195"/>
        <v>5.9862194851526595E-3</v>
      </c>
      <c r="CY66" s="5">
        <f t="shared" ca="1" si="196"/>
        <v>6.823974032971393E-3</v>
      </c>
      <c r="CZ66" s="5">
        <f t="shared" ca="1" si="197"/>
        <v>6.1188729130102256E-3</v>
      </c>
      <c r="DA66" s="5">
        <f t="shared" ca="1" si="198"/>
        <v>6.887042696902595E-3</v>
      </c>
      <c r="DB66" s="5">
        <f t="shared" ca="1" si="199"/>
        <v>6.8097128877070328E-3</v>
      </c>
      <c r="DC66" s="5">
        <f t="shared" ca="1" si="200"/>
        <v>7.0689816270338149E-3</v>
      </c>
      <c r="DD66" s="5">
        <f t="shared" ca="1" si="201"/>
        <v>6.8583432534481568E-3</v>
      </c>
      <c r="DE66" s="5">
        <f t="shared" ca="1" si="202"/>
        <v>6.7335280504839988E-3</v>
      </c>
      <c r="DF66" s="5">
        <f t="shared" ca="1" si="203"/>
        <v>6.5526218624956129E-3</v>
      </c>
      <c r="DG66" s="5">
        <f t="shared" ca="1" si="204"/>
        <v>6.5208550638760528E-3</v>
      </c>
      <c r="DH66" s="5">
        <f t="shared" ca="1" si="205"/>
        <v>6.8855365878700593E-3</v>
      </c>
      <c r="DI66" s="5">
        <f t="shared" ca="1" si="206"/>
        <v>6.7907676849110876E-3</v>
      </c>
      <c r="DJ66" s="5">
        <f t="shared" ca="1" si="207"/>
        <v>6.9297589033418625E-3</v>
      </c>
    </row>
    <row r="67" spans="5:114" outlineLevel="1" x14ac:dyDescent="0.2">
      <c r="E67" s="32">
        <v>46508</v>
      </c>
      <c r="F67" s="9">
        <v>2986.7248319999999</v>
      </c>
      <c r="G67" s="5">
        <f t="shared" ca="1" si="105"/>
        <v>-9.7126357486748943E-2</v>
      </c>
      <c r="H67" s="5">
        <f t="shared" ca="1" si="106"/>
        <v>6.2172861705869524E-3</v>
      </c>
      <c r="I67" s="9">
        <f t="shared" ca="1" si="107"/>
        <v>153329.0476043649</v>
      </c>
      <c r="K67" s="6">
        <v>63</v>
      </c>
      <c r="L67" s="5">
        <v>362857.51598634379</v>
      </c>
      <c r="N67" s="32">
        <v>46478</v>
      </c>
      <c r="O67" s="5">
        <f t="shared" ca="1" si="108"/>
        <v>6.639286170817835E-3</v>
      </c>
      <c r="P67" s="5">
        <f t="shared" ca="1" si="109"/>
        <v>6.437210950645241E-3</v>
      </c>
      <c r="Q67" s="5">
        <f t="shared" ca="1" si="110"/>
        <v>6.5751053023077244E-3</v>
      </c>
      <c r="R67" s="5">
        <f t="shared" ca="1" si="111"/>
        <v>6.5259454785300194E-3</v>
      </c>
      <c r="S67" s="5">
        <f t="shared" ca="1" si="112"/>
        <v>5.8977999716973498E-3</v>
      </c>
      <c r="T67" s="5">
        <f t="shared" ca="1" si="113"/>
        <v>5.8806268115044764E-3</v>
      </c>
      <c r="U67" s="5">
        <f t="shared" ca="1" si="114"/>
        <v>6.5481874548618665E-3</v>
      </c>
      <c r="V67" s="5">
        <f t="shared" ca="1" si="115"/>
        <v>6.6993703299987441E-3</v>
      </c>
      <c r="W67" s="5">
        <f t="shared" ca="1" si="116"/>
        <v>7.016074083610567E-3</v>
      </c>
      <c r="X67" s="5">
        <f t="shared" ca="1" si="117"/>
        <v>6.7745840072108796E-3</v>
      </c>
      <c r="Y67" s="5">
        <f t="shared" ca="1" si="118"/>
        <v>6.9077417256128123E-3</v>
      </c>
      <c r="Z67" s="5">
        <f t="shared" ca="1" si="119"/>
        <v>6.8801641458844836E-3</v>
      </c>
      <c r="AA67" s="5">
        <f t="shared" ca="1" si="120"/>
        <v>6.525643026731226E-3</v>
      </c>
      <c r="AB67" s="5">
        <f t="shared" ca="1" si="121"/>
        <v>7.1633249057868375E-3</v>
      </c>
      <c r="AC67" s="5">
        <f t="shared" ca="1" si="122"/>
        <v>6.965325156995098E-3</v>
      </c>
      <c r="AD67" s="5">
        <f t="shared" ca="1" si="123"/>
        <v>6.6377229026660101E-3</v>
      </c>
      <c r="AE67" s="5">
        <f t="shared" ca="1" si="124"/>
        <v>6.9695116348083017E-3</v>
      </c>
      <c r="AF67" s="5">
        <f t="shared" ca="1" si="125"/>
        <v>6.775487793436623E-3</v>
      </c>
      <c r="AG67" s="5">
        <f t="shared" ca="1" si="126"/>
        <v>6.8044553860105066E-3</v>
      </c>
      <c r="AH67" s="5">
        <f t="shared" ca="1" si="127"/>
        <v>6.2354919860475259E-3</v>
      </c>
      <c r="AI67" s="5">
        <f t="shared" ca="1" si="128"/>
        <v>6.8669997935020734E-3</v>
      </c>
      <c r="AJ67" s="5">
        <f t="shared" ca="1" si="129"/>
        <v>6.5889094052170921E-3</v>
      </c>
      <c r="AK67" s="5">
        <f t="shared" ca="1" si="130"/>
        <v>7.1184514702999331E-3</v>
      </c>
      <c r="AL67" s="5">
        <f t="shared" ca="1" si="131"/>
        <v>6.5354668721626305E-3</v>
      </c>
      <c r="AM67" s="5">
        <f t="shared" ca="1" si="132"/>
        <v>6.96870104050648E-3</v>
      </c>
      <c r="AN67" s="5">
        <f t="shared" ca="1" si="133"/>
        <v>6.8668617302209169E-3</v>
      </c>
      <c r="AO67" s="5">
        <f t="shared" ca="1" si="134"/>
        <v>7.3185354056972832E-3</v>
      </c>
      <c r="AP67" s="5">
        <f t="shared" ca="1" si="135"/>
        <v>6.7210576125726921E-3</v>
      </c>
      <c r="AQ67" s="5">
        <f t="shared" ca="1" si="136"/>
        <v>6.3825093302163167E-3</v>
      </c>
      <c r="AR67" s="5">
        <f t="shared" ca="1" si="137"/>
        <v>6.7231346786004974E-3</v>
      </c>
      <c r="AS67" s="5">
        <f t="shared" ca="1" si="138"/>
        <v>6.951200860519144E-3</v>
      </c>
      <c r="AT67" s="5">
        <f t="shared" ca="1" si="139"/>
        <v>6.0721904722102656E-3</v>
      </c>
      <c r="AU67" s="5">
        <f t="shared" ca="1" si="140"/>
        <v>6.3775324446016836E-3</v>
      </c>
      <c r="AV67" s="5">
        <f t="shared" ca="1" si="141"/>
        <v>6.5423198134629849E-3</v>
      </c>
      <c r="AW67" s="5">
        <f t="shared" ca="1" si="142"/>
        <v>7.0671452520504269E-3</v>
      </c>
      <c r="AX67" s="5">
        <f t="shared" ca="1" si="143"/>
        <v>6.2948098978856393E-3</v>
      </c>
      <c r="AY67" s="5">
        <f t="shared" ca="1" si="144"/>
        <v>6.6193026533548785E-3</v>
      </c>
      <c r="AZ67" s="5">
        <f t="shared" ca="1" si="145"/>
        <v>7.0205698990614572E-3</v>
      </c>
      <c r="BA67" s="5">
        <f t="shared" ca="1" si="146"/>
        <v>6.6529645488162406E-3</v>
      </c>
      <c r="BB67" s="5">
        <f t="shared" ca="1" si="147"/>
        <v>6.4453113360867856E-3</v>
      </c>
      <c r="BC67" s="5">
        <f t="shared" ca="1" si="148"/>
        <v>6.4895114185414817E-3</v>
      </c>
      <c r="BD67" s="5">
        <f t="shared" ca="1" si="149"/>
        <v>6.6148829638966551E-3</v>
      </c>
      <c r="BE67" s="5">
        <f t="shared" ca="1" si="150"/>
        <v>7.3526571018117937E-3</v>
      </c>
      <c r="BF67" s="5">
        <f t="shared" ca="1" si="151"/>
        <v>7.0720082581657009E-3</v>
      </c>
      <c r="BG67" s="5">
        <f t="shared" ca="1" si="152"/>
        <v>6.4498341262501308E-3</v>
      </c>
      <c r="BH67" s="5">
        <f t="shared" ca="1" si="153"/>
        <v>6.2726065935560533E-3</v>
      </c>
      <c r="BI67" s="5">
        <f t="shared" ca="1" si="154"/>
        <v>7.1683044977214798E-3</v>
      </c>
      <c r="BJ67" s="5">
        <f t="shared" ca="1" si="155"/>
        <v>7.0442277998617638E-3</v>
      </c>
      <c r="BK67" s="5">
        <f t="shared" ca="1" si="156"/>
        <v>7.0196363995140981E-3</v>
      </c>
      <c r="BL67" s="5">
        <f t="shared" ca="1" si="157"/>
        <v>7.1193960751504163E-3</v>
      </c>
      <c r="BM67" s="5">
        <f t="shared" ca="1" si="158"/>
        <v>6.2794435376927011E-3</v>
      </c>
      <c r="BN67" s="5">
        <f t="shared" ca="1" si="159"/>
        <v>6.3534282485603931E-3</v>
      </c>
      <c r="BO67" s="5">
        <f t="shared" ca="1" si="160"/>
        <v>7.0488251025430304E-3</v>
      </c>
      <c r="BP67" s="5">
        <f t="shared" ca="1" si="161"/>
        <v>6.6966251601394949E-3</v>
      </c>
      <c r="BQ67" s="5">
        <f t="shared" ca="1" si="162"/>
        <v>6.1994852566326832E-3</v>
      </c>
      <c r="BR67" s="5">
        <f t="shared" ca="1" si="163"/>
        <v>6.1822668107510336E-3</v>
      </c>
      <c r="BS67" s="5">
        <f t="shared" ca="1" si="164"/>
        <v>6.8649226323941681E-3</v>
      </c>
      <c r="BT67" s="5">
        <f t="shared" ca="1" si="165"/>
        <v>6.5058511241900333E-3</v>
      </c>
      <c r="BU67" s="5">
        <f t="shared" ca="1" si="166"/>
        <v>6.784036715272901E-3</v>
      </c>
      <c r="BV67" s="5">
        <f t="shared" ca="1" si="167"/>
        <v>6.6375663551095036E-3</v>
      </c>
      <c r="BW67" s="5">
        <f t="shared" ca="1" si="168"/>
        <v>6.8912642855043079E-3</v>
      </c>
      <c r="BX67" s="5">
        <f t="shared" ca="1" si="169"/>
        <v>6.9378140244683176E-3</v>
      </c>
      <c r="BY67" s="5">
        <f t="shared" ca="1" si="170"/>
        <v>6.2872143326451928E-3</v>
      </c>
      <c r="BZ67" s="5">
        <f t="shared" ca="1" si="171"/>
        <v>7.1329292517167469E-3</v>
      </c>
      <c r="CA67" s="5">
        <f t="shared" ca="1" si="172"/>
        <v>6.0456271957266342E-3</v>
      </c>
      <c r="CB67" s="5">
        <f t="shared" ca="1" si="173"/>
        <v>6.7736009549629397E-3</v>
      </c>
      <c r="CC67" s="5">
        <f t="shared" ca="1" si="174"/>
        <v>6.5971207492451812E-3</v>
      </c>
      <c r="CD67" s="5">
        <f t="shared" ca="1" si="175"/>
        <v>6.940445093280131E-3</v>
      </c>
      <c r="CE67" s="5">
        <f t="shared" ca="1" si="176"/>
        <v>6.4689714625690434E-3</v>
      </c>
      <c r="CF67" s="5">
        <f t="shared" ca="1" si="177"/>
        <v>6.8674834283342064E-3</v>
      </c>
      <c r="CG67" s="5">
        <f t="shared" ca="1" si="178"/>
        <v>6.82375832524665E-3</v>
      </c>
      <c r="CH67" s="5">
        <f t="shared" ca="1" si="179"/>
        <v>5.9075285018795791E-3</v>
      </c>
      <c r="CI67" s="5">
        <f t="shared" ca="1" si="180"/>
        <v>6.9809386406306613E-3</v>
      </c>
      <c r="CJ67" s="5">
        <f t="shared" ca="1" si="181"/>
        <v>6.988198366371501E-3</v>
      </c>
      <c r="CK67" s="5">
        <f t="shared" ca="1" si="182"/>
        <v>7.0231810639922367E-3</v>
      </c>
      <c r="CL67" s="5">
        <f t="shared" ca="1" si="183"/>
        <v>6.8311656155359063E-3</v>
      </c>
      <c r="CM67" s="5">
        <f t="shared" ca="1" si="184"/>
        <v>6.856153281928094E-3</v>
      </c>
      <c r="CN67" s="5">
        <f t="shared" ca="1" si="185"/>
        <v>6.672936807161035E-3</v>
      </c>
      <c r="CO67" s="5">
        <f t="shared" ca="1" si="186"/>
        <v>6.90712521958244E-3</v>
      </c>
      <c r="CP67" s="5">
        <f t="shared" ca="1" si="187"/>
        <v>7.0459780631978988E-3</v>
      </c>
      <c r="CQ67" s="5">
        <f t="shared" ca="1" si="188"/>
        <v>6.9794635808914009E-3</v>
      </c>
      <c r="CR67" s="5">
        <f t="shared" ca="1" si="189"/>
        <v>6.5839397853497206E-3</v>
      </c>
      <c r="CS67" s="5">
        <f t="shared" ca="1" si="190"/>
        <v>6.7546221512775713E-3</v>
      </c>
      <c r="CT67" s="5">
        <f t="shared" ca="1" si="191"/>
        <v>7.2626877064731251E-3</v>
      </c>
      <c r="CU67" s="5">
        <f t="shared" ca="1" si="192"/>
        <v>6.2468193694927817E-3</v>
      </c>
      <c r="CV67" s="5">
        <f t="shared" ca="1" si="193"/>
        <v>6.7006523892777035E-3</v>
      </c>
      <c r="CW67" s="5">
        <f t="shared" ca="1" si="194"/>
        <v>6.3667183432682189E-3</v>
      </c>
      <c r="CX67" s="5">
        <f t="shared" ca="1" si="195"/>
        <v>6.0599745288757896E-3</v>
      </c>
      <c r="CY67" s="5">
        <f t="shared" ca="1" si="196"/>
        <v>6.8337492933927624E-3</v>
      </c>
      <c r="CZ67" s="5">
        <f t="shared" ca="1" si="197"/>
        <v>6.1536455859731738E-3</v>
      </c>
      <c r="DA67" s="5">
        <f t="shared" ca="1" si="198"/>
        <v>6.8723153407325242E-3</v>
      </c>
      <c r="DB67" s="5">
        <f t="shared" ca="1" si="199"/>
        <v>6.7703308415756197E-3</v>
      </c>
      <c r="DC67" s="5">
        <f t="shared" ca="1" si="200"/>
        <v>7.0855323466503537E-3</v>
      </c>
      <c r="DD67" s="5">
        <f t="shared" ca="1" si="201"/>
        <v>6.846232209276072E-3</v>
      </c>
      <c r="DE67" s="5">
        <f t="shared" ca="1" si="202"/>
        <v>6.7772998271338394E-3</v>
      </c>
      <c r="DF67" s="5">
        <f t="shared" ca="1" si="203"/>
        <v>6.5993291110695834E-3</v>
      </c>
      <c r="DG67" s="5">
        <f t="shared" ca="1" si="204"/>
        <v>6.5364238959403406E-3</v>
      </c>
      <c r="DH67" s="5">
        <f t="shared" ca="1" si="205"/>
        <v>6.8775308835141002E-3</v>
      </c>
      <c r="DI67" s="5">
        <f t="shared" ca="1" si="206"/>
        <v>6.8667817870214946E-3</v>
      </c>
      <c r="DJ67" s="5">
        <f t="shared" ca="1" si="207"/>
        <v>6.9044839820848018E-3</v>
      </c>
    </row>
    <row r="68" spans="5:114" outlineLevel="1" x14ac:dyDescent="0.2">
      <c r="E68" s="32">
        <v>46539</v>
      </c>
      <c r="F68" s="9">
        <v>2986.7248319999999</v>
      </c>
      <c r="G68" s="5">
        <f t="shared" ref="G68:G99" ca="1" si="208">_xlfn.NORM.INV(RAND(),0,Deltat)</f>
        <v>-2.0668197768532688E-2</v>
      </c>
      <c r="H68" s="5">
        <f t="shared" ca="1" si="106"/>
        <v>6.1738999726843298E-3</v>
      </c>
      <c r="I68" s="9">
        <f t="shared" ca="1" si="107"/>
        <v>156394.67924997464</v>
      </c>
      <c r="K68" s="6">
        <v>64</v>
      </c>
      <c r="L68" s="5">
        <v>362863.56481889263</v>
      </c>
      <c r="N68" s="32">
        <v>46508</v>
      </c>
      <c r="O68" s="5">
        <f t="shared" ca="1" si="108"/>
        <v>6.6335492337004582E-3</v>
      </c>
      <c r="P68" s="5">
        <f t="shared" ca="1" si="109"/>
        <v>6.5118348291631212E-3</v>
      </c>
      <c r="Q68" s="5">
        <f t="shared" ca="1" si="110"/>
        <v>6.5760366677115375E-3</v>
      </c>
      <c r="R68" s="5">
        <f t="shared" ca="1" si="111"/>
        <v>6.6092551472685971E-3</v>
      </c>
      <c r="S68" s="5">
        <f t="shared" ca="1" si="112"/>
        <v>5.8645038659230868E-3</v>
      </c>
      <c r="T68" s="5">
        <f t="shared" ca="1" si="113"/>
        <v>5.9512417737481128E-3</v>
      </c>
      <c r="U68" s="5">
        <f t="shared" ca="1" si="114"/>
        <v>6.5206833048146789E-3</v>
      </c>
      <c r="V68" s="5">
        <f t="shared" ca="1" si="115"/>
        <v>6.6533761371666911E-3</v>
      </c>
      <c r="W68" s="5">
        <f t="shared" ca="1" si="116"/>
        <v>6.9723595954651243E-3</v>
      </c>
      <c r="X68" s="5">
        <f t="shared" ca="1" si="117"/>
        <v>6.7698174654208928E-3</v>
      </c>
      <c r="Y68" s="5">
        <f t="shared" ca="1" si="118"/>
        <v>6.9106443562293668E-3</v>
      </c>
      <c r="Z68" s="5">
        <f t="shared" ca="1" si="119"/>
        <v>6.8684139518070024E-3</v>
      </c>
      <c r="AA68" s="5">
        <f t="shared" ca="1" si="120"/>
        <v>6.5335650777122358E-3</v>
      </c>
      <c r="AB68" s="5">
        <f t="shared" ca="1" si="121"/>
        <v>7.2193037404491844E-3</v>
      </c>
      <c r="AC68" s="5">
        <f t="shared" ca="1" si="122"/>
        <v>7.0498006691035254E-3</v>
      </c>
      <c r="AD68" s="5">
        <f t="shared" ca="1" si="123"/>
        <v>6.6678310042404916E-3</v>
      </c>
      <c r="AE68" s="5">
        <f t="shared" ca="1" si="124"/>
        <v>6.9262484344618618E-3</v>
      </c>
      <c r="AF68" s="5">
        <f t="shared" ca="1" si="125"/>
        <v>6.7681348253234245E-3</v>
      </c>
      <c r="AG68" s="5">
        <f t="shared" ca="1" si="126"/>
        <v>6.8287223519741631E-3</v>
      </c>
      <c r="AH68" s="5">
        <f t="shared" ca="1" si="127"/>
        <v>6.1852421067478394E-3</v>
      </c>
      <c r="AI68" s="5">
        <f t="shared" ca="1" si="128"/>
        <v>6.8594996101439308E-3</v>
      </c>
      <c r="AJ68" s="5">
        <f t="shared" ca="1" si="129"/>
        <v>6.5784295886926591E-3</v>
      </c>
      <c r="AK68" s="5">
        <f t="shared" ca="1" si="130"/>
        <v>7.0993180985097779E-3</v>
      </c>
      <c r="AL68" s="5">
        <f t="shared" ca="1" si="131"/>
        <v>6.5091536090906548E-3</v>
      </c>
      <c r="AM68" s="5">
        <f t="shared" ca="1" si="132"/>
        <v>6.8267489161880097E-3</v>
      </c>
      <c r="AN68" s="5">
        <f t="shared" ca="1" si="133"/>
        <v>6.8566774503832717E-3</v>
      </c>
      <c r="AO68" s="5">
        <f t="shared" ca="1" si="134"/>
        <v>7.3142859924889983E-3</v>
      </c>
      <c r="AP68" s="5">
        <f t="shared" ca="1" si="135"/>
        <v>6.6667968975220385E-3</v>
      </c>
      <c r="AQ68" s="5">
        <f t="shared" ca="1" si="136"/>
        <v>6.3764264739726833E-3</v>
      </c>
      <c r="AR68" s="5">
        <f t="shared" ca="1" si="137"/>
        <v>6.7602055117354067E-3</v>
      </c>
      <c r="AS68" s="5">
        <f t="shared" ca="1" si="138"/>
        <v>6.9240073504934592E-3</v>
      </c>
      <c r="AT68" s="5">
        <f t="shared" ca="1" si="139"/>
        <v>6.0764947038229071E-3</v>
      </c>
      <c r="AU68" s="5">
        <f t="shared" ca="1" si="140"/>
        <v>6.3909621827223295E-3</v>
      </c>
      <c r="AV68" s="5">
        <f t="shared" ca="1" si="141"/>
        <v>6.586854716213994E-3</v>
      </c>
      <c r="AW68" s="5">
        <f t="shared" ca="1" si="142"/>
        <v>7.0547233047289432E-3</v>
      </c>
      <c r="AX68" s="5">
        <f t="shared" ca="1" si="143"/>
        <v>6.2635458606347906E-3</v>
      </c>
      <c r="AY68" s="5">
        <f t="shared" ca="1" si="144"/>
        <v>6.648455983824182E-3</v>
      </c>
      <c r="AZ68" s="5">
        <f t="shared" ca="1" si="145"/>
        <v>7.0733162765782382E-3</v>
      </c>
      <c r="BA68" s="5">
        <f t="shared" ca="1" si="146"/>
        <v>6.7202655442954997E-3</v>
      </c>
      <c r="BB68" s="5">
        <f t="shared" ca="1" si="147"/>
        <v>6.4362460024761118E-3</v>
      </c>
      <c r="BC68" s="5">
        <f t="shared" ca="1" si="148"/>
        <v>6.5146719953641649E-3</v>
      </c>
      <c r="BD68" s="5">
        <f t="shared" ca="1" si="149"/>
        <v>6.6443617222778223E-3</v>
      </c>
      <c r="BE68" s="5">
        <f t="shared" ca="1" si="150"/>
        <v>7.4093672794122573E-3</v>
      </c>
      <c r="BF68" s="5">
        <f t="shared" ca="1" si="151"/>
        <v>6.9955989821461279E-3</v>
      </c>
      <c r="BG68" s="5">
        <f t="shared" ca="1" si="152"/>
        <v>6.4630261384171304E-3</v>
      </c>
      <c r="BH68" s="5">
        <f t="shared" ca="1" si="153"/>
        <v>6.3292646450952067E-3</v>
      </c>
      <c r="BI68" s="5">
        <f t="shared" ca="1" si="154"/>
        <v>7.1956637818120107E-3</v>
      </c>
      <c r="BJ68" s="5">
        <f t="shared" ca="1" si="155"/>
        <v>7.0340451102465359E-3</v>
      </c>
      <c r="BK68" s="5">
        <f t="shared" ca="1" si="156"/>
        <v>7.0237242245580183E-3</v>
      </c>
      <c r="BL68" s="5">
        <f t="shared" ca="1" si="157"/>
        <v>7.1609163923224113E-3</v>
      </c>
      <c r="BM68" s="5">
        <f t="shared" ca="1" si="158"/>
        <v>6.2460818260499261E-3</v>
      </c>
      <c r="BN68" s="5">
        <f t="shared" ca="1" si="159"/>
        <v>6.3824343483460553E-3</v>
      </c>
      <c r="BO68" s="5">
        <f t="shared" ca="1" si="160"/>
        <v>7.0432526610457302E-3</v>
      </c>
      <c r="BP68" s="5">
        <f t="shared" ca="1" si="161"/>
        <v>6.8329390400747115E-3</v>
      </c>
      <c r="BQ68" s="5">
        <f t="shared" ca="1" si="162"/>
        <v>6.2847185902369469E-3</v>
      </c>
      <c r="BR68" s="5">
        <f t="shared" ca="1" si="163"/>
        <v>6.1759822219647912E-3</v>
      </c>
      <c r="BS68" s="5">
        <f t="shared" ca="1" si="164"/>
        <v>6.8487920268868047E-3</v>
      </c>
      <c r="BT68" s="5">
        <f t="shared" ca="1" si="165"/>
        <v>6.5521985147949094E-3</v>
      </c>
      <c r="BU68" s="5">
        <f t="shared" ca="1" si="166"/>
        <v>6.7743672586697695E-3</v>
      </c>
      <c r="BV68" s="5">
        <f t="shared" ca="1" si="167"/>
        <v>6.6935677476710736E-3</v>
      </c>
      <c r="BW68" s="5">
        <f t="shared" ca="1" si="168"/>
        <v>6.8617692225925123E-3</v>
      </c>
      <c r="BX68" s="5">
        <f t="shared" ca="1" si="169"/>
        <v>6.9388145854846987E-3</v>
      </c>
      <c r="BY68" s="5">
        <f t="shared" ca="1" si="170"/>
        <v>6.2329028872885085E-3</v>
      </c>
      <c r="BZ68" s="5">
        <f t="shared" ca="1" si="171"/>
        <v>7.1816683811476495E-3</v>
      </c>
      <c r="CA68" s="5">
        <f t="shared" ca="1" si="172"/>
        <v>6.1173483805249135E-3</v>
      </c>
      <c r="CB68" s="5">
        <f t="shared" ca="1" si="173"/>
        <v>6.7497263400520605E-3</v>
      </c>
      <c r="CC68" s="5">
        <f t="shared" ca="1" si="174"/>
        <v>6.5522900143981325E-3</v>
      </c>
      <c r="CD68" s="5">
        <f t="shared" ca="1" si="175"/>
        <v>6.8993975377804207E-3</v>
      </c>
      <c r="CE68" s="5">
        <f t="shared" ca="1" si="176"/>
        <v>6.4403003662044968E-3</v>
      </c>
      <c r="CF68" s="5">
        <f t="shared" ca="1" si="177"/>
        <v>6.8736341460342307E-3</v>
      </c>
      <c r="CG68" s="5">
        <f t="shared" ca="1" si="178"/>
        <v>6.8298758876977851E-3</v>
      </c>
      <c r="CH68" s="5">
        <f t="shared" ca="1" si="179"/>
        <v>5.9067271222880595E-3</v>
      </c>
      <c r="CI68" s="5">
        <f t="shared" ca="1" si="180"/>
        <v>6.9913913164428142E-3</v>
      </c>
      <c r="CJ68" s="5">
        <f t="shared" ca="1" si="181"/>
        <v>7.0323950469489199E-3</v>
      </c>
      <c r="CK68" s="5">
        <f t="shared" ca="1" si="182"/>
        <v>7.0692991805257699E-3</v>
      </c>
      <c r="CL68" s="5">
        <f t="shared" ca="1" si="183"/>
        <v>6.8866026614884685E-3</v>
      </c>
      <c r="CM68" s="5">
        <f t="shared" ca="1" si="184"/>
        <v>6.8299918511076588E-3</v>
      </c>
      <c r="CN68" s="5">
        <f t="shared" ca="1" si="185"/>
        <v>6.5864874558023293E-3</v>
      </c>
      <c r="CO68" s="5">
        <f t="shared" ca="1" si="186"/>
        <v>6.8512579145261383E-3</v>
      </c>
      <c r="CP68" s="5">
        <f t="shared" ca="1" si="187"/>
        <v>7.0937696551244536E-3</v>
      </c>
      <c r="CQ68" s="5">
        <f t="shared" ca="1" si="188"/>
        <v>6.9874254738411445E-3</v>
      </c>
      <c r="CR68" s="5">
        <f t="shared" ca="1" si="189"/>
        <v>6.5930190346190892E-3</v>
      </c>
      <c r="CS68" s="5">
        <f t="shared" ca="1" si="190"/>
        <v>6.7055415697497142E-3</v>
      </c>
      <c r="CT68" s="5">
        <f t="shared" ca="1" si="191"/>
        <v>7.2861268943227812E-3</v>
      </c>
      <c r="CU68" s="5">
        <f t="shared" ca="1" si="192"/>
        <v>6.2468267539452166E-3</v>
      </c>
      <c r="CV68" s="5">
        <f t="shared" ca="1" si="193"/>
        <v>6.6603609884486378E-3</v>
      </c>
      <c r="CW68" s="5">
        <f t="shared" ca="1" si="194"/>
        <v>6.3722960588964653E-3</v>
      </c>
      <c r="CX68" s="5">
        <f t="shared" ca="1" si="195"/>
        <v>6.1427236302957818E-3</v>
      </c>
      <c r="CY68" s="5">
        <f t="shared" ca="1" si="196"/>
        <v>6.8168435600139687E-3</v>
      </c>
      <c r="CZ68" s="5">
        <f t="shared" ca="1" si="197"/>
        <v>6.1027660957405482E-3</v>
      </c>
      <c r="DA68" s="5">
        <f t="shared" ca="1" si="198"/>
        <v>6.859653041994802E-3</v>
      </c>
      <c r="DB68" s="5">
        <f t="shared" ca="1" si="199"/>
        <v>6.7406696080004143E-3</v>
      </c>
      <c r="DC68" s="5">
        <f t="shared" ca="1" si="200"/>
        <v>7.1093586399068667E-3</v>
      </c>
      <c r="DD68" s="5">
        <f t="shared" ca="1" si="201"/>
        <v>6.7806870015693207E-3</v>
      </c>
      <c r="DE68" s="5">
        <f t="shared" ca="1" si="202"/>
        <v>6.9177892107366318E-3</v>
      </c>
      <c r="DF68" s="5">
        <f t="shared" ca="1" si="203"/>
        <v>6.631201558766283E-3</v>
      </c>
      <c r="DG68" s="5">
        <f t="shared" ca="1" si="204"/>
        <v>6.5386609589944376E-3</v>
      </c>
      <c r="DH68" s="5">
        <f t="shared" ca="1" si="205"/>
        <v>6.8353226545440279E-3</v>
      </c>
      <c r="DI68" s="5">
        <f t="shared" ca="1" si="206"/>
        <v>6.8794540063521576E-3</v>
      </c>
      <c r="DJ68" s="5">
        <f t="shared" ca="1" si="207"/>
        <v>6.9123849164097481E-3</v>
      </c>
    </row>
    <row r="69" spans="5:114" outlineLevel="1" x14ac:dyDescent="0.2">
      <c r="E69" s="32">
        <v>46569</v>
      </c>
      <c r="F69" s="9">
        <v>2986.7248319999999</v>
      </c>
      <c r="G69" s="5">
        <f t="shared" ca="1" si="208"/>
        <v>9.803340776367353E-2</v>
      </c>
      <c r="H69" s="5">
        <f t="shared" ref="H69:H100" ca="1" si="209">H68+Kappa*(Theta-H68)*Deltat+Sigma*SQRT(H68)*G68</f>
        <v>6.1697578723320101E-3</v>
      </c>
      <c r="I69" s="9">
        <f t="shared" ref="I69:I100" ca="1" si="210">EXP(H69*Deltat)*I68+F69</f>
        <v>159461.83453201072</v>
      </c>
      <c r="K69" s="6">
        <v>65</v>
      </c>
      <c r="L69" s="5">
        <v>362776.49225251388</v>
      </c>
      <c r="N69" s="32">
        <v>46539</v>
      </c>
      <c r="O69" s="5">
        <f t="shared" ca="1" si="108"/>
        <v>6.659327564811468E-3</v>
      </c>
      <c r="P69" s="5">
        <f t="shared" ca="1" si="109"/>
        <v>6.5199647033815887E-3</v>
      </c>
      <c r="Q69" s="5">
        <f t="shared" ca="1" si="110"/>
        <v>6.5938171818582941E-3</v>
      </c>
      <c r="R69" s="5">
        <f t="shared" ca="1" si="111"/>
        <v>6.5889101989791872E-3</v>
      </c>
      <c r="S69" s="5">
        <f t="shared" ca="1" si="112"/>
        <v>5.8518157240192471E-3</v>
      </c>
      <c r="T69" s="5">
        <f t="shared" ca="1" si="113"/>
        <v>5.9424046513417471E-3</v>
      </c>
      <c r="U69" s="5">
        <f t="shared" ca="1" si="114"/>
        <v>6.5920211898678124E-3</v>
      </c>
      <c r="V69" s="5">
        <f t="shared" ca="1" si="115"/>
        <v>6.6009637325690866E-3</v>
      </c>
      <c r="W69" s="5">
        <f t="shared" ca="1" si="116"/>
        <v>7.0157786291403729E-3</v>
      </c>
      <c r="X69" s="5">
        <f t="shared" ca="1" si="117"/>
        <v>6.7078913242216353E-3</v>
      </c>
      <c r="Y69" s="5">
        <f t="shared" ca="1" si="118"/>
        <v>6.8823918670976479E-3</v>
      </c>
      <c r="Z69" s="5">
        <f t="shared" ca="1" si="119"/>
        <v>6.8241070587881604E-3</v>
      </c>
      <c r="AA69" s="5">
        <f t="shared" ca="1" si="120"/>
        <v>6.5849812748138802E-3</v>
      </c>
      <c r="AB69" s="5">
        <f t="shared" ca="1" si="121"/>
        <v>7.2110551203286265E-3</v>
      </c>
      <c r="AC69" s="5">
        <f t="shared" ca="1" si="122"/>
        <v>7.0413821655290962E-3</v>
      </c>
      <c r="AD69" s="5">
        <f t="shared" ca="1" si="123"/>
        <v>6.6187869697363596E-3</v>
      </c>
      <c r="AE69" s="5">
        <f t="shared" ca="1" si="124"/>
        <v>6.9546513342297915E-3</v>
      </c>
      <c r="AF69" s="5">
        <f t="shared" ca="1" si="125"/>
        <v>6.7710984894148426E-3</v>
      </c>
      <c r="AG69" s="5">
        <f t="shared" ca="1" si="126"/>
        <v>6.84406588302559E-3</v>
      </c>
      <c r="AH69" s="5">
        <f t="shared" ca="1" si="127"/>
        <v>6.2189044612178121E-3</v>
      </c>
      <c r="AI69" s="5">
        <f t="shared" ca="1" si="128"/>
        <v>6.897202912937093E-3</v>
      </c>
      <c r="AJ69" s="5">
        <f t="shared" ca="1" si="129"/>
        <v>6.5460520466150253E-3</v>
      </c>
      <c r="AK69" s="5">
        <f t="shared" ca="1" si="130"/>
        <v>7.1136545951213503E-3</v>
      </c>
      <c r="AL69" s="5">
        <f t="shared" ca="1" si="131"/>
        <v>6.5483869910268932E-3</v>
      </c>
      <c r="AM69" s="5">
        <f t="shared" ca="1" si="132"/>
        <v>6.7888513017892796E-3</v>
      </c>
      <c r="AN69" s="5">
        <f t="shared" ca="1" si="133"/>
        <v>6.9110048671910751E-3</v>
      </c>
      <c r="AO69" s="5">
        <f t="shared" ca="1" si="134"/>
        <v>7.3126204152724481E-3</v>
      </c>
      <c r="AP69" s="5">
        <f t="shared" ca="1" si="135"/>
        <v>6.7023978907377992E-3</v>
      </c>
      <c r="AQ69" s="5">
        <f t="shared" ca="1" si="136"/>
        <v>6.4474325783402337E-3</v>
      </c>
      <c r="AR69" s="5">
        <f t="shared" ca="1" si="137"/>
        <v>6.7813107348347829E-3</v>
      </c>
      <c r="AS69" s="5">
        <f t="shared" ca="1" si="138"/>
        <v>6.8892452774585887E-3</v>
      </c>
      <c r="AT69" s="5">
        <f t="shared" ca="1" si="139"/>
        <v>6.0669685588962546E-3</v>
      </c>
      <c r="AU69" s="5">
        <f t="shared" ca="1" si="140"/>
        <v>6.3892543323335995E-3</v>
      </c>
      <c r="AV69" s="5">
        <f t="shared" ca="1" si="141"/>
        <v>6.563557261294671E-3</v>
      </c>
      <c r="AW69" s="5">
        <f t="shared" ca="1" si="142"/>
        <v>7.0689597679765379E-3</v>
      </c>
      <c r="AX69" s="5">
        <f t="shared" ca="1" si="143"/>
        <v>6.2909937559854174E-3</v>
      </c>
      <c r="AY69" s="5">
        <f t="shared" ca="1" si="144"/>
        <v>6.7373061410469937E-3</v>
      </c>
      <c r="AZ69" s="5">
        <f t="shared" ca="1" si="145"/>
        <v>7.1002074096185811E-3</v>
      </c>
      <c r="BA69" s="5">
        <f t="shared" ca="1" si="146"/>
        <v>6.7638601440937196E-3</v>
      </c>
      <c r="BB69" s="5">
        <f t="shared" ca="1" si="147"/>
        <v>6.4927295250472271E-3</v>
      </c>
      <c r="BC69" s="5">
        <f t="shared" ca="1" si="148"/>
        <v>6.4800119119194635E-3</v>
      </c>
      <c r="BD69" s="5">
        <f t="shared" ca="1" si="149"/>
        <v>6.6460706235744738E-3</v>
      </c>
      <c r="BE69" s="5">
        <f t="shared" ca="1" si="150"/>
        <v>7.3452887367527189E-3</v>
      </c>
      <c r="BF69" s="5">
        <f t="shared" ca="1" si="151"/>
        <v>6.9830124319611381E-3</v>
      </c>
      <c r="BG69" s="5">
        <f t="shared" ca="1" si="152"/>
        <v>6.5311153645296093E-3</v>
      </c>
      <c r="BH69" s="5">
        <f t="shared" ca="1" si="153"/>
        <v>6.3132902208590681E-3</v>
      </c>
      <c r="BI69" s="5">
        <f t="shared" ca="1" si="154"/>
        <v>7.2677728030328317E-3</v>
      </c>
      <c r="BJ69" s="5">
        <f t="shared" ca="1" si="155"/>
        <v>7.0266158861815049E-3</v>
      </c>
      <c r="BK69" s="5">
        <f t="shared" ca="1" si="156"/>
        <v>7.0761440522362226E-3</v>
      </c>
      <c r="BL69" s="5">
        <f t="shared" ca="1" si="157"/>
        <v>7.1911871616495539E-3</v>
      </c>
      <c r="BM69" s="5">
        <f t="shared" ca="1" si="158"/>
        <v>6.2162864539973793E-3</v>
      </c>
      <c r="BN69" s="5">
        <f t="shared" ca="1" si="159"/>
        <v>6.3699773376273477E-3</v>
      </c>
      <c r="BO69" s="5">
        <f t="shared" ca="1" si="160"/>
        <v>7.0420749816867741E-3</v>
      </c>
      <c r="BP69" s="5">
        <f t="shared" ca="1" si="161"/>
        <v>6.8253373166082647E-3</v>
      </c>
      <c r="BQ69" s="5">
        <f t="shared" ca="1" si="162"/>
        <v>6.2888813787890284E-3</v>
      </c>
      <c r="BR69" s="5">
        <f t="shared" ca="1" si="163"/>
        <v>6.2376348792550513E-3</v>
      </c>
      <c r="BS69" s="5">
        <f t="shared" ca="1" si="164"/>
        <v>6.7963065548175333E-3</v>
      </c>
      <c r="BT69" s="5">
        <f t="shared" ca="1" si="165"/>
        <v>6.5574278209679865E-3</v>
      </c>
      <c r="BU69" s="5">
        <f t="shared" ca="1" si="166"/>
        <v>6.8136003248002704E-3</v>
      </c>
      <c r="BV69" s="5">
        <f t="shared" ca="1" si="167"/>
        <v>6.7357580787148442E-3</v>
      </c>
      <c r="BW69" s="5">
        <f t="shared" ca="1" si="168"/>
        <v>6.8569406164125249E-3</v>
      </c>
      <c r="BX69" s="5">
        <f t="shared" ca="1" si="169"/>
        <v>6.9364306073713966E-3</v>
      </c>
      <c r="BY69" s="5">
        <f t="shared" ca="1" si="170"/>
        <v>6.2866982237923244E-3</v>
      </c>
      <c r="BZ69" s="5">
        <f t="shared" ca="1" si="171"/>
        <v>7.1826884915240381E-3</v>
      </c>
      <c r="CA69" s="5">
        <f t="shared" ca="1" si="172"/>
        <v>6.1493913280712392E-3</v>
      </c>
      <c r="CB69" s="5">
        <f t="shared" ca="1" si="173"/>
        <v>6.7826539849771507E-3</v>
      </c>
      <c r="CC69" s="5">
        <f t="shared" ca="1" si="174"/>
        <v>6.554334655620107E-3</v>
      </c>
      <c r="CD69" s="5">
        <f t="shared" ca="1" si="175"/>
        <v>6.9190106451168815E-3</v>
      </c>
      <c r="CE69" s="5">
        <f t="shared" ca="1" si="176"/>
        <v>6.3861887860651436E-3</v>
      </c>
      <c r="CF69" s="5">
        <f t="shared" ca="1" si="177"/>
        <v>6.8561875524754227E-3</v>
      </c>
      <c r="CG69" s="5">
        <f t="shared" ca="1" si="178"/>
        <v>6.8065319726137935E-3</v>
      </c>
      <c r="CH69" s="5">
        <f t="shared" ca="1" si="179"/>
        <v>5.8715607880201817E-3</v>
      </c>
      <c r="CI69" s="5">
        <f t="shared" ca="1" si="180"/>
        <v>7.0388789547508246E-3</v>
      </c>
      <c r="CJ69" s="5">
        <f t="shared" ca="1" si="181"/>
        <v>7.0620673867082357E-3</v>
      </c>
      <c r="CK69" s="5">
        <f t="shared" ca="1" si="182"/>
        <v>7.0596452011153776E-3</v>
      </c>
      <c r="CL69" s="5">
        <f t="shared" ca="1" si="183"/>
        <v>6.8520037398554952E-3</v>
      </c>
      <c r="CM69" s="5">
        <f t="shared" ca="1" si="184"/>
        <v>6.7641387063190651E-3</v>
      </c>
      <c r="CN69" s="5">
        <f t="shared" ca="1" si="185"/>
        <v>6.5954482321198896E-3</v>
      </c>
      <c r="CO69" s="5">
        <f t="shared" ca="1" si="186"/>
        <v>6.8215445019218363E-3</v>
      </c>
      <c r="CP69" s="5">
        <f t="shared" ca="1" si="187"/>
        <v>7.0615560316007204E-3</v>
      </c>
      <c r="CQ69" s="5">
        <f t="shared" ca="1" si="188"/>
        <v>7.0269499644892916E-3</v>
      </c>
      <c r="CR69" s="5">
        <f t="shared" ca="1" si="189"/>
        <v>6.6433174236889781E-3</v>
      </c>
      <c r="CS69" s="5">
        <f t="shared" ca="1" si="190"/>
        <v>6.7140483990489157E-3</v>
      </c>
      <c r="CT69" s="5">
        <f t="shared" ca="1" si="191"/>
        <v>7.2887856900879433E-3</v>
      </c>
      <c r="CU69" s="5">
        <f t="shared" ca="1" si="192"/>
        <v>6.2462953702733352E-3</v>
      </c>
      <c r="CV69" s="5">
        <f t="shared" ca="1" si="193"/>
        <v>6.620730334044444E-3</v>
      </c>
      <c r="CW69" s="5">
        <f t="shared" ca="1" si="194"/>
        <v>6.4404010738530739E-3</v>
      </c>
      <c r="CX69" s="5">
        <f t="shared" ca="1" si="195"/>
        <v>6.1294912382304006E-3</v>
      </c>
      <c r="CY69" s="5">
        <f t="shared" ca="1" si="196"/>
        <v>6.8321338381085762E-3</v>
      </c>
      <c r="CZ69" s="5">
        <f t="shared" ca="1" si="197"/>
        <v>6.0992283778420683E-3</v>
      </c>
      <c r="DA69" s="5">
        <f t="shared" ca="1" si="198"/>
        <v>6.9199979703130059E-3</v>
      </c>
      <c r="DB69" s="5">
        <f t="shared" ca="1" si="199"/>
        <v>6.7625302643906388E-3</v>
      </c>
      <c r="DC69" s="5">
        <f t="shared" ca="1" si="200"/>
        <v>7.1702367856518344E-3</v>
      </c>
      <c r="DD69" s="5">
        <f t="shared" ca="1" si="201"/>
        <v>6.788347999668075E-3</v>
      </c>
      <c r="DE69" s="5">
        <f t="shared" ca="1" si="202"/>
        <v>6.9037704714870456E-3</v>
      </c>
      <c r="DF69" s="5">
        <f t="shared" ca="1" si="203"/>
        <v>6.6312147732582351E-3</v>
      </c>
      <c r="DG69" s="5">
        <f t="shared" ca="1" si="204"/>
        <v>6.5673180327383432E-3</v>
      </c>
      <c r="DH69" s="5">
        <f t="shared" ca="1" si="205"/>
        <v>6.7643208636336714E-3</v>
      </c>
      <c r="DI69" s="5">
        <f t="shared" ca="1" si="206"/>
        <v>6.8518350822038753E-3</v>
      </c>
      <c r="DJ69" s="5">
        <f t="shared" ca="1" si="207"/>
        <v>6.9310773914056378E-3</v>
      </c>
    </row>
    <row r="70" spans="5:114" outlineLevel="1" x14ac:dyDescent="0.2">
      <c r="E70" s="32">
        <v>46600</v>
      </c>
      <c r="F70" s="9">
        <v>2986.7248319999999</v>
      </c>
      <c r="G70" s="5">
        <f t="shared" ca="1" si="208"/>
        <v>-0.12204445402225329</v>
      </c>
      <c r="H70" s="5">
        <f t="shared" ca="1" si="209"/>
        <v>6.2260244390590375E-3</v>
      </c>
      <c r="I70" s="9">
        <f t="shared" ca="1" si="210"/>
        <v>162531.31527040774</v>
      </c>
      <c r="K70" s="6">
        <v>66</v>
      </c>
      <c r="L70" s="5">
        <v>362043.6201393606</v>
      </c>
      <c r="N70" s="32">
        <v>46569</v>
      </c>
      <c r="O70" s="5">
        <f t="shared" ref="O70:O101" ca="1" si="211">O69+Kappa*(Theta-O69)*Deltat+Sigma*SQRT(O69)*_xlfn.NORM.INV(RAND(),0,Deltat)</f>
        <v>6.6946183159150019E-3</v>
      </c>
      <c r="P70" s="5">
        <f t="shared" ref="P70:P101" ca="1" si="212">P69+Kappa*(Theta-P69)*Deltat+Sigma*SQRT(P69)*_xlfn.NORM.INV(RAND(),0,Deltat)</f>
        <v>6.4346187140046961E-3</v>
      </c>
      <c r="Q70" s="5">
        <f t="shared" ref="Q70:Q101" ca="1" si="213">Q69+Kappa*(Theta-Q69)*Deltat+Sigma*SQRT(Q69)*_xlfn.NORM.INV(RAND(),0,Deltat)</f>
        <v>6.5166114809677702E-3</v>
      </c>
      <c r="R70" s="5">
        <f t="shared" ref="R70:R101" ca="1" si="214">R69+Kappa*(Theta-R69)*Deltat+Sigma*SQRT(R69)*_xlfn.NORM.INV(RAND(),0,Deltat)</f>
        <v>6.5314627247298404E-3</v>
      </c>
      <c r="S70" s="5">
        <f t="shared" ref="S70:S101" ca="1" si="215">S69+Kappa*(Theta-S69)*Deltat+Sigma*SQRT(S69)*_xlfn.NORM.INV(RAND(),0,Deltat)</f>
        <v>5.8575855858845373E-3</v>
      </c>
      <c r="T70" s="5">
        <f t="shared" ref="T70:T101" ca="1" si="216">T69+Kappa*(Theta-T69)*Deltat+Sigma*SQRT(T69)*_xlfn.NORM.INV(RAND(),0,Deltat)</f>
        <v>5.9108281836331373E-3</v>
      </c>
      <c r="U70" s="5">
        <f t="shared" ref="U70:U101" ca="1" si="217">U69+Kappa*(Theta-U69)*Deltat+Sigma*SQRT(U69)*_xlfn.NORM.INV(RAND(),0,Deltat)</f>
        <v>6.5401233815115516E-3</v>
      </c>
      <c r="V70" s="5">
        <f t="shared" ref="V70:V101" ca="1" si="218">V69+Kappa*(Theta-V69)*Deltat+Sigma*SQRT(V69)*_xlfn.NORM.INV(RAND(),0,Deltat)</f>
        <v>6.6248140847169458E-3</v>
      </c>
      <c r="W70" s="5">
        <f t="shared" ref="W70:W101" ca="1" si="219">W69+Kappa*(Theta-W69)*Deltat+Sigma*SQRT(W69)*_xlfn.NORM.INV(RAND(),0,Deltat)</f>
        <v>7.0278893789569932E-3</v>
      </c>
      <c r="X70" s="5">
        <f t="shared" ref="X70:X101" ca="1" si="220">X69+Kappa*(Theta-X69)*Deltat+Sigma*SQRT(X69)*_xlfn.NORM.INV(RAND(),0,Deltat)</f>
        <v>6.7310138499979862E-3</v>
      </c>
      <c r="Y70" s="5">
        <f t="shared" ref="Y70:Y101" ca="1" si="221">Y69+Kappa*(Theta-Y69)*Deltat+Sigma*SQRT(Y69)*_xlfn.NORM.INV(RAND(),0,Deltat)</f>
        <v>6.9557231909756958E-3</v>
      </c>
      <c r="Z70" s="5">
        <f t="shared" ref="Z70:Z101" ca="1" si="222">Z69+Kappa*(Theta-Z69)*Deltat+Sigma*SQRT(Z69)*_xlfn.NORM.INV(RAND(),0,Deltat)</f>
        <v>6.8001939631288271E-3</v>
      </c>
      <c r="AA70" s="5">
        <f t="shared" ref="AA70:AA101" ca="1" si="223">AA69+Kappa*(Theta-AA69)*Deltat+Sigma*SQRT(AA69)*_xlfn.NORM.INV(RAND(),0,Deltat)</f>
        <v>6.5758011811008731E-3</v>
      </c>
      <c r="AB70" s="5">
        <f t="shared" ref="AB70:AB101" ca="1" si="224">AB69+Kappa*(Theta-AB69)*Deltat+Sigma*SQRT(AB69)*_xlfn.NORM.INV(RAND(),0,Deltat)</f>
        <v>7.1898181133427472E-3</v>
      </c>
      <c r="AC70" s="5">
        <f t="shared" ref="AC70:AC101" ca="1" si="225">AC69+Kappa*(Theta-AC69)*Deltat+Sigma*SQRT(AC69)*_xlfn.NORM.INV(RAND(),0,Deltat)</f>
        <v>6.9921513349640923E-3</v>
      </c>
      <c r="AD70" s="5">
        <f t="shared" ref="AD70:AD101" ca="1" si="226">AD69+Kappa*(Theta-AD69)*Deltat+Sigma*SQRT(AD69)*_xlfn.NORM.INV(RAND(),0,Deltat)</f>
        <v>6.6413816936357183E-3</v>
      </c>
      <c r="AE70" s="5">
        <f t="shared" ref="AE70:AE101" ca="1" si="227">AE69+Kappa*(Theta-AE69)*Deltat+Sigma*SQRT(AE69)*_xlfn.NORM.INV(RAND(),0,Deltat)</f>
        <v>6.9825647104475386E-3</v>
      </c>
      <c r="AF70" s="5">
        <f t="shared" ref="AF70:AF101" ca="1" si="228">AF69+Kappa*(Theta-AF69)*Deltat+Sigma*SQRT(AF69)*_xlfn.NORM.INV(RAND(),0,Deltat)</f>
        <v>6.7727442067778637E-3</v>
      </c>
      <c r="AG70" s="5">
        <f t="shared" ref="AG70:AG101" ca="1" si="229">AG69+Kappa*(Theta-AG69)*Deltat+Sigma*SQRT(AG69)*_xlfn.NORM.INV(RAND(),0,Deltat)</f>
        <v>6.9445374478167071E-3</v>
      </c>
      <c r="AH70" s="5">
        <f t="shared" ref="AH70:AH101" ca="1" si="230">AH69+Kappa*(Theta-AH69)*Deltat+Sigma*SQRT(AH69)*_xlfn.NORM.INV(RAND(),0,Deltat)</f>
        <v>6.2203170148125899E-3</v>
      </c>
      <c r="AI70" s="5">
        <f t="shared" ref="AI70:AI101" ca="1" si="231">AI69+Kappa*(Theta-AI69)*Deltat+Sigma*SQRT(AI69)*_xlfn.NORM.INV(RAND(),0,Deltat)</f>
        <v>6.818183429611155E-3</v>
      </c>
      <c r="AJ70" s="5">
        <f t="shared" ref="AJ70:AJ101" ca="1" si="232">AJ69+Kappa*(Theta-AJ69)*Deltat+Sigma*SQRT(AJ69)*_xlfn.NORM.INV(RAND(),0,Deltat)</f>
        <v>6.4622064952222433E-3</v>
      </c>
      <c r="AK70" s="5">
        <f t="shared" ref="AK70:AK101" ca="1" si="233">AK69+Kappa*(Theta-AK69)*Deltat+Sigma*SQRT(AK69)*_xlfn.NORM.INV(RAND(),0,Deltat)</f>
        <v>7.0654981118781776E-3</v>
      </c>
      <c r="AL70" s="5">
        <f t="shared" ref="AL70:AL101" ca="1" si="234">AL69+Kappa*(Theta-AL69)*Deltat+Sigma*SQRT(AL69)*_xlfn.NORM.INV(RAND(),0,Deltat)</f>
        <v>6.5543485372900811E-3</v>
      </c>
      <c r="AM70" s="5">
        <f t="shared" ref="AM70:AM101" ca="1" si="235">AM69+Kappa*(Theta-AM69)*Deltat+Sigma*SQRT(AM69)*_xlfn.NORM.INV(RAND(),0,Deltat)</f>
        <v>6.7789749084131877E-3</v>
      </c>
      <c r="AN70" s="5">
        <f t="shared" ref="AN70:AN101" ca="1" si="236">AN69+Kappa*(Theta-AN69)*Deltat+Sigma*SQRT(AN69)*_xlfn.NORM.INV(RAND(),0,Deltat)</f>
        <v>6.9199096312893074E-3</v>
      </c>
      <c r="AO70" s="5">
        <f t="shared" ref="AO70:AO101" ca="1" si="237">AO69+Kappa*(Theta-AO69)*Deltat+Sigma*SQRT(AO69)*_xlfn.NORM.INV(RAND(),0,Deltat)</f>
        <v>7.3978661244815183E-3</v>
      </c>
      <c r="AP70" s="5">
        <f t="shared" ref="AP70:AP101" ca="1" si="238">AP69+Kappa*(Theta-AP69)*Deltat+Sigma*SQRT(AP69)*_xlfn.NORM.INV(RAND(),0,Deltat)</f>
        <v>6.6817786744763135E-3</v>
      </c>
      <c r="AQ70" s="5">
        <f t="shared" ref="AQ70:AQ101" ca="1" si="239">AQ69+Kappa*(Theta-AQ69)*Deltat+Sigma*SQRT(AQ69)*_xlfn.NORM.INV(RAND(),0,Deltat)</f>
        <v>6.4204518364946598E-3</v>
      </c>
      <c r="AR70" s="5">
        <f t="shared" ref="AR70:AR101" ca="1" si="240">AR69+Kappa*(Theta-AR69)*Deltat+Sigma*SQRT(AR69)*_xlfn.NORM.INV(RAND(),0,Deltat)</f>
        <v>6.7911854455980497E-3</v>
      </c>
      <c r="AS70" s="5">
        <f t="shared" ref="AS70:AS101" ca="1" si="241">AS69+Kappa*(Theta-AS69)*Deltat+Sigma*SQRT(AS69)*_xlfn.NORM.INV(RAND(),0,Deltat)</f>
        <v>6.8873681790698254E-3</v>
      </c>
      <c r="AT70" s="5">
        <f t="shared" ref="AT70:AT101" ca="1" si="242">AT69+Kappa*(Theta-AT69)*Deltat+Sigma*SQRT(AT69)*_xlfn.NORM.INV(RAND(),0,Deltat)</f>
        <v>6.1144049174472184E-3</v>
      </c>
      <c r="AU70" s="5">
        <f t="shared" ref="AU70:AU101" ca="1" si="243">AU69+Kappa*(Theta-AU69)*Deltat+Sigma*SQRT(AU69)*_xlfn.NORM.INV(RAND(),0,Deltat)</f>
        <v>6.4039978985609676E-3</v>
      </c>
      <c r="AV70" s="5">
        <f t="shared" ref="AV70:AV101" ca="1" si="244">AV69+Kappa*(Theta-AV69)*Deltat+Sigma*SQRT(AV69)*_xlfn.NORM.INV(RAND(),0,Deltat)</f>
        <v>6.6772873071511227E-3</v>
      </c>
      <c r="AW70" s="5">
        <f t="shared" ref="AW70:AW101" ca="1" si="245">AW69+Kappa*(Theta-AW69)*Deltat+Sigma*SQRT(AW69)*_xlfn.NORM.INV(RAND(),0,Deltat)</f>
        <v>7.113770710703609E-3</v>
      </c>
      <c r="AX70" s="5">
        <f t="shared" ref="AX70:AX101" ca="1" si="246">AX69+Kappa*(Theta-AX69)*Deltat+Sigma*SQRT(AX69)*_xlfn.NORM.INV(RAND(),0,Deltat)</f>
        <v>6.2624700241889226E-3</v>
      </c>
      <c r="AY70" s="5">
        <f t="shared" ref="AY70:AY101" ca="1" si="247">AY69+Kappa*(Theta-AY69)*Deltat+Sigma*SQRT(AY69)*_xlfn.NORM.INV(RAND(),0,Deltat)</f>
        <v>6.7877513047541384E-3</v>
      </c>
      <c r="AZ70" s="5">
        <f t="shared" ref="AZ70:AZ101" ca="1" si="248">AZ69+Kappa*(Theta-AZ69)*Deltat+Sigma*SQRT(AZ69)*_xlfn.NORM.INV(RAND(),0,Deltat)</f>
        <v>7.2182814558318488E-3</v>
      </c>
      <c r="BA70" s="5">
        <f t="shared" ref="BA70:BA101" ca="1" si="249">BA69+Kappa*(Theta-BA69)*Deltat+Sigma*SQRT(BA69)*_xlfn.NORM.INV(RAND(),0,Deltat)</f>
        <v>6.8045693835665708E-3</v>
      </c>
      <c r="BB70" s="5">
        <f t="shared" ref="BB70:BB101" ca="1" si="250">BB69+Kappa*(Theta-BB69)*Deltat+Sigma*SQRT(BB69)*_xlfn.NORM.INV(RAND(),0,Deltat)</f>
        <v>6.5894220922978856E-3</v>
      </c>
      <c r="BC70" s="5">
        <f t="shared" ref="BC70:BC101" ca="1" si="251">BC69+Kappa*(Theta-BC69)*Deltat+Sigma*SQRT(BC69)*_xlfn.NORM.INV(RAND(),0,Deltat)</f>
        <v>6.4957023464747377E-3</v>
      </c>
      <c r="BD70" s="5">
        <f t="shared" ref="BD70:BD101" ca="1" si="252">BD69+Kappa*(Theta-BD69)*Deltat+Sigma*SQRT(BD69)*_xlfn.NORM.INV(RAND(),0,Deltat)</f>
        <v>6.7258430381091699E-3</v>
      </c>
      <c r="BE70" s="5">
        <f t="shared" ref="BE70:BE101" ca="1" si="253">BE69+Kappa*(Theta-BE69)*Deltat+Sigma*SQRT(BE69)*_xlfn.NORM.INV(RAND(),0,Deltat)</f>
        <v>7.3703915398460364E-3</v>
      </c>
      <c r="BF70" s="5">
        <f t="shared" ref="BF70:BF101" ca="1" si="254">BF69+Kappa*(Theta-BF69)*Deltat+Sigma*SQRT(BF69)*_xlfn.NORM.INV(RAND(),0,Deltat)</f>
        <v>6.9635057195511626E-3</v>
      </c>
      <c r="BG70" s="5">
        <f t="shared" ref="BG70:BG101" ca="1" si="255">BG69+Kappa*(Theta-BG69)*Deltat+Sigma*SQRT(BG69)*_xlfn.NORM.INV(RAND(),0,Deltat)</f>
        <v>6.5506304406614127E-3</v>
      </c>
      <c r="BH70" s="5">
        <f t="shared" ref="BH70:BH101" ca="1" si="256">BH69+Kappa*(Theta-BH69)*Deltat+Sigma*SQRT(BH69)*_xlfn.NORM.INV(RAND(),0,Deltat)</f>
        <v>6.3251702903807548E-3</v>
      </c>
      <c r="BI70" s="5">
        <f t="shared" ref="BI70:BI101" ca="1" si="257">BI69+Kappa*(Theta-BI69)*Deltat+Sigma*SQRT(BI69)*_xlfn.NORM.INV(RAND(),0,Deltat)</f>
        <v>7.21248394883694E-3</v>
      </c>
      <c r="BJ70" s="5">
        <f t="shared" ref="BJ70:BJ101" ca="1" si="258">BJ69+Kappa*(Theta-BJ69)*Deltat+Sigma*SQRT(BJ69)*_xlfn.NORM.INV(RAND(),0,Deltat)</f>
        <v>7.0238570034975517E-3</v>
      </c>
      <c r="BK70" s="5">
        <f t="shared" ref="BK70:BK101" ca="1" si="259">BK69+Kappa*(Theta-BK69)*Deltat+Sigma*SQRT(BK69)*_xlfn.NORM.INV(RAND(),0,Deltat)</f>
        <v>7.037089651531994E-3</v>
      </c>
      <c r="BL70" s="5">
        <f t="shared" ref="BL70:BL101" ca="1" si="260">BL69+Kappa*(Theta-BL69)*Deltat+Sigma*SQRT(BL69)*_xlfn.NORM.INV(RAND(),0,Deltat)</f>
        <v>7.1011194234718977E-3</v>
      </c>
      <c r="BM70" s="5">
        <f t="shared" ref="BM70:BM101" ca="1" si="261">BM69+Kappa*(Theta-BM69)*Deltat+Sigma*SQRT(BM69)*_xlfn.NORM.INV(RAND(),0,Deltat)</f>
        <v>6.2338787802039683E-3</v>
      </c>
      <c r="BN70" s="5">
        <f t="shared" ref="BN70:BN101" ca="1" si="262">BN69+Kappa*(Theta-BN69)*Deltat+Sigma*SQRT(BN69)*_xlfn.NORM.INV(RAND(),0,Deltat)</f>
        <v>6.3998938753645519E-3</v>
      </c>
      <c r="BO70" s="5">
        <f t="shared" ref="BO70:BO101" ca="1" si="263">BO69+Kappa*(Theta-BO69)*Deltat+Sigma*SQRT(BO69)*_xlfn.NORM.INV(RAND(),0,Deltat)</f>
        <v>6.9601577829982598E-3</v>
      </c>
      <c r="BP70" s="5">
        <f t="shared" ref="BP70:BP101" ca="1" si="264">BP69+Kappa*(Theta-BP69)*Deltat+Sigma*SQRT(BP69)*_xlfn.NORM.INV(RAND(),0,Deltat)</f>
        <v>6.8447531091041219E-3</v>
      </c>
      <c r="BQ70" s="5">
        <f t="shared" ref="BQ70:BQ101" ca="1" si="265">BQ69+Kappa*(Theta-BQ69)*Deltat+Sigma*SQRT(BQ69)*_xlfn.NORM.INV(RAND(),0,Deltat)</f>
        <v>6.2784321148638489E-3</v>
      </c>
      <c r="BR70" s="5">
        <f t="shared" ref="BR70:BR101" ca="1" si="266">BR69+Kappa*(Theta-BR69)*Deltat+Sigma*SQRT(BR69)*_xlfn.NORM.INV(RAND(),0,Deltat)</f>
        <v>6.3080417830960129E-3</v>
      </c>
      <c r="BS70" s="5">
        <f t="shared" ref="BS70:BS101" ca="1" si="267">BS69+Kappa*(Theta-BS69)*Deltat+Sigma*SQRT(BS69)*_xlfn.NORM.INV(RAND(),0,Deltat)</f>
        <v>6.753285701060526E-3</v>
      </c>
      <c r="BT70" s="5">
        <f t="shared" ref="BT70:BT101" ca="1" si="268">BT69+Kappa*(Theta-BT69)*Deltat+Sigma*SQRT(BT69)*_xlfn.NORM.INV(RAND(),0,Deltat)</f>
        <v>6.5070966552587409E-3</v>
      </c>
      <c r="BU70" s="5">
        <f t="shared" ref="BU70:BU101" ca="1" si="269">BU69+Kappa*(Theta-BU69)*Deltat+Sigma*SQRT(BU69)*_xlfn.NORM.INV(RAND(),0,Deltat)</f>
        <v>6.7757552224053923E-3</v>
      </c>
      <c r="BV70" s="5">
        <f t="shared" ref="BV70:BV101" ca="1" si="270">BV69+Kappa*(Theta-BV69)*Deltat+Sigma*SQRT(BV69)*_xlfn.NORM.INV(RAND(),0,Deltat)</f>
        <v>6.6540160161914184E-3</v>
      </c>
      <c r="BW70" s="5">
        <f t="shared" ref="BW70:BW101" ca="1" si="271">BW69+Kappa*(Theta-BW69)*Deltat+Sigma*SQRT(BW69)*_xlfn.NORM.INV(RAND(),0,Deltat)</f>
        <v>6.8906176982393664E-3</v>
      </c>
      <c r="BX70" s="5">
        <f t="shared" ref="BX70:BX101" ca="1" si="272">BX69+Kappa*(Theta-BX69)*Deltat+Sigma*SQRT(BX69)*_xlfn.NORM.INV(RAND(),0,Deltat)</f>
        <v>6.9468598529575506E-3</v>
      </c>
      <c r="BY70" s="5">
        <f t="shared" ref="BY70:BY101" ca="1" si="273">BY69+Kappa*(Theta-BY69)*Deltat+Sigma*SQRT(BY69)*_xlfn.NORM.INV(RAND(),0,Deltat)</f>
        <v>6.1890323045034187E-3</v>
      </c>
      <c r="BZ70" s="5">
        <f t="shared" ref="BZ70:BZ101" ca="1" si="274">BZ69+Kappa*(Theta-BZ69)*Deltat+Sigma*SQRT(BZ69)*_xlfn.NORM.INV(RAND(),0,Deltat)</f>
        <v>7.1856486683263034E-3</v>
      </c>
      <c r="CA70" s="5">
        <f t="shared" ref="CA70:CA101" ca="1" si="275">CA69+Kappa*(Theta-CA69)*Deltat+Sigma*SQRT(CA69)*_xlfn.NORM.INV(RAND(),0,Deltat)</f>
        <v>6.1735439955390862E-3</v>
      </c>
      <c r="CB70" s="5">
        <f t="shared" ref="CB70:CB101" ca="1" si="276">CB69+Kappa*(Theta-CB69)*Deltat+Sigma*SQRT(CB69)*_xlfn.NORM.INV(RAND(),0,Deltat)</f>
        <v>6.7954322283142691E-3</v>
      </c>
      <c r="CC70" s="5">
        <f t="shared" ref="CC70:CC101" ca="1" si="277">CC69+Kappa*(Theta-CC69)*Deltat+Sigma*SQRT(CC69)*_xlfn.NORM.INV(RAND(),0,Deltat)</f>
        <v>6.5293956529068348E-3</v>
      </c>
      <c r="CD70" s="5">
        <f t="shared" ref="CD70:CD101" ca="1" si="278">CD69+Kappa*(Theta-CD69)*Deltat+Sigma*SQRT(CD69)*_xlfn.NORM.INV(RAND(),0,Deltat)</f>
        <v>6.894386583497095E-3</v>
      </c>
      <c r="CE70" s="5">
        <f t="shared" ref="CE70:CE101" ca="1" si="279">CE69+Kappa*(Theta-CE69)*Deltat+Sigma*SQRT(CE69)*_xlfn.NORM.INV(RAND(),0,Deltat)</f>
        <v>6.4059482267125826E-3</v>
      </c>
      <c r="CF70" s="5">
        <f t="shared" ref="CF70:CF101" ca="1" si="280">CF69+Kappa*(Theta-CF69)*Deltat+Sigma*SQRT(CF69)*_xlfn.NORM.INV(RAND(),0,Deltat)</f>
        <v>6.9086475451145902E-3</v>
      </c>
      <c r="CG70" s="5">
        <f t="shared" ref="CG70:CG101" ca="1" si="281">CG69+Kappa*(Theta-CG69)*Deltat+Sigma*SQRT(CG69)*_xlfn.NORM.INV(RAND(),0,Deltat)</f>
        <v>6.8022668851890709E-3</v>
      </c>
      <c r="CH70" s="5">
        <f t="shared" ref="CH70:CH101" ca="1" si="282">CH69+Kappa*(Theta-CH69)*Deltat+Sigma*SQRT(CH69)*_xlfn.NORM.INV(RAND(),0,Deltat)</f>
        <v>5.8397232815196537E-3</v>
      </c>
      <c r="CI70" s="5">
        <f t="shared" ref="CI70:CI101" ca="1" si="283">CI69+Kappa*(Theta-CI69)*Deltat+Sigma*SQRT(CI69)*_xlfn.NORM.INV(RAND(),0,Deltat)</f>
        <v>6.9959983291853611E-3</v>
      </c>
      <c r="CJ70" s="5">
        <f t="shared" ref="CJ70:CJ101" ca="1" si="284">CJ69+Kappa*(Theta-CJ69)*Deltat+Sigma*SQRT(CJ69)*_xlfn.NORM.INV(RAND(),0,Deltat)</f>
        <v>7.0328454167967553E-3</v>
      </c>
      <c r="CK70" s="5">
        <f t="shared" ref="CK70:CK101" ca="1" si="285">CK69+Kappa*(Theta-CK69)*Deltat+Sigma*SQRT(CK69)*_xlfn.NORM.INV(RAND(),0,Deltat)</f>
        <v>7.1039584960144288E-3</v>
      </c>
      <c r="CL70" s="5">
        <f t="shared" ref="CL70:CL101" ca="1" si="286">CL69+Kappa*(Theta-CL69)*Deltat+Sigma*SQRT(CL69)*_xlfn.NORM.INV(RAND(),0,Deltat)</f>
        <v>6.91251367770043E-3</v>
      </c>
      <c r="CM70" s="5">
        <f t="shared" ref="CM70:CM101" ca="1" si="287">CM69+Kappa*(Theta-CM69)*Deltat+Sigma*SQRT(CM69)*_xlfn.NORM.INV(RAND(),0,Deltat)</f>
        <v>6.8141665821591741E-3</v>
      </c>
      <c r="CN70" s="5">
        <f t="shared" ref="CN70:CN101" ca="1" si="288">CN69+Kappa*(Theta-CN69)*Deltat+Sigma*SQRT(CN69)*_xlfn.NORM.INV(RAND(),0,Deltat)</f>
        <v>6.6626184719468526E-3</v>
      </c>
      <c r="CO70" s="5">
        <f t="shared" ref="CO70:CO101" ca="1" si="289">CO69+Kappa*(Theta-CO69)*Deltat+Sigma*SQRT(CO69)*_xlfn.NORM.INV(RAND(),0,Deltat)</f>
        <v>6.8270614976556733E-3</v>
      </c>
      <c r="CP70" s="5">
        <f t="shared" ref="CP70:CP101" ca="1" si="290">CP69+Kappa*(Theta-CP69)*Deltat+Sigma*SQRT(CP69)*_xlfn.NORM.INV(RAND(),0,Deltat)</f>
        <v>7.119019261121704E-3</v>
      </c>
      <c r="CQ70" s="5">
        <f t="shared" ref="CQ70:CQ101" ca="1" si="291">CQ69+Kappa*(Theta-CQ69)*Deltat+Sigma*SQRT(CQ69)*_xlfn.NORM.INV(RAND(),0,Deltat)</f>
        <v>6.9975458338689973E-3</v>
      </c>
      <c r="CR70" s="5">
        <f t="shared" ref="CR70:CR101" ca="1" si="292">CR69+Kappa*(Theta-CR69)*Deltat+Sigma*SQRT(CR69)*_xlfn.NORM.INV(RAND(),0,Deltat)</f>
        <v>6.7383357637916886E-3</v>
      </c>
      <c r="CS70" s="5">
        <f t="shared" ref="CS70:CS101" ca="1" si="293">CS69+Kappa*(Theta-CS69)*Deltat+Sigma*SQRT(CS69)*_xlfn.NORM.INV(RAND(),0,Deltat)</f>
        <v>6.7844668015027768E-3</v>
      </c>
      <c r="CT70" s="5">
        <f t="shared" ref="CT70:CT101" ca="1" si="294">CT69+Kappa*(Theta-CT69)*Deltat+Sigma*SQRT(CT69)*_xlfn.NORM.INV(RAND(),0,Deltat)</f>
        <v>7.2304520052589132E-3</v>
      </c>
      <c r="CU70" s="5">
        <f t="shared" ref="CU70:CU101" ca="1" si="295">CU69+Kappa*(Theta-CU69)*Deltat+Sigma*SQRT(CU69)*_xlfn.NORM.INV(RAND(),0,Deltat)</f>
        <v>6.2751091545493274E-3</v>
      </c>
      <c r="CV70" s="5">
        <f t="shared" ref="CV70:CV101" ca="1" si="296">CV69+Kappa*(Theta-CV69)*Deltat+Sigma*SQRT(CV69)*_xlfn.NORM.INV(RAND(),0,Deltat)</f>
        <v>6.5914120961202121E-3</v>
      </c>
      <c r="CW70" s="5">
        <f t="shared" ref="CW70:CW101" ca="1" si="297">CW69+Kappa*(Theta-CW69)*Deltat+Sigma*SQRT(CW69)*_xlfn.NORM.INV(RAND(),0,Deltat)</f>
        <v>6.4865293563944378E-3</v>
      </c>
      <c r="CX70" s="5">
        <f t="shared" ref="CX70:CX101" ca="1" si="298">CX69+Kappa*(Theta-CX69)*Deltat+Sigma*SQRT(CX69)*_xlfn.NORM.INV(RAND(),0,Deltat)</f>
        <v>6.1770159269088892E-3</v>
      </c>
      <c r="CY70" s="5">
        <f t="shared" ref="CY70:CY101" ca="1" si="299">CY69+Kappa*(Theta-CY69)*Deltat+Sigma*SQRT(CY69)*_xlfn.NORM.INV(RAND(),0,Deltat)</f>
        <v>6.8282786256330229E-3</v>
      </c>
      <c r="CZ70" s="5">
        <f t="shared" ref="CZ70:CZ101" ca="1" si="300">CZ69+Kappa*(Theta-CZ69)*Deltat+Sigma*SQRT(CZ69)*_xlfn.NORM.INV(RAND(),0,Deltat)</f>
        <v>5.9696349495899385E-3</v>
      </c>
      <c r="DA70" s="5">
        <f t="shared" ref="DA70:DA101" ca="1" si="301">DA69+Kappa*(Theta-DA69)*Deltat+Sigma*SQRT(DA69)*_xlfn.NORM.INV(RAND(),0,Deltat)</f>
        <v>6.9412716443888233E-3</v>
      </c>
      <c r="DB70" s="5">
        <f t="shared" ref="DB70:DB101" ca="1" si="302">DB69+Kappa*(Theta-DB69)*Deltat+Sigma*SQRT(DB69)*_xlfn.NORM.INV(RAND(),0,Deltat)</f>
        <v>6.809193559398798E-3</v>
      </c>
      <c r="DC70" s="5">
        <f t="shared" ref="DC70:DC101" ca="1" si="303">DC69+Kappa*(Theta-DC69)*Deltat+Sigma*SQRT(DC69)*_xlfn.NORM.INV(RAND(),0,Deltat)</f>
        <v>7.1408207831481375E-3</v>
      </c>
      <c r="DD70" s="5">
        <f t="shared" ref="DD70:DD101" ca="1" si="304">DD69+Kappa*(Theta-DD69)*Deltat+Sigma*SQRT(DD69)*_xlfn.NORM.INV(RAND(),0,Deltat)</f>
        <v>6.7529812525185121E-3</v>
      </c>
      <c r="DE70" s="5">
        <f t="shared" ref="DE70:DE101" ca="1" si="305">DE69+Kappa*(Theta-DE69)*Deltat+Sigma*SQRT(DE69)*_xlfn.NORM.INV(RAND(),0,Deltat)</f>
        <v>6.94869256650786E-3</v>
      </c>
      <c r="DF70" s="5">
        <f t="shared" ref="DF70:DF101" ca="1" si="306">DF69+Kappa*(Theta-DF69)*Deltat+Sigma*SQRT(DF69)*_xlfn.NORM.INV(RAND(),0,Deltat)</f>
        <v>6.664521227930746E-3</v>
      </c>
      <c r="DG70" s="5">
        <f t="shared" ref="DG70:DG101" ca="1" si="307">DG69+Kappa*(Theta-DG69)*Deltat+Sigma*SQRT(DG69)*_xlfn.NORM.INV(RAND(),0,Deltat)</f>
        <v>6.5869441336378152E-3</v>
      </c>
      <c r="DH70" s="5">
        <f t="shared" ref="DH70:DH101" ca="1" si="308">DH69+Kappa*(Theta-DH69)*Deltat+Sigma*SQRT(DH69)*_xlfn.NORM.INV(RAND(),0,Deltat)</f>
        <v>6.7539672766973157E-3</v>
      </c>
      <c r="DI70" s="5">
        <f t="shared" ref="DI70:DI101" ca="1" si="309">DI69+Kappa*(Theta-DI69)*Deltat+Sigma*SQRT(DI69)*_xlfn.NORM.INV(RAND(),0,Deltat)</f>
        <v>6.8921531761600369E-3</v>
      </c>
      <c r="DJ70" s="5">
        <f t="shared" ref="DJ70:DJ101" ca="1" si="310">DJ69+Kappa*(Theta-DJ69)*Deltat+Sigma*SQRT(DJ69)*_xlfn.NORM.INV(RAND(),0,Deltat)</f>
        <v>6.8901443912480322E-3</v>
      </c>
    </row>
    <row r="71" spans="5:114" outlineLevel="1" x14ac:dyDescent="0.2">
      <c r="E71" s="32">
        <v>46631</v>
      </c>
      <c r="F71" s="9">
        <v>2986.7248319999999</v>
      </c>
      <c r="G71" s="5">
        <f t="shared" ca="1" si="208"/>
        <v>5.8597969189591505E-3</v>
      </c>
      <c r="H71" s="5">
        <f t="shared" ca="1" si="209"/>
        <v>6.1698364592143529E-3</v>
      </c>
      <c r="I71" s="9">
        <f t="shared" ca="1" si="210"/>
        <v>165601.62755849859</v>
      </c>
      <c r="K71" s="6">
        <v>67</v>
      </c>
      <c r="L71" s="5">
        <v>362113.29103885446</v>
      </c>
      <c r="N71" s="32">
        <v>46600</v>
      </c>
      <c r="O71" s="5">
        <f t="shared" ca="1" si="211"/>
        <v>6.6889327891241903E-3</v>
      </c>
      <c r="P71" s="5">
        <f t="shared" ca="1" si="212"/>
        <v>6.4291358658559051E-3</v>
      </c>
      <c r="Q71" s="5">
        <f t="shared" ca="1" si="213"/>
        <v>6.5457526135566015E-3</v>
      </c>
      <c r="R71" s="5">
        <f t="shared" ca="1" si="214"/>
        <v>6.5624981620753158E-3</v>
      </c>
      <c r="S71" s="5">
        <f t="shared" ca="1" si="215"/>
        <v>5.7878164846578827E-3</v>
      </c>
      <c r="T71" s="5">
        <f t="shared" ca="1" si="216"/>
        <v>5.9006832170779558E-3</v>
      </c>
      <c r="U71" s="5">
        <f t="shared" ca="1" si="217"/>
        <v>6.4592283293132711E-3</v>
      </c>
      <c r="V71" s="5">
        <f t="shared" ca="1" si="218"/>
        <v>6.6149111305295275E-3</v>
      </c>
      <c r="W71" s="5">
        <f t="shared" ca="1" si="219"/>
        <v>6.9540986515157178E-3</v>
      </c>
      <c r="X71" s="5">
        <f t="shared" ca="1" si="220"/>
        <v>6.7603297307514644E-3</v>
      </c>
      <c r="Y71" s="5">
        <f t="shared" ca="1" si="221"/>
        <v>6.9297124031498904E-3</v>
      </c>
      <c r="Z71" s="5">
        <f t="shared" ca="1" si="222"/>
        <v>6.8598852635450213E-3</v>
      </c>
      <c r="AA71" s="5">
        <f t="shared" ca="1" si="223"/>
        <v>6.5687799599599616E-3</v>
      </c>
      <c r="AB71" s="5">
        <f t="shared" ca="1" si="224"/>
        <v>7.1486569918096116E-3</v>
      </c>
      <c r="AC71" s="5">
        <f t="shared" ca="1" si="225"/>
        <v>7.0007517057218277E-3</v>
      </c>
      <c r="AD71" s="5">
        <f t="shared" ca="1" si="226"/>
        <v>6.7170981509675131E-3</v>
      </c>
      <c r="AE71" s="5">
        <f t="shared" ca="1" si="227"/>
        <v>6.9504458033004804E-3</v>
      </c>
      <c r="AF71" s="5">
        <f t="shared" ca="1" si="228"/>
        <v>6.7610841543965369E-3</v>
      </c>
      <c r="AG71" s="5">
        <f t="shared" ca="1" si="229"/>
        <v>6.9118123235226538E-3</v>
      </c>
      <c r="AH71" s="5">
        <f t="shared" ca="1" si="230"/>
        <v>6.3411161695566447E-3</v>
      </c>
      <c r="AI71" s="5">
        <f t="shared" ca="1" si="231"/>
        <v>6.9071460369737299E-3</v>
      </c>
      <c r="AJ71" s="5">
        <f t="shared" ca="1" si="232"/>
        <v>6.5225578691636144E-3</v>
      </c>
      <c r="AK71" s="5">
        <f t="shared" ca="1" si="233"/>
        <v>6.9510128040880005E-3</v>
      </c>
      <c r="AL71" s="5">
        <f t="shared" ca="1" si="234"/>
        <v>6.6132705423142769E-3</v>
      </c>
      <c r="AM71" s="5">
        <f t="shared" ca="1" si="235"/>
        <v>6.7425619947364124E-3</v>
      </c>
      <c r="AN71" s="5">
        <f t="shared" ca="1" si="236"/>
        <v>6.9733160991110868E-3</v>
      </c>
      <c r="AO71" s="5">
        <f t="shared" ca="1" si="237"/>
        <v>7.3937551376931478E-3</v>
      </c>
      <c r="AP71" s="5">
        <f t="shared" ca="1" si="238"/>
        <v>6.6498844483869812E-3</v>
      </c>
      <c r="AQ71" s="5">
        <f t="shared" ca="1" si="239"/>
        <v>6.3911407532772305E-3</v>
      </c>
      <c r="AR71" s="5">
        <f t="shared" ca="1" si="240"/>
        <v>6.804498716098225E-3</v>
      </c>
      <c r="AS71" s="5">
        <f t="shared" ca="1" si="241"/>
        <v>6.8891479360834954E-3</v>
      </c>
      <c r="AT71" s="5">
        <f t="shared" ca="1" si="242"/>
        <v>6.1207872776260219E-3</v>
      </c>
      <c r="AU71" s="5">
        <f t="shared" ca="1" si="243"/>
        <v>6.4115251227741888E-3</v>
      </c>
      <c r="AV71" s="5">
        <f t="shared" ca="1" si="244"/>
        <v>6.6347780411397149E-3</v>
      </c>
      <c r="AW71" s="5">
        <f t="shared" ca="1" si="245"/>
        <v>7.2475639646164252E-3</v>
      </c>
      <c r="AX71" s="5">
        <f t="shared" ca="1" si="246"/>
        <v>6.305296699913145E-3</v>
      </c>
      <c r="AY71" s="5">
        <f t="shared" ca="1" si="247"/>
        <v>6.743952609616341E-3</v>
      </c>
      <c r="AZ71" s="5">
        <f t="shared" ca="1" si="248"/>
        <v>7.2207841648465653E-3</v>
      </c>
      <c r="BA71" s="5">
        <f t="shared" ca="1" si="249"/>
        <v>6.7611480306433826E-3</v>
      </c>
      <c r="BB71" s="5">
        <f t="shared" ca="1" si="250"/>
        <v>6.5698052779346533E-3</v>
      </c>
      <c r="BC71" s="5">
        <f t="shared" ca="1" si="251"/>
        <v>6.4561193575580532E-3</v>
      </c>
      <c r="BD71" s="5">
        <f t="shared" ca="1" si="252"/>
        <v>6.6870137217575811E-3</v>
      </c>
      <c r="BE71" s="5">
        <f t="shared" ca="1" si="253"/>
        <v>7.3075879050389257E-3</v>
      </c>
      <c r="BF71" s="5">
        <f t="shared" ca="1" si="254"/>
        <v>6.9384996736730114E-3</v>
      </c>
      <c r="BG71" s="5">
        <f t="shared" ca="1" si="255"/>
        <v>6.5631769825118891E-3</v>
      </c>
      <c r="BH71" s="5">
        <f t="shared" ca="1" si="256"/>
        <v>6.3024151005942487E-3</v>
      </c>
      <c r="BI71" s="5">
        <f t="shared" ca="1" si="257"/>
        <v>7.2379495016693524E-3</v>
      </c>
      <c r="BJ71" s="5">
        <f t="shared" ca="1" si="258"/>
        <v>7.0976371862838394E-3</v>
      </c>
      <c r="BK71" s="5">
        <f t="shared" ca="1" si="259"/>
        <v>6.985554234344154E-3</v>
      </c>
      <c r="BL71" s="5">
        <f t="shared" ca="1" si="260"/>
        <v>7.0596860554183374E-3</v>
      </c>
      <c r="BM71" s="5">
        <f t="shared" ca="1" si="261"/>
        <v>6.2930848292390776E-3</v>
      </c>
      <c r="BN71" s="5">
        <f t="shared" ca="1" si="262"/>
        <v>6.4520113348347724E-3</v>
      </c>
      <c r="BO71" s="5">
        <f t="shared" ca="1" si="263"/>
        <v>6.9187687532416978E-3</v>
      </c>
      <c r="BP71" s="5">
        <f t="shared" ca="1" si="264"/>
        <v>6.8493205524693844E-3</v>
      </c>
      <c r="BQ71" s="5">
        <f t="shared" ca="1" si="265"/>
        <v>6.2855933873139048E-3</v>
      </c>
      <c r="BR71" s="5">
        <f t="shared" ca="1" si="266"/>
        <v>6.2930543522865716E-3</v>
      </c>
      <c r="BS71" s="5">
        <f t="shared" ca="1" si="267"/>
        <v>6.6591946332005521E-3</v>
      </c>
      <c r="BT71" s="5">
        <f t="shared" ca="1" si="268"/>
        <v>6.447765977712099E-3</v>
      </c>
      <c r="BU71" s="5">
        <f t="shared" ca="1" si="269"/>
        <v>6.8049987180820474E-3</v>
      </c>
      <c r="BV71" s="5">
        <f t="shared" ca="1" si="270"/>
        <v>6.6641165437576252E-3</v>
      </c>
      <c r="BW71" s="5">
        <f t="shared" ca="1" si="271"/>
        <v>6.8161706577375128E-3</v>
      </c>
      <c r="BX71" s="5">
        <f t="shared" ca="1" si="272"/>
        <v>6.8613171164527134E-3</v>
      </c>
      <c r="BY71" s="5">
        <f t="shared" ca="1" si="273"/>
        <v>6.174949062511711E-3</v>
      </c>
      <c r="BZ71" s="5">
        <f t="shared" ca="1" si="274"/>
        <v>7.1058001271294734E-3</v>
      </c>
      <c r="CA71" s="5">
        <f t="shared" ca="1" si="275"/>
        <v>6.1558632747604402E-3</v>
      </c>
      <c r="CB71" s="5">
        <f t="shared" ca="1" si="276"/>
        <v>6.7782921423611203E-3</v>
      </c>
      <c r="CC71" s="5">
        <f t="shared" ca="1" si="277"/>
        <v>6.5596245470590682E-3</v>
      </c>
      <c r="CD71" s="5">
        <f t="shared" ca="1" si="278"/>
        <v>6.9442241326833788E-3</v>
      </c>
      <c r="CE71" s="5">
        <f t="shared" ca="1" si="279"/>
        <v>6.4343985306390345E-3</v>
      </c>
      <c r="CF71" s="5">
        <f t="shared" ca="1" si="280"/>
        <v>6.9976309504504513E-3</v>
      </c>
      <c r="CG71" s="5">
        <f t="shared" ca="1" si="281"/>
        <v>6.7722286452350806E-3</v>
      </c>
      <c r="CH71" s="5">
        <f t="shared" ca="1" si="282"/>
        <v>5.8229909605901353E-3</v>
      </c>
      <c r="CI71" s="5">
        <f t="shared" ca="1" si="283"/>
        <v>6.9773593932291817E-3</v>
      </c>
      <c r="CJ71" s="5">
        <f t="shared" ca="1" si="284"/>
        <v>7.0644890687572405E-3</v>
      </c>
      <c r="CK71" s="5">
        <f t="shared" ca="1" si="285"/>
        <v>7.0726855762538844E-3</v>
      </c>
      <c r="CL71" s="5">
        <f t="shared" ca="1" si="286"/>
        <v>6.9298229479018156E-3</v>
      </c>
      <c r="CM71" s="5">
        <f t="shared" ca="1" si="287"/>
        <v>6.8205253504591478E-3</v>
      </c>
      <c r="CN71" s="5">
        <f t="shared" ca="1" si="288"/>
        <v>6.6676916025942201E-3</v>
      </c>
      <c r="CO71" s="5">
        <f t="shared" ca="1" si="289"/>
        <v>6.8728423928947581E-3</v>
      </c>
      <c r="CP71" s="5">
        <f t="shared" ca="1" si="290"/>
        <v>7.1466406080497088E-3</v>
      </c>
      <c r="CQ71" s="5">
        <f t="shared" ca="1" si="291"/>
        <v>6.9924175550355062E-3</v>
      </c>
      <c r="CR71" s="5">
        <f t="shared" ca="1" si="292"/>
        <v>6.8124822892216925E-3</v>
      </c>
      <c r="CS71" s="5">
        <f t="shared" ca="1" si="293"/>
        <v>6.7368126298060398E-3</v>
      </c>
      <c r="CT71" s="5">
        <f t="shared" ca="1" si="294"/>
        <v>7.2245098558543757E-3</v>
      </c>
      <c r="CU71" s="5">
        <f t="shared" ca="1" si="295"/>
        <v>6.3302325208025589E-3</v>
      </c>
      <c r="CV71" s="5">
        <f t="shared" ca="1" si="296"/>
        <v>6.595528391808032E-3</v>
      </c>
      <c r="CW71" s="5">
        <f t="shared" ca="1" si="297"/>
        <v>6.5052674308843364E-3</v>
      </c>
      <c r="CX71" s="5">
        <f t="shared" ca="1" si="298"/>
        <v>6.2152027053740443E-3</v>
      </c>
      <c r="CY71" s="5">
        <f t="shared" ca="1" si="299"/>
        <v>6.7508905088197128E-3</v>
      </c>
      <c r="CZ71" s="5">
        <f t="shared" ca="1" si="300"/>
        <v>5.8932586095483321E-3</v>
      </c>
      <c r="DA71" s="5">
        <f t="shared" ca="1" si="301"/>
        <v>6.938585307040006E-3</v>
      </c>
      <c r="DB71" s="5">
        <f t="shared" ca="1" si="302"/>
        <v>6.7815793068602328E-3</v>
      </c>
      <c r="DC71" s="5">
        <f t="shared" ca="1" si="303"/>
        <v>7.0990035849610765E-3</v>
      </c>
      <c r="DD71" s="5">
        <f t="shared" ca="1" si="304"/>
        <v>6.7105170938447332E-3</v>
      </c>
      <c r="DE71" s="5">
        <f t="shared" ca="1" si="305"/>
        <v>6.8980368677423534E-3</v>
      </c>
      <c r="DF71" s="5">
        <f t="shared" ca="1" si="306"/>
        <v>6.6356657146464312E-3</v>
      </c>
      <c r="DG71" s="5">
        <f t="shared" ca="1" si="307"/>
        <v>6.5727926317329039E-3</v>
      </c>
      <c r="DH71" s="5">
        <f t="shared" ca="1" si="308"/>
        <v>6.760727451185904E-3</v>
      </c>
      <c r="DI71" s="5">
        <f t="shared" ca="1" si="309"/>
        <v>6.9035454285701729E-3</v>
      </c>
      <c r="DJ71" s="5">
        <f t="shared" ca="1" si="310"/>
        <v>6.8667610114660502E-3</v>
      </c>
    </row>
    <row r="72" spans="5:114" outlineLevel="1" x14ac:dyDescent="0.2">
      <c r="E72" s="32">
        <v>46661</v>
      </c>
      <c r="F72" s="9">
        <v>2986.7248319999999</v>
      </c>
      <c r="G72" s="5">
        <f t="shared" ca="1" si="208"/>
        <v>-7.369621396242039E-2</v>
      </c>
      <c r="H72" s="5">
        <f t="shared" ca="1" si="209"/>
        <v>6.1792090502178036E-3</v>
      </c>
      <c r="I72" s="9">
        <f t="shared" ca="1" si="210"/>
        <v>168673.64827247077</v>
      </c>
      <c r="K72" s="6">
        <v>68</v>
      </c>
      <c r="L72" s="5">
        <v>362203.0236809348</v>
      </c>
      <c r="N72" s="32">
        <v>46631</v>
      </c>
      <c r="O72" s="5">
        <f t="shared" ca="1" si="211"/>
        <v>6.7074439712927212E-3</v>
      </c>
      <c r="P72" s="5">
        <f t="shared" ca="1" si="212"/>
        <v>6.4360688542930257E-3</v>
      </c>
      <c r="Q72" s="5">
        <f t="shared" ca="1" si="213"/>
        <v>6.5811864787215331E-3</v>
      </c>
      <c r="R72" s="5">
        <f t="shared" ca="1" si="214"/>
        <v>6.5283993190231445E-3</v>
      </c>
      <c r="S72" s="5">
        <f t="shared" ca="1" si="215"/>
        <v>5.7812504309086715E-3</v>
      </c>
      <c r="T72" s="5">
        <f t="shared" ca="1" si="216"/>
        <v>5.9587845955918891E-3</v>
      </c>
      <c r="U72" s="5">
        <f t="shared" ca="1" si="217"/>
        <v>6.4286995168251785E-3</v>
      </c>
      <c r="V72" s="5">
        <f t="shared" ca="1" si="218"/>
        <v>6.5403562644930626E-3</v>
      </c>
      <c r="W72" s="5">
        <f t="shared" ca="1" si="219"/>
        <v>6.9306855590766025E-3</v>
      </c>
      <c r="X72" s="5">
        <f t="shared" ca="1" si="220"/>
        <v>6.7166017078918103E-3</v>
      </c>
      <c r="Y72" s="5">
        <f t="shared" ca="1" si="221"/>
        <v>6.9472881035280917E-3</v>
      </c>
      <c r="Z72" s="5">
        <f t="shared" ca="1" si="222"/>
        <v>6.9533703514987905E-3</v>
      </c>
      <c r="AA72" s="5">
        <f t="shared" ca="1" si="223"/>
        <v>6.625383347464992E-3</v>
      </c>
      <c r="AB72" s="5">
        <f t="shared" ca="1" si="224"/>
        <v>7.1545084821835079E-3</v>
      </c>
      <c r="AC72" s="5">
        <f t="shared" ca="1" si="225"/>
        <v>6.9956269346764539E-3</v>
      </c>
      <c r="AD72" s="5">
        <f t="shared" ca="1" si="226"/>
        <v>6.762132110464605E-3</v>
      </c>
      <c r="AE72" s="5">
        <f t="shared" ca="1" si="227"/>
        <v>6.9845575811664767E-3</v>
      </c>
      <c r="AF72" s="5">
        <f t="shared" ca="1" si="228"/>
        <v>6.7102523462836102E-3</v>
      </c>
      <c r="AG72" s="5">
        <f t="shared" ca="1" si="229"/>
        <v>6.9629255480415575E-3</v>
      </c>
      <c r="AH72" s="5">
        <f t="shared" ca="1" si="230"/>
        <v>6.311250623194437E-3</v>
      </c>
      <c r="AI72" s="5">
        <f t="shared" ca="1" si="231"/>
        <v>6.8829062970939226E-3</v>
      </c>
      <c r="AJ72" s="5">
        <f t="shared" ca="1" si="232"/>
        <v>6.4063159579726449E-3</v>
      </c>
      <c r="AK72" s="5">
        <f t="shared" ca="1" si="233"/>
        <v>6.9785736479920941E-3</v>
      </c>
      <c r="AL72" s="5">
        <f t="shared" ca="1" si="234"/>
        <v>6.6226603302662048E-3</v>
      </c>
      <c r="AM72" s="5">
        <f t="shared" ca="1" si="235"/>
        <v>6.7900841930514126E-3</v>
      </c>
      <c r="AN72" s="5">
        <f t="shared" ca="1" si="236"/>
        <v>6.9588318323176336E-3</v>
      </c>
      <c r="AO72" s="5">
        <f t="shared" ca="1" si="237"/>
        <v>7.4408032561640858E-3</v>
      </c>
      <c r="AP72" s="5">
        <f t="shared" ca="1" si="238"/>
        <v>6.7281022384402638E-3</v>
      </c>
      <c r="AQ72" s="5">
        <f t="shared" ca="1" si="239"/>
        <v>6.3517973725026114E-3</v>
      </c>
      <c r="AR72" s="5">
        <f t="shared" ca="1" si="240"/>
        <v>6.7846536164755762E-3</v>
      </c>
      <c r="AS72" s="5">
        <f t="shared" ca="1" si="241"/>
        <v>6.9014847245165954E-3</v>
      </c>
      <c r="AT72" s="5">
        <f t="shared" ca="1" si="242"/>
        <v>6.0663182401953465E-3</v>
      </c>
      <c r="AU72" s="5">
        <f t="shared" ca="1" si="243"/>
        <v>6.4230225349153122E-3</v>
      </c>
      <c r="AV72" s="5">
        <f t="shared" ca="1" si="244"/>
        <v>6.6505438735996953E-3</v>
      </c>
      <c r="AW72" s="5">
        <f t="shared" ca="1" si="245"/>
        <v>7.2682688428651315E-3</v>
      </c>
      <c r="AX72" s="5">
        <f t="shared" ca="1" si="246"/>
        <v>6.3242764184631897E-3</v>
      </c>
      <c r="AY72" s="5">
        <f t="shared" ca="1" si="247"/>
        <v>6.8058410241621566E-3</v>
      </c>
      <c r="AZ72" s="5">
        <f t="shared" ca="1" si="248"/>
        <v>7.2065995155480905E-3</v>
      </c>
      <c r="BA72" s="5">
        <f t="shared" ca="1" si="249"/>
        <v>6.770706759264165E-3</v>
      </c>
      <c r="BB72" s="5">
        <f t="shared" ca="1" si="250"/>
        <v>6.6039095678216237E-3</v>
      </c>
      <c r="BC72" s="5">
        <f t="shared" ca="1" si="251"/>
        <v>6.5114397715538043E-3</v>
      </c>
      <c r="BD72" s="5">
        <f t="shared" ca="1" si="252"/>
        <v>6.7337132035294673E-3</v>
      </c>
      <c r="BE72" s="5">
        <f t="shared" ca="1" si="253"/>
        <v>7.2719355389389015E-3</v>
      </c>
      <c r="BF72" s="5">
        <f t="shared" ca="1" si="254"/>
        <v>6.8803991880187782E-3</v>
      </c>
      <c r="BG72" s="5">
        <f t="shared" ca="1" si="255"/>
        <v>6.6163495320614579E-3</v>
      </c>
      <c r="BH72" s="5">
        <f t="shared" ca="1" si="256"/>
        <v>6.1957660373243486E-3</v>
      </c>
      <c r="BI72" s="5">
        <f t="shared" ca="1" si="257"/>
        <v>7.2281021320697025E-3</v>
      </c>
      <c r="BJ72" s="5">
        <f t="shared" ca="1" si="258"/>
        <v>7.1097366776687425E-3</v>
      </c>
      <c r="BK72" s="5">
        <f t="shared" ca="1" si="259"/>
        <v>7.0667520477866201E-3</v>
      </c>
      <c r="BL72" s="5">
        <f t="shared" ca="1" si="260"/>
        <v>7.0772007351868555E-3</v>
      </c>
      <c r="BM72" s="5">
        <f t="shared" ca="1" si="261"/>
        <v>6.2595059310411663E-3</v>
      </c>
      <c r="BN72" s="5">
        <f t="shared" ca="1" si="262"/>
        <v>6.4933476864517219E-3</v>
      </c>
      <c r="BO72" s="5">
        <f t="shared" ca="1" si="263"/>
        <v>6.9812203199008348E-3</v>
      </c>
      <c r="BP72" s="5">
        <f t="shared" ca="1" si="264"/>
        <v>6.8914793049606451E-3</v>
      </c>
      <c r="BQ72" s="5">
        <f t="shared" ca="1" si="265"/>
        <v>6.2548170731762977E-3</v>
      </c>
      <c r="BR72" s="5">
        <f t="shared" ca="1" si="266"/>
        <v>6.2896198666491116E-3</v>
      </c>
      <c r="BS72" s="5">
        <f t="shared" ca="1" si="267"/>
        <v>6.6896057874640839E-3</v>
      </c>
      <c r="BT72" s="5">
        <f t="shared" ca="1" si="268"/>
        <v>6.4428351338342493E-3</v>
      </c>
      <c r="BU72" s="5">
        <f t="shared" ca="1" si="269"/>
        <v>6.8415840595509037E-3</v>
      </c>
      <c r="BV72" s="5">
        <f t="shared" ca="1" si="270"/>
        <v>6.6382075470890443E-3</v>
      </c>
      <c r="BW72" s="5">
        <f t="shared" ca="1" si="271"/>
        <v>6.7702975135527331E-3</v>
      </c>
      <c r="BX72" s="5">
        <f t="shared" ca="1" si="272"/>
        <v>6.8474214123873745E-3</v>
      </c>
      <c r="BY72" s="5">
        <f t="shared" ca="1" si="273"/>
        <v>6.1909822601256045E-3</v>
      </c>
      <c r="BZ72" s="5">
        <f t="shared" ca="1" si="274"/>
        <v>7.0060827841202577E-3</v>
      </c>
      <c r="CA72" s="5">
        <f t="shared" ca="1" si="275"/>
        <v>6.1428744581974015E-3</v>
      </c>
      <c r="CB72" s="5">
        <f t="shared" ca="1" si="276"/>
        <v>6.8060861344689545E-3</v>
      </c>
      <c r="CC72" s="5">
        <f t="shared" ca="1" si="277"/>
        <v>6.4953724438407872E-3</v>
      </c>
      <c r="CD72" s="5">
        <f t="shared" ca="1" si="278"/>
        <v>6.9376919199231795E-3</v>
      </c>
      <c r="CE72" s="5">
        <f t="shared" ca="1" si="279"/>
        <v>6.3927216024658754E-3</v>
      </c>
      <c r="CF72" s="5">
        <f t="shared" ca="1" si="280"/>
        <v>6.9914646714278623E-3</v>
      </c>
      <c r="CG72" s="5">
        <f t="shared" ca="1" si="281"/>
        <v>6.8031037593266298E-3</v>
      </c>
      <c r="CH72" s="5">
        <f t="shared" ca="1" si="282"/>
        <v>5.8990124191128819E-3</v>
      </c>
      <c r="CI72" s="5">
        <f t="shared" ca="1" si="283"/>
        <v>6.9906934650397082E-3</v>
      </c>
      <c r="CJ72" s="5">
        <f t="shared" ca="1" si="284"/>
        <v>7.000186523707071E-3</v>
      </c>
      <c r="CK72" s="5">
        <f t="shared" ca="1" si="285"/>
        <v>6.9955866120117848E-3</v>
      </c>
      <c r="CL72" s="5">
        <f t="shared" ca="1" si="286"/>
        <v>6.8727870093483034E-3</v>
      </c>
      <c r="CM72" s="5">
        <f t="shared" ca="1" si="287"/>
        <v>6.7433954368685918E-3</v>
      </c>
      <c r="CN72" s="5">
        <f t="shared" ca="1" si="288"/>
        <v>6.6376440039031433E-3</v>
      </c>
      <c r="CO72" s="5">
        <f t="shared" ca="1" si="289"/>
        <v>6.8382775302940693E-3</v>
      </c>
      <c r="CP72" s="5">
        <f t="shared" ca="1" si="290"/>
        <v>7.0828939141676988E-3</v>
      </c>
      <c r="CQ72" s="5">
        <f t="shared" ca="1" si="291"/>
        <v>6.9756236409226451E-3</v>
      </c>
      <c r="CR72" s="5">
        <f t="shared" ca="1" si="292"/>
        <v>6.8624140728615257E-3</v>
      </c>
      <c r="CS72" s="5">
        <f t="shared" ca="1" si="293"/>
        <v>6.7857950019354803E-3</v>
      </c>
      <c r="CT72" s="5">
        <f t="shared" ca="1" si="294"/>
        <v>7.2033750661659518E-3</v>
      </c>
      <c r="CU72" s="5">
        <f t="shared" ca="1" si="295"/>
        <v>6.3786325094875576E-3</v>
      </c>
      <c r="CV72" s="5">
        <f t="shared" ca="1" si="296"/>
        <v>6.5740119835942497E-3</v>
      </c>
      <c r="CW72" s="5">
        <f t="shared" ca="1" si="297"/>
        <v>6.5096955805788205E-3</v>
      </c>
      <c r="CX72" s="5">
        <f t="shared" ca="1" si="298"/>
        <v>6.3035141696276015E-3</v>
      </c>
      <c r="CY72" s="5">
        <f t="shared" ca="1" si="299"/>
        <v>6.7235597984860729E-3</v>
      </c>
      <c r="CZ72" s="5">
        <f t="shared" ca="1" si="300"/>
        <v>5.8539193222023472E-3</v>
      </c>
      <c r="DA72" s="5">
        <f t="shared" ca="1" si="301"/>
        <v>6.948053402478201E-3</v>
      </c>
      <c r="DB72" s="5">
        <f t="shared" ca="1" si="302"/>
        <v>6.7562614465271516E-3</v>
      </c>
      <c r="DC72" s="5">
        <f t="shared" ca="1" si="303"/>
        <v>7.0197709794532241E-3</v>
      </c>
      <c r="DD72" s="5">
        <f t="shared" ca="1" si="304"/>
        <v>6.7644655337548536E-3</v>
      </c>
      <c r="DE72" s="5">
        <f t="shared" ca="1" si="305"/>
        <v>6.8821301995218983E-3</v>
      </c>
      <c r="DF72" s="5">
        <f t="shared" ca="1" si="306"/>
        <v>6.6036568636457888E-3</v>
      </c>
      <c r="DG72" s="5">
        <f t="shared" ca="1" si="307"/>
        <v>6.6038457901842181E-3</v>
      </c>
      <c r="DH72" s="5">
        <f t="shared" ca="1" si="308"/>
        <v>6.7466602659404361E-3</v>
      </c>
      <c r="DI72" s="5">
        <f t="shared" ca="1" si="309"/>
        <v>6.9467956756080907E-3</v>
      </c>
      <c r="DJ72" s="5">
        <f t="shared" ca="1" si="310"/>
        <v>6.82814399286907E-3</v>
      </c>
    </row>
    <row r="73" spans="5:114" outlineLevel="1" x14ac:dyDescent="0.2">
      <c r="E73" s="32">
        <v>46692</v>
      </c>
      <c r="F73" s="9">
        <v>2986.7248319999999</v>
      </c>
      <c r="G73" s="5">
        <f t="shared" ca="1" si="208"/>
        <v>-5.7769042918546148E-2</v>
      </c>
      <c r="H73" s="5">
        <f t="shared" ca="1" si="209"/>
        <v>6.1480440616585846E-3</v>
      </c>
      <c r="I73" s="9">
        <f t="shared" ca="1" si="210"/>
        <v>171746.81299755961</v>
      </c>
      <c r="K73" s="6">
        <v>69</v>
      </c>
      <c r="L73" s="5">
        <v>363362.70166178921</v>
      </c>
      <c r="N73" s="32">
        <v>46661</v>
      </c>
      <c r="O73" s="5">
        <f t="shared" ca="1" si="211"/>
        <v>6.7043769073049687E-3</v>
      </c>
      <c r="P73" s="5">
        <f t="shared" ca="1" si="212"/>
        <v>6.4844146604843104E-3</v>
      </c>
      <c r="Q73" s="5">
        <f t="shared" ca="1" si="213"/>
        <v>6.5763668762769704E-3</v>
      </c>
      <c r="R73" s="5">
        <f t="shared" ca="1" si="214"/>
        <v>6.4999959203025405E-3</v>
      </c>
      <c r="S73" s="5">
        <f t="shared" ca="1" si="215"/>
        <v>5.8477704117260694E-3</v>
      </c>
      <c r="T73" s="5">
        <f t="shared" ca="1" si="216"/>
        <v>5.9802259133135286E-3</v>
      </c>
      <c r="U73" s="5">
        <f t="shared" ca="1" si="217"/>
        <v>6.471957393550584E-3</v>
      </c>
      <c r="V73" s="5">
        <f t="shared" ca="1" si="218"/>
        <v>6.4740640923281901E-3</v>
      </c>
      <c r="W73" s="5">
        <f t="shared" ca="1" si="219"/>
        <v>6.932419348984138E-3</v>
      </c>
      <c r="X73" s="5">
        <f t="shared" ca="1" si="220"/>
        <v>6.7523306721224488E-3</v>
      </c>
      <c r="Y73" s="5">
        <f t="shared" ca="1" si="221"/>
        <v>6.9621300760642438E-3</v>
      </c>
      <c r="Z73" s="5">
        <f t="shared" ca="1" si="222"/>
        <v>7.0163069577650729E-3</v>
      </c>
      <c r="AA73" s="5">
        <f t="shared" ca="1" si="223"/>
        <v>6.6364551056669928E-3</v>
      </c>
      <c r="AB73" s="5">
        <f t="shared" ca="1" si="224"/>
        <v>7.0630890134178769E-3</v>
      </c>
      <c r="AC73" s="5">
        <f t="shared" ca="1" si="225"/>
        <v>7.0008287746026856E-3</v>
      </c>
      <c r="AD73" s="5">
        <f t="shared" ca="1" si="226"/>
        <v>6.7744423882518589E-3</v>
      </c>
      <c r="AE73" s="5">
        <f t="shared" ca="1" si="227"/>
        <v>7.0083839286118081E-3</v>
      </c>
      <c r="AF73" s="5">
        <f t="shared" ca="1" si="228"/>
        <v>6.6886150464029459E-3</v>
      </c>
      <c r="AG73" s="5">
        <f t="shared" ca="1" si="229"/>
        <v>7.0157608001231598E-3</v>
      </c>
      <c r="AH73" s="5">
        <f t="shared" ca="1" si="230"/>
        <v>6.3220108693723054E-3</v>
      </c>
      <c r="AI73" s="5">
        <f t="shared" ca="1" si="231"/>
        <v>6.8391035818976265E-3</v>
      </c>
      <c r="AJ73" s="5">
        <f t="shared" ca="1" si="232"/>
        <v>6.4566393933136648E-3</v>
      </c>
      <c r="AK73" s="5">
        <f t="shared" ca="1" si="233"/>
        <v>6.9060067927036953E-3</v>
      </c>
      <c r="AL73" s="5">
        <f t="shared" ca="1" si="234"/>
        <v>6.5819402420026858E-3</v>
      </c>
      <c r="AM73" s="5">
        <f t="shared" ca="1" si="235"/>
        <v>6.7438882035043115E-3</v>
      </c>
      <c r="AN73" s="5">
        <f t="shared" ca="1" si="236"/>
        <v>6.9142781122562549E-3</v>
      </c>
      <c r="AO73" s="5">
        <f t="shared" ca="1" si="237"/>
        <v>7.468680390916943E-3</v>
      </c>
      <c r="AP73" s="5">
        <f t="shared" ca="1" si="238"/>
        <v>6.6657551909605371E-3</v>
      </c>
      <c r="AQ73" s="5">
        <f t="shared" ca="1" si="239"/>
        <v>6.2857661723830921E-3</v>
      </c>
      <c r="AR73" s="5">
        <f t="shared" ca="1" si="240"/>
        <v>6.7496062189416218E-3</v>
      </c>
      <c r="AS73" s="5">
        <f t="shared" ca="1" si="241"/>
        <v>6.8766115492924652E-3</v>
      </c>
      <c r="AT73" s="5">
        <f t="shared" ca="1" si="242"/>
        <v>6.098723824527562E-3</v>
      </c>
      <c r="AU73" s="5">
        <f t="shared" ca="1" si="243"/>
        <v>6.4298069205074608E-3</v>
      </c>
      <c r="AV73" s="5">
        <f t="shared" ca="1" si="244"/>
        <v>6.6667021841893557E-3</v>
      </c>
      <c r="AW73" s="5">
        <f t="shared" ca="1" si="245"/>
        <v>7.2820109392049701E-3</v>
      </c>
      <c r="AX73" s="5">
        <f t="shared" ca="1" si="246"/>
        <v>6.3933619070418906E-3</v>
      </c>
      <c r="AY73" s="5">
        <f t="shared" ca="1" si="247"/>
        <v>6.8425204474605993E-3</v>
      </c>
      <c r="AZ73" s="5">
        <f t="shared" ca="1" si="248"/>
        <v>7.1837237901680312E-3</v>
      </c>
      <c r="BA73" s="5">
        <f t="shared" ca="1" si="249"/>
        <v>6.7253895299311485E-3</v>
      </c>
      <c r="BB73" s="5">
        <f t="shared" ca="1" si="250"/>
        <v>6.6649525984984878E-3</v>
      </c>
      <c r="BC73" s="5">
        <f t="shared" ca="1" si="251"/>
        <v>6.5667520866056822E-3</v>
      </c>
      <c r="BD73" s="5">
        <f t="shared" ca="1" si="252"/>
        <v>6.7172661989030125E-3</v>
      </c>
      <c r="BE73" s="5">
        <f t="shared" ca="1" si="253"/>
        <v>7.3353921935870835E-3</v>
      </c>
      <c r="BF73" s="5">
        <f t="shared" ca="1" si="254"/>
        <v>6.8702201566803031E-3</v>
      </c>
      <c r="BG73" s="5">
        <f t="shared" ca="1" si="255"/>
        <v>6.6404351484994125E-3</v>
      </c>
      <c r="BH73" s="5">
        <f t="shared" ca="1" si="256"/>
        <v>6.2301974436061048E-3</v>
      </c>
      <c r="BI73" s="5">
        <f t="shared" ca="1" si="257"/>
        <v>7.2489404309667438E-3</v>
      </c>
      <c r="BJ73" s="5">
        <f t="shared" ca="1" si="258"/>
        <v>7.1337359069593527E-3</v>
      </c>
      <c r="BK73" s="5">
        <f t="shared" ca="1" si="259"/>
        <v>7.0767654210809596E-3</v>
      </c>
      <c r="BL73" s="5">
        <f t="shared" ca="1" si="260"/>
        <v>7.0653222401842099E-3</v>
      </c>
      <c r="BM73" s="5">
        <f t="shared" ca="1" si="261"/>
        <v>6.3297942316910428E-3</v>
      </c>
      <c r="BN73" s="5">
        <f t="shared" ca="1" si="262"/>
        <v>6.4534496380897772E-3</v>
      </c>
      <c r="BO73" s="5">
        <f t="shared" ca="1" si="263"/>
        <v>7.0081697028447415E-3</v>
      </c>
      <c r="BP73" s="5">
        <f t="shared" ca="1" si="264"/>
        <v>6.9057788626919166E-3</v>
      </c>
      <c r="BQ73" s="5">
        <f t="shared" ca="1" si="265"/>
        <v>6.2262861382607858E-3</v>
      </c>
      <c r="BR73" s="5">
        <f t="shared" ca="1" si="266"/>
        <v>6.2915976273000248E-3</v>
      </c>
      <c r="BS73" s="5">
        <f t="shared" ca="1" si="267"/>
        <v>6.6767517765571622E-3</v>
      </c>
      <c r="BT73" s="5">
        <f t="shared" ca="1" si="268"/>
        <v>6.4277866607972039E-3</v>
      </c>
      <c r="BU73" s="5">
        <f t="shared" ca="1" si="269"/>
        <v>6.8657588257708003E-3</v>
      </c>
      <c r="BV73" s="5">
        <f t="shared" ca="1" si="270"/>
        <v>6.5682650256617316E-3</v>
      </c>
      <c r="BW73" s="5">
        <f t="shared" ca="1" si="271"/>
        <v>6.8039013017621251E-3</v>
      </c>
      <c r="BX73" s="5">
        <f t="shared" ca="1" si="272"/>
        <v>6.8646497240434853E-3</v>
      </c>
      <c r="BY73" s="5">
        <f t="shared" ca="1" si="273"/>
        <v>6.2053023023671688E-3</v>
      </c>
      <c r="BZ73" s="5">
        <f t="shared" ca="1" si="274"/>
        <v>7.0542579050855338E-3</v>
      </c>
      <c r="CA73" s="5">
        <f t="shared" ca="1" si="275"/>
        <v>6.1441189557788576E-3</v>
      </c>
      <c r="CB73" s="5">
        <f t="shared" ca="1" si="276"/>
        <v>6.8534383763542176E-3</v>
      </c>
      <c r="CC73" s="5">
        <f t="shared" ca="1" si="277"/>
        <v>6.5270732782404519E-3</v>
      </c>
      <c r="CD73" s="5">
        <f t="shared" ca="1" si="278"/>
        <v>6.8809702826218531E-3</v>
      </c>
      <c r="CE73" s="5">
        <f t="shared" ca="1" si="279"/>
        <v>6.3210146079767876E-3</v>
      </c>
      <c r="CF73" s="5">
        <f t="shared" ca="1" si="280"/>
        <v>6.9687661337616948E-3</v>
      </c>
      <c r="CG73" s="5">
        <f t="shared" ca="1" si="281"/>
        <v>6.8169685397084885E-3</v>
      </c>
      <c r="CH73" s="5">
        <f t="shared" ca="1" si="282"/>
        <v>5.8725059970541268E-3</v>
      </c>
      <c r="CI73" s="5">
        <f t="shared" ca="1" si="283"/>
        <v>6.9147883945415685E-3</v>
      </c>
      <c r="CJ73" s="5">
        <f t="shared" ca="1" si="284"/>
        <v>6.9870845592630579E-3</v>
      </c>
      <c r="CK73" s="5">
        <f t="shared" ca="1" si="285"/>
        <v>7.0125013395220259E-3</v>
      </c>
      <c r="CL73" s="5">
        <f t="shared" ca="1" si="286"/>
        <v>6.8923639022099104E-3</v>
      </c>
      <c r="CM73" s="5">
        <f t="shared" ca="1" si="287"/>
        <v>6.8013502763615043E-3</v>
      </c>
      <c r="CN73" s="5">
        <f t="shared" ca="1" si="288"/>
        <v>6.6298805891962477E-3</v>
      </c>
      <c r="CO73" s="5">
        <f t="shared" ca="1" si="289"/>
        <v>6.829969547155347E-3</v>
      </c>
      <c r="CP73" s="5">
        <f t="shared" ca="1" si="290"/>
        <v>7.0570604475511268E-3</v>
      </c>
      <c r="CQ73" s="5">
        <f t="shared" ca="1" si="291"/>
        <v>6.9636399579211649E-3</v>
      </c>
      <c r="CR73" s="5">
        <f t="shared" ca="1" si="292"/>
        <v>6.9314185922015447E-3</v>
      </c>
      <c r="CS73" s="5">
        <f t="shared" ca="1" si="293"/>
        <v>6.8382795276120808E-3</v>
      </c>
      <c r="CT73" s="5">
        <f t="shared" ca="1" si="294"/>
        <v>7.2280277955078199E-3</v>
      </c>
      <c r="CU73" s="5">
        <f t="shared" ca="1" si="295"/>
        <v>6.431142195282743E-3</v>
      </c>
      <c r="CV73" s="5">
        <f t="shared" ca="1" si="296"/>
        <v>6.6108725035813366E-3</v>
      </c>
      <c r="CW73" s="5">
        <f t="shared" ca="1" si="297"/>
        <v>6.5159554454773993E-3</v>
      </c>
      <c r="CX73" s="5">
        <f t="shared" ca="1" si="298"/>
        <v>6.2887513729250324E-3</v>
      </c>
      <c r="CY73" s="5">
        <f t="shared" ca="1" si="299"/>
        <v>6.7476430265512354E-3</v>
      </c>
      <c r="CZ73" s="5">
        <f t="shared" ca="1" si="300"/>
        <v>5.8799858553887849E-3</v>
      </c>
      <c r="DA73" s="5">
        <f t="shared" ca="1" si="301"/>
        <v>6.9371791174844318E-3</v>
      </c>
      <c r="DB73" s="5">
        <f t="shared" ca="1" si="302"/>
        <v>6.7209278340442822E-3</v>
      </c>
      <c r="DC73" s="5">
        <f t="shared" ca="1" si="303"/>
        <v>7.0467421488785856E-3</v>
      </c>
      <c r="DD73" s="5">
        <f t="shared" ca="1" si="304"/>
        <v>6.7519282676613236E-3</v>
      </c>
      <c r="DE73" s="5">
        <f t="shared" ca="1" si="305"/>
        <v>6.8527747116036899E-3</v>
      </c>
      <c r="DF73" s="5">
        <f t="shared" ca="1" si="306"/>
        <v>6.5937411762719009E-3</v>
      </c>
      <c r="DG73" s="5">
        <f t="shared" ca="1" si="307"/>
        <v>6.6351858452648217E-3</v>
      </c>
      <c r="DH73" s="5">
        <f t="shared" ca="1" si="308"/>
        <v>6.774746663658804E-3</v>
      </c>
      <c r="DI73" s="5">
        <f t="shared" ca="1" si="309"/>
        <v>6.8819247079489965E-3</v>
      </c>
      <c r="DJ73" s="5">
        <f t="shared" ca="1" si="310"/>
        <v>6.8436619017139908E-3</v>
      </c>
    </row>
    <row r="74" spans="5:114" outlineLevel="1" x14ac:dyDescent="0.2">
      <c r="E74" s="32">
        <v>46722</v>
      </c>
      <c r="F74" s="9">
        <v>2986.7248319999999</v>
      </c>
      <c r="G74" s="5">
        <f t="shared" ca="1" si="208"/>
        <v>9.9657389084508302E-2</v>
      </c>
      <c r="H74" s="5">
        <f t="shared" ca="1" si="209"/>
        <v>6.1251769558501069E-3</v>
      </c>
      <c r="I74" s="9">
        <f t="shared" ca="1" si="210"/>
        <v>174821.22517527812</v>
      </c>
      <c r="K74" s="6">
        <v>70</v>
      </c>
      <c r="L74" s="5">
        <v>361494.14039292117</v>
      </c>
      <c r="N74" s="32">
        <v>46692</v>
      </c>
      <c r="O74" s="5">
        <f t="shared" ca="1" si="211"/>
        <v>6.7399207074642867E-3</v>
      </c>
      <c r="P74" s="5">
        <f t="shared" ca="1" si="212"/>
        <v>6.4238836377425402E-3</v>
      </c>
      <c r="Q74" s="5">
        <f t="shared" ca="1" si="213"/>
        <v>6.5047336548186814E-3</v>
      </c>
      <c r="R74" s="5">
        <f t="shared" ca="1" si="214"/>
        <v>6.5139699500067101E-3</v>
      </c>
      <c r="S74" s="5">
        <f t="shared" ca="1" si="215"/>
        <v>5.8932158143204629E-3</v>
      </c>
      <c r="T74" s="5">
        <f t="shared" ca="1" si="216"/>
        <v>5.9639146329372988E-3</v>
      </c>
      <c r="U74" s="5">
        <f t="shared" ca="1" si="217"/>
        <v>6.5204797187065422E-3</v>
      </c>
      <c r="V74" s="5">
        <f t="shared" ca="1" si="218"/>
        <v>6.5170287680192656E-3</v>
      </c>
      <c r="W74" s="5">
        <f t="shared" ca="1" si="219"/>
        <v>6.8941406111650829E-3</v>
      </c>
      <c r="X74" s="5">
        <f t="shared" ca="1" si="220"/>
        <v>6.7327351910844236E-3</v>
      </c>
      <c r="Y74" s="5">
        <f t="shared" ca="1" si="221"/>
        <v>7.0364587637982787E-3</v>
      </c>
      <c r="Z74" s="5">
        <f t="shared" ca="1" si="222"/>
        <v>7.0305067384742424E-3</v>
      </c>
      <c r="AA74" s="5">
        <f t="shared" ca="1" si="223"/>
        <v>6.6625845597651058E-3</v>
      </c>
      <c r="AB74" s="5">
        <f t="shared" ca="1" si="224"/>
        <v>7.0791427915171184E-3</v>
      </c>
      <c r="AC74" s="5">
        <f t="shared" ca="1" si="225"/>
        <v>6.959915911160749E-3</v>
      </c>
      <c r="AD74" s="5">
        <f t="shared" ca="1" si="226"/>
        <v>6.7443644808651299E-3</v>
      </c>
      <c r="AE74" s="5">
        <f t="shared" ca="1" si="227"/>
        <v>6.9955473268364576E-3</v>
      </c>
      <c r="AF74" s="5">
        <f t="shared" ca="1" si="228"/>
        <v>6.6998437092132129E-3</v>
      </c>
      <c r="AG74" s="5">
        <f t="shared" ca="1" si="229"/>
        <v>7.0092027292095113E-3</v>
      </c>
      <c r="AH74" s="5">
        <f t="shared" ca="1" si="230"/>
        <v>6.2640011344059022E-3</v>
      </c>
      <c r="AI74" s="5">
        <f t="shared" ca="1" si="231"/>
        <v>6.8237038160450948E-3</v>
      </c>
      <c r="AJ74" s="5">
        <f t="shared" ca="1" si="232"/>
        <v>6.5604112875945033E-3</v>
      </c>
      <c r="AK74" s="5">
        <f t="shared" ca="1" si="233"/>
        <v>6.9647334135405324E-3</v>
      </c>
      <c r="AL74" s="5">
        <f t="shared" ca="1" si="234"/>
        <v>6.5155806432160767E-3</v>
      </c>
      <c r="AM74" s="5">
        <f t="shared" ca="1" si="235"/>
        <v>6.7110307063442389E-3</v>
      </c>
      <c r="AN74" s="5">
        <f t="shared" ca="1" si="236"/>
        <v>6.9626436115927436E-3</v>
      </c>
      <c r="AO74" s="5">
        <f t="shared" ca="1" si="237"/>
        <v>7.518548357800435E-3</v>
      </c>
      <c r="AP74" s="5">
        <f t="shared" ca="1" si="238"/>
        <v>6.5926551100616154E-3</v>
      </c>
      <c r="AQ74" s="5">
        <f t="shared" ca="1" si="239"/>
        <v>6.3415160027818201E-3</v>
      </c>
      <c r="AR74" s="5">
        <f t="shared" ca="1" si="240"/>
        <v>6.7554828579049677E-3</v>
      </c>
      <c r="AS74" s="5">
        <f t="shared" ca="1" si="241"/>
        <v>6.8306999380582326E-3</v>
      </c>
      <c r="AT74" s="5">
        <f t="shared" ca="1" si="242"/>
        <v>6.0535422348067212E-3</v>
      </c>
      <c r="AU74" s="5">
        <f t="shared" ca="1" si="243"/>
        <v>6.4722790908946582E-3</v>
      </c>
      <c r="AV74" s="5">
        <f t="shared" ca="1" si="244"/>
        <v>6.6724953247431001E-3</v>
      </c>
      <c r="AW74" s="5">
        <f t="shared" ca="1" si="245"/>
        <v>7.3060043105583504E-3</v>
      </c>
      <c r="AX74" s="5">
        <f t="shared" ca="1" si="246"/>
        <v>6.387855393597792E-3</v>
      </c>
      <c r="AY74" s="5">
        <f t="shared" ca="1" si="247"/>
        <v>6.771835267650796E-3</v>
      </c>
      <c r="AZ74" s="5">
        <f t="shared" ca="1" si="248"/>
        <v>7.1298936539390088E-3</v>
      </c>
      <c r="BA74" s="5">
        <f t="shared" ca="1" si="249"/>
        <v>6.6803506610409857E-3</v>
      </c>
      <c r="BB74" s="5">
        <f t="shared" ca="1" si="250"/>
        <v>6.6749380650869498E-3</v>
      </c>
      <c r="BC74" s="5">
        <f t="shared" ca="1" si="251"/>
        <v>6.6246913828891208E-3</v>
      </c>
      <c r="BD74" s="5">
        <f t="shared" ca="1" si="252"/>
        <v>6.71643166546041E-3</v>
      </c>
      <c r="BE74" s="5">
        <f t="shared" ca="1" si="253"/>
        <v>7.351410804657706E-3</v>
      </c>
      <c r="BF74" s="5">
        <f t="shared" ca="1" si="254"/>
        <v>6.9090859628755759E-3</v>
      </c>
      <c r="BG74" s="5">
        <f t="shared" ca="1" si="255"/>
        <v>6.5970676328896086E-3</v>
      </c>
      <c r="BH74" s="5">
        <f t="shared" ca="1" si="256"/>
        <v>6.2150212631596974E-3</v>
      </c>
      <c r="BI74" s="5">
        <f t="shared" ca="1" si="257"/>
        <v>7.311150157780528E-3</v>
      </c>
      <c r="BJ74" s="5">
        <f t="shared" ca="1" si="258"/>
        <v>7.1399296927943121E-3</v>
      </c>
      <c r="BK74" s="5">
        <f t="shared" ca="1" si="259"/>
        <v>7.1168997526239947E-3</v>
      </c>
      <c r="BL74" s="5">
        <f t="shared" ca="1" si="260"/>
        <v>6.9781780582997312E-3</v>
      </c>
      <c r="BM74" s="5">
        <f t="shared" ca="1" si="261"/>
        <v>6.3756720594843382E-3</v>
      </c>
      <c r="BN74" s="5">
        <f t="shared" ca="1" si="262"/>
        <v>6.4766542159223088E-3</v>
      </c>
      <c r="BO74" s="5">
        <f t="shared" ca="1" si="263"/>
        <v>7.0034427511093981E-3</v>
      </c>
      <c r="BP74" s="5">
        <f t="shared" ca="1" si="264"/>
        <v>6.9440646547982736E-3</v>
      </c>
      <c r="BQ74" s="5">
        <f t="shared" ca="1" si="265"/>
        <v>6.1959042001391226E-3</v>
      </c>
      <c r="BR74" s="5">
        <f t="shared" ca="1" si="266"/>
        <v>6.2378738036139459E-3</v>
      </c>
      <c r="BS74" s="5">
        <f t="shared" ca="1" si="267"/>
        <v>6.682635371400545E-3</v>
      </c>
      <c r="BT74" s="5">
        <f t="shared" ca="1" si="268"/>
        <v>6.4374741283907654E-3</v>
      </c>
      <c r="BU74" s="5">
        <f t="shared" ca="1" si="269"/>
        <v>6.823451851772749E-3</v>
      </c>
      <c r="BV74" s="5">
        <f t="shared" ca="1" si="270"/>
        <v>6.5341465222989101E-3</v>
      </c>
      <c r="BW74" s="5">
        <f t="shared" ca="1" si="271"/>
        <v>6.7972928769082924E-3</v>
      </c>
      <c r="BX74" s="5">
        <f t="shared" ca="1" si="272"/>
        <v>6.8860487901786539E-3</v>
      </c>
      <c r="BY74" s="5">
        <f t="shared" ca="1" si="273"/>
        <v>6.2178141627392408E-3</v>
      </c>
      <c r="BZ74" s="5">
        <f t="shared" ca="1" si="274"/>
        <v>7.0348935391967276E-3</v>
      </c>
      <c r="CA74" s="5">
        <f t="shared" ca="1" si="275"/>
        <v>6.2245969627639447E-3</v>
      </c>
      <c r="CB74" s="5">
        <f t="shared" ca="1" si="276"/>
        <v>6.8770778225449398E-3</v>
      </c>
      <c r="CC74" s="5">
        <f t="shared" ca="1" si="277"/>
        <v>6.4909642828824875E-3</v>
      </c>
      <c r="CD74" s="5">
        <f t="shared" ca="1" si="278"/>
        <v>6.8643804871203525E-3</v>
      </c>
      <c r="CE74" s="5">
        <f t="shared" ca="1" si="279"/>
        <v>6.3286271851917143E-3</v>
      </c>
      <c r="CF74" s="5">
        <f t="shared" ca="1" si="280"/>
        <v>7.0145633174997788E-3</v>
      </c>
      <c r="CG74" s="5">
        <f t="shared" ca="1" si="281"/>
        <v>6.8377606561448616E-3</v>
      </c>
      <c r="CH74" s="5">
        <f t="shared" ca="1" si="282"/>
        <v>5.8461133006023121E-3</v>
      </c>
      <c r="CI74" s="5">
        <f t="shared" ca="1" si="283"/>
        <v>6.888354255947673E-3</v>
      </c>
      <c r="CJ74" s="5">
        <f t="shared" ca="1" si="284"/>
        <v>6.9567550956115137E-3</v>
      </c>
      <c r="CK74" s="5">
        <f t="shared" ca="1" si="285"/>
        <v>7.0252999140448689E-3</v>
      </c>
      <c r="CL74" s="5">
        <f t="shared" ca="1" si="286"/>
        <v>6.9873915911615589E-3</v>
      </c>
      <c r="CM74" s="5">
        <f t="shared" ca="1" si="287"/>
        <v>6.8471389698515827E-3</v>
      </c>
      <c r="CN74" s="5">
        <f t="shared" ca="1" si="288"/>
        <v>6.6422034652649786E-3</v>
      </c>
      <c r="CO74" s="5">
        <f t="shared" ca="1" si="289"/>
        <v>6.7865252245455573E-3</v>
      </c>
      <c r="CP74" s="5">
        <f t="shared" ca="1" si="290"/>
        <v>7.0062796483304256E-3</v>
      </c>
      <c r="CQ74" s="5">
        <f t="shared" ca="1" si="291"/>
        <v>7.0378968886902716E-3</v>
      </c>
      <c r="CR74" s="5">
        <f t="shared" ca="1" si="292"/>
        <v>6.9249985453368303E-3</v>
      </c>
      <c r="CS74" s="5">
        <f t="shared" ca="1" si="293"/>
        <v>6.8389049377638404E-3</v>
      </c>
      <c r="CT74" s="5">
        <f t="shared" ca="1" si="294"/>
        <v>7.2602323882667496E-3</v>
      </c>
      <c r="CU74" s="5">
        <f t="shared" ca="1" si="295"/>
        <v>6.3700519279254802E-3</v>
      </c>
      <c r="CV74" s="5">
        <f t="shared" ca="1" si="296"/>
        <v>6.5985103409543907E-3</v>
      </c>
      <c r="CW74" s="5">
        <f t="shared" ca="1" si="297"/>
        <v>6.4729165552556717E-3</v>
      </c>
      <c r="CX74" s="5">
        <f t="shared" ca="1" si="298"/>
        <v>6.2553438020980607E-3</v>
      </c>
      <c r="CY74" s="5">
        <f t="shared" ca="1" si="299"/>
        <v>6.6433244735917196E-3</v>
      </c>
      <c r="CZ74" s="5">
        <f t="shared" ca="1" si="300"/>
        <v>5.9156322000460861E-3</v>
      </c>
      <c r="DA74" s="5">
        <f t="shared" ca="1" si="301"/>
        <v>6.8721023068784529E-3</v>
      </c>
      <c r="DB74" s="5">
        <f t="shared" ca="1" si="302"/>
        <v>6.7979059359707383E-3</v>
      </c>
      <c r="DC74" s="5">
        <f t="shared" ca="1" si="303"/>
        <v>7.0756654360996339E-3</v>
      </c>
      <c r="DD74" s="5">
        <f t="shared" ca="1" si="304"/>
        <v>6.8049676705932774E-3</v>
      </c>
      <c r="DE74" s="5">
        <f t="shared" ca="1" si="305"/>
        <v>6.7840867497266392E-3</v>
      </c>
      <c r="DF74" s="5">
        <f t="shared" ca="1" si="306"/>
        <v>6.5814575808000242E-3</v>
      </c>
      <c r="DG74" s="5">
        <f t="shared" ca="1" si="307"/>
        <v>6.6437700896190372E-3</v>
      </c>
      <c r="DH74" s="5">
        <f t="shared" ca="1" si="308"/>
        <v>6.82604488266124E-3</v>
      </c>
      <c r="DI74" s="5">
        <f t="shared" ca="1" si="309"/>
        <v>6.9041400170468245E-3</v>
      </c>
      <c r="DJ74" s="5">
        <f t="shared" ca="1" si="310"/>
        <v>6.9548701546578709E-3</v>
      </c>
    </row>
    <row r="75" spans="5:114" outlineLevel="1" x14ac:dyDescent="0.2">
      <c r="E75" s="32">
        <v>46753</v>
      </c>
      <c r="F75" s="9">
        <v>2986.7248319999999</v>
      </c>
      <c r="G75" s="5">
        <f t="shared" ca="1" si="208"/>
        <v>9.0888558387846208E-2</v>
      </c>
      <c r="H75" s="5">
        <f t="shared" ca="1" si="209"/>
        <v>6.1822498672017678E-3</v>
      </c>
      <c r="I75" s="9">
        <f t="shared" ca="1" si="210"/>
        <v>177898.03891963611</v>
      </c>
      <c r="K75" s="6">
        <v>71</v>
      </c>
      <c r="L75" s="5">
        <v>363027.79177250044</v>
      </c>
      <c r="N75" s="32">
        <v>46722</v>
      </c>
      <c r="O75" s="5">
        <f t="shared" ca="1" si="211"/>
        <v>6.693870293945344E-3</v>
      </c>
      <c r="P75" s="5">
        <f t="shared" ca="1" si="212"/>
        <v>6.4604313741987614E-3</v>
      </c>
      <c r="Q75" s="5">
        <f t="shared" ca="1" si="213"/>
        <v>6.4750269974157134E-3</v>
      </c>
      <c r="R75" s="5">
        <f t="shared" ca="1" si="214"/>
        <v>6.5536766943762948E-3</v>
      </c>
      <c r="S75" s="5">
        <f t="shared" ca="1" si="215"/>
        <v>5.8917494378877529E-3</v>
      </c>
      <c r="T75" s="5">
        <f t="shared" ca="1" si="216"/>
        <v>5.8989931679324292E-3</v>
      </c>
      <c r="U75" s="5">
        <f t="shared" ca="1" si="217"/>
        <v>6.5030144055064744E-3</v>
      </c>
      <c r="V75" s="5">
        <f t="shared" ca="1" si="218"/>
        <v>6.5227400878013998E-3</v>
      </c>
      <c r="W75" s="5">
        <f t="shared" ca="1" si="219"/>
        <v>6.865571400318681E-3</v>
      </c>
      <c r="X75" s="5">
        <f t="shared" ca="1" si="220"/>
        <v>6.72320582261702E-3</v>
      </c>
      <c r="Y75" s="5">
        <f t="shared" ca="1" si="221"/>
        <v>7.0187665261758269E-3</v>
      </c>
      <c r="Z75" s="5">
        <f t="shared" ca="1" si="222"/>
        <v>7.0555653400250062E-3</v>
      </c>
      <c r="AA75" s="5">
        <f t="shared" ca="1" si="223"/>
        <v>6.6772439076475034E-3</v>
      </c>
      <c r="AB75" s="5">
        <f t="shared" ca="1" si="224"/>
        <v>7.0608047030737879E-3</v>
      </c>
      <c r="AC75" s="5">
        <f t="shared" ca="1" si="225"/>
        <v>6.9638583021326009E-3</v>
      </c>
      <c r="AD75" s="5">
        <f t="shared" ca="1" si="226"/>
        <v>6.6484453917770806E-3</v>
      </c>
      <c r="AE75" s="5">
        <f t="shared" ca="1" si="227"/>
        <v>7.052968937131269E-3</v>
      </c>
      <c r="AF75" s="5">
        <f t="shared" ca="1" si="228"/>
        <v>6.7286702042952768E-3</v>
      </c>
      <c r="AG75" s="5">
        <f t="shared" ca="1" si="229"/>
        <v>6.9526907148069403E-3</v>
      </c>
      <c r="AH75" s="5">
        <f t="shared" ca="1" si="230"/>
        <v>6.284050731522591E-3</v>
      </c>
      <c r="AI75" s="5">
        <f t="shared" ca="1" si="231"/>
        <v>6.7846319226117849E-3</v>
      </c>
      <c r="AJ75" s="5">
        <f t="shared" ca="1" si="232"/>
        <v>6.5769669769446719E-3</v>
      </c>
      <c r="AK75" s="5">
        <f t="shared" ca="1" si="233"/>
        <v>6.9726265646125616E-3</v>
      </c>
      <c r="AL75" s="5">
        <f t="shared" ca="1" si="234"/>
        <v>6.5578760664604012E-3</v>
      </c>
      <c r="AM75" s="5">
        <f t="shared" ca="1" si="235"/>
        <v>6.7087271670603563E-3</v>
      </c>
      <c r="AN75" s="5">
        <f t="shared" ca="1" si="236"/>
        <v>6.9153176385213936E-3</v>
      </c>
      <c r="AO75" s="5">
        <f t="shared" ca="1" si="237"/>
        <v>7.5180564290299734E-3</v>
      </c>
      <c r="AP75" s="5">
        <f t="shared" ca="1" si="238"/>
        <v>6.5663867037022046E-3</v>
      </c>
      <c r="AQ75" s="5">
        <f t="shared" ca="1" si="239"/>
        <v>6.3584745015569143E-3</v>
      </c>
      <c r="AR75" s="5">
        <f t="shared" ca="1" si="240"/>
        <v>6.7519759065400352E-3</v>
      </c>
      <c r="AS75" s="5">
        <f t="shared" ca="1" si="241"/>
        <v>6.8425242038200476E-3</v>
      </c>
      <c r="AT75" s="5">
        <f t="shared" ca="1" si="242"/>
        <v>6.0284426210319795E-3</v>
      </c>
      <c r="AU75" s="5">
        <f t="shared" ca="1" si="243"/>
        <v>6.4109954918867432E-3</v>
      </c>
      <c r="AV75" s="5">
        <f t="shared" ca="1" si="244"/>
        <v>6.6438258972347239E-3</v>
      </c>
      <c r="AW75" s="5">
        <f t="shared" ca="1" si="245"/>
        <v>7.2695903003184318E-3</v>
      </c>
      <c r="AX75" s="5">
        <f t="shared" ca="1" si="246"/>
        <v>6.4297476214155947E-3</v>
      </c>
      <c r="AY75" s="5">
        <f t="shared" ca="1" si="247"/>
        <v>6.7995856083953934E-3</v>
      </c>
      <c r="AZ75" s="5">
        <f t="shared" ca="1" si="248"/>
        <v>7.1754250893281031E-3</v>
      </c>
      <c r="BA75" s="5">
        <f t="shared" ca="1" si="249"/>
        <v>6.6152650488011285E-3</v>
      </c>
      <c r="BB75" s="5">
        <f t="shared" ca="1" si="250"/>
        <v>6.7125642529448316E-3</v>
      </c>
      <c r="BC75" s="5">
        <f t="shared" ca="1" si="251"/>
        <v>6.6741982165113324E-3</v>
      </c>
      <c r="BD75" s="5">
        <f t="shared" ca="1" si="252"/>
        <v>6.7799000992433333E-3</v>
      </c>
      <c r="BE75" s="5">
        <f t="shared" ca="1" si="253"/>
        <v>7.3812146245910279E-3</v>
      </c>
      <c r="BF75" s="5">
        <f t="shared" ca="1" si="254"/>
        <v>6.9953021572905618E-3</v>
      </c>
      <c r="BG75" s="5">
        <f t="shared" ca="1" si="255"/>
        <v>6.6649749203876668E-3</v>
      </c>
      <c r="BH75" s="5">
        <f t="shared" ca="1" si="256"/>
        <v>6.1673637148241742E-3</v>
      </c>
      <c r="BI75" s="5">
        <f t="shared" ca="1" si="257"/>
        <v>7.3468094832426327E-3</v>
      </c>
      <c r="BJ75" s="5">
        <f t="shared" ca="1" si="258"/>
        <v>7.1416578102292032E-3</v>
      </c>
      <c r="BK75" s="5">
        <f t="shared" ca="1" si="259"/>
        <v>7.0449950534082068E-3</v>
      </c>
      <c r="BL75" s="5">
        <f t="shared" ca="1" si="260"/>
        <v>7.010699345198503E-3</v>
      </c>
      <c r="BM75" s="5">
        <f t="shared" ca="1" si="261"/>
        <v>6.4272638070885131E-3</v>
      </c>
      <c r="BN75" s="5">
        <f t="shared" ca="1" si="262"/>
        <v>6.4917589899321807E-3</v>
      </c>
      <c r="BO75" s="5">
        <f t="shared" ca="1" si="263"/>
        <v>7.0495295993451409E-3</v>
      </c>
      <c r="BP75" s="5">
        <f t="shared" ca="1" si="264"/>
        <v>6.9423980929670184E-3</v>
      </c>
      <c r="BQ75" s="5">
        <f t="shared" ca="1" si="265"/>
        <v>6.2537701158396951E-3</v>
      </c>
      <c r="BR75" s="5">
        <f t="shared" ca="1" si="266"/>
        <v>6.2346361249425225E-3</v>
      </c>
      <c r="BS75" s="5">
        <f t="shared" ca="1" si="267"/>
        <v>6.7400942772714995E-3</v>
      </c>
      <c r="BT75" s="5">
        <f t="shared" ca="1" si="268"/>
        <v>6.4513137597889316E-3</v>
      </c>
      <c r="BU75" s="5">
        <f t="shared" ca="1" si="269"/>
        <v>6.8351354947793399E-3</v>
      </c>
      <c r="BV75" s="5">
        <f t="shared" ca="1" si="270"/>
        <v>6.5425465326946729E-3</v>
      </c>
      <c r="BW75" s="5">
        <f t="shared" ca="1" si="271"/>
        <v>6.7873134481117878E-3</v>
      </c>
      <c r="BX75" s="5">
        <f t="shared" ca="1" si="272"/>
        <v>6.9144709620152407E-3</v>
      </c>
      <c r="BY75" s="5">
        <f t="shared" ca="1" si="273"/>
        <v>6.2007979363502882E-3</v>
      </c>
      <c r="BZ75" s="5">
        <f t="shared" ca="1" si="274"/>
        <v>6.9817614310882454E-3</v>
      </c>
      <c r="CA75" s="5">
        <f t="shared" ca="1" si="275"/>
        <v>6.2108141217968359E-3</v>
      </c>
      <c r="CB75" s="5">
        <f t="shared" ca="1" si="276"/>
        <v>6.8886632423082635E-3</v>
      </c>
      <c r="CC75" s="5">
        <f t="shared" ca="1" si="277"/>
        <v>6.4875897725868046E-3</v>
      </c>
      <c r="CD75" s="5">
        <f t="shared" ca="1" si="278"/>
        <v>6.8318301700472919E-3</v>
      </c>
      <c r="CE75" s="5">
        <f t="shared" ca="1" si="279"/>
        <v>6.2651519286650087E-3</v>
      </c>
      <c r="CF75" s="5">
        <f t="shared" ca="1" si="280"/>
        <v>7.0567152681679053E-3</v>
      </c>
      <c r="CG75" s="5">
        <f t="shared" ca="1" si="281"/>
        <v>6.8506640001763782E-3</v>
      </c>
      <c r="CH75" s="5">
        <f t="shared" ca="1" si="282"/>
        <v>5.8371717358061031E-3</v>
      </c>
      <c r="CI75" s="5">
        <f t="shared" ca="1" si="283"/>
        <v>6.9344759536673264E-3</v>
      </c>
      <c r="CJ75" s="5">
        <f t="shared" ca="1" si="284"/>
        <v>7.0067138158417652E-3</v>
      </c>
      <c r="CK75" s="5">
        <f t="shared" ca="1" si="285"/>
        <v>7.0139897947815973E-3</v>
      </c>
      <c r="CL75" s="5">
        <f t="shared" ca="1" si="286"/>
        <v>7.056858594978164E-3</v>
      </c>
      <c r="CM75" s="5">
        <f t="shared" ca="1" si="287"/>
        <v>6.8368138893572638E-3</v>
      </c>
      <c r="CN75" s="5">
        <f t="shared" ca="1" si="288"/>
        <v>6.5206079226930299E-3</v>
      </c>
      <c r="CO75" s="5">
        <f t="shared" ca="1" si="289"/>
        <v>6.7741251566284608E-3</v>
      </c>
      <c r="CP75" s="5">
        <f t="shared" ca="1" si="290"/>
        <v>6.9906447920078437E-3</v>
      </c>
      <c r="CQ75" s="5">
        <f t="shared" ca="1" si="291"/>
        <v>7.0527382915715727E-3</v>
      </c>
      <c r="CR75" s="5">
        <f t="shared" ca="1" si="292"/>
        <v>6.9091571333569565E-3</v>
      </c>
      <c r="CS75" s="5">
        <f t="shared" ca="1" si="293"/>
        <v>6.8405178292993878E-3</v>
      </c>
      <c r="CT75" s="5">
        <f t="shared" ca="1" si="294"/>
        <v>7.3237130938271283E-3</v>
      </c>
      <c r="CU75" s="5">
        <f t="shared" ca="1" si="295"/>
        <v>6.3627196546970069E-3</v>
      </c>
      <c r="CV75" s="5">
        <f t="shared" ca="1" si="296"/>
        <v>6.635814637173494E-3</v>
      </c>
      <c r="CW75" s="5">
        <f t="shared" ca="1" si="297"/>
        <v>6.4118205754849439E-3</v>
      </c>
      <c r="CX75" s="5">
        <f t="shared" ca="1" si="298"/>
        <v>6.2910469823812916E-3</v>
      </c>
      <c r="CY75" s="5">
        <f t="shared" ca="1" si="299"/>
        <v>6.6333700261297524E-3</v>
      </c>
      <c r="CZ75" s="5">
        <f t="shared" ca="1" si="300"/>
        <v>5.8720309534864498E-3</v>
      </c>
      <c r="DA75" s="5">
        <f t="shared" ca="1" si="301"/>
        <v>6.9284950628772293E-3</v>
      </c>
      <c r="DB75" s="5">
        <f t="shared" ca="1" si="302"/>
        <v>6.8528269715862119E-3</v>
      </c>
      <c r="DC75" s="5">
        <f t="shared" ca="1" si="303"/>
        <v>7.0563430849171762E-3</v>
      </c>
      <c r="DD75" s="5">
        <f t="shared" ca="1" si="304"/>
        <v>6.7746376246364589E-3</v>
      </c>
      <c r="DE75" s="5">
        <f t="shared" ca="1" si="305"/>
        <v>6.7172482985630522E-3</v>
      </c>
      <c r="DF75" s="5">
        <f t="shared" ca="1" si="306"/>
        <v>6.4967076902701015E-3</v>
      </c>
      <c r="DG75" s="5">
        <f t="shared" ca="1" si="307"/>
        <v>6.6073881813936306E-3</v>
      </c>
      <c r="DH75" s="5">
        <f t="shared" ca="1" si="308"/>
        <v>6.766484103140665E-3</v>
      </c>
      <c r="DI75" s="5">
        <f t="shared" ca="1" si="309"/>
        <v>6.8895414870597449E-3</v>
      </c>
      <c r="DJ75" s="5">
        <f t="shared" ca="1" si="310"/>
        <v>6.9061464155292952E-3</v>
      </c>
    </row>
    <row r="76" spans="5:114" outlineLevel="1" x14ac:dyDescent="0.2">
      <c r="E76" s="32">
        <v>46784</v>
      </c>
      <c r="F76" s="9">
        <v>3554.2025500799996</v>
      </c>
      <c r="G76" s="5">
        <f t="shared" ca="1" si="208"/>
        <v>4.1691613647904649E-2</v>
      </c>
      <c r="H76" s="5">
        <f t="shared" ca="1" si="209"/>
        <v>6.2348823948749693E-3</v>
      </c>
      <c r="I76" s="9">
        <f t="shared" ca="1" si="210"/>
        <v>181544.69659883381</v>
      </c>
      <c r="K76" s="6">
        <v>72</v>
      </c>
      <c r="L76" s="5">
        <v>362083.47295290622</v>
      </c>
      <c r="N76" s="32">
        <v>46753</v>
      </c>
      <c r="O76" s="5">
        <f t="shared" ca="1" si="211"/>
        <v>6.6780459415228402E-3</v>
      </c>
      <c r="P76" s="5">
        <f t="shared" ca="1" si="212"/>
        <v>6.5812237967118629E-3</v>
      </c>
      <c r="Q76" s="5">
        <f t="shared" ca="1" si="213"/>
        <v>6.5199151676968471E-3</v>
      </c>
      <c r="R76" s="5">
        <f t="shared" ca="1" si="214"/>
        <v>6.5165298127217025E-3</v>
      </c>
      <c r="S76" s="5">
        <f t="shared" ca="1" si="215"/>
        <v>5.8858990461523502E-3</v>
      </c>
      <c r="T76" s="5">
        <f t="shared" ca="1" si="216"/>
        <v>5.9207939667967648E-3</v>
      </c>
      <c r="U76" s="5">
        <f t="shared" ca="1" si="217"/>
        <v>6.6237472977516846E-3</v>
      </c>
      <c r="V76" s="5">
        <f t="shared" ca="1" si="218"/>
        <v>6.5065320867128806E-3</v>
      </c>
      <c r="W76" s="5">
        <f t="shared" ca="1" si="219"/>
        <v>6.8620221361869564E-3</v>
      </c>
      <c r="X76" s="5">
        <f t="shared" ca="1" si="220"/>
        <v>6.7421931553456344E-3</v>
      </c>
      <c r="Y76" s="5">
        <f t="shared" ca="1" si="221"/>
        <v>6.9881728386639048E-3</v>
      </c>
      <c r="Z76" s="5">
        <f t="shared" ca="1" si="222"/>
        <v>7.1006422367549974E-3</v>
      </c>
      <c r="AA76" s="5">
        <f t="shared" ca="1" si="223"/>
        <v>6.699179720910292E-3</v>
      </c>
      <c r="AB76" s="5">
        <f t="shared" ca="1" si="224"/>
        <v>7.0863130664569575E-3</v>
      </c>
      <c r="AC76" s="5">
        <f t="shared" ca="1" si="225"/>
        <v>6.9435176589762318E-3</v>
      </c>
      <c r="AD76" s="5">
        <f t="shared" ca="1" si="226"/>
        <v>6.6110268033783776E-3</v>
      </c>
      <c r="AE76" s="5">
        <f t="shared" ca="1" si="227"/>
        <v>7.1114437210169426E-3</v>
      </c>
      <c r="AF76" s="5">
        <f t="shared" ca="1" si="228"/>
        <v>6.7921492247098401E-3</v>
      </c>
      <c r="AG76" s="5">
        <f t="shared" ca="1" si="229"/>
        <v>6.9696652164336704E-3</v>
      </c>
      <c r="AH76" s="5">
        <f t="shared" ca="1" si="230"/>
        <v>6.2447797038560722E-3</v>
      </c>
      <c r="AI76" s="5">
        <f t="shared" ca="1" si="231"/>
        <v>6.7847778579026236E-3</v>
      </c>
      <c r="AJ76" s="5">
        <f t="shared" ca="1" si="232"/>
        <v>6.592147749794137E-3</v>
      </c>
      <c r="AK76" s="5">
        <f t="shared" ca="1" si="233"/>
        <v>7.0046166839965729E-3</v>
      </c>
      <c r="AL76" s="5">
        <f t="shared" ca="1" si="234"/>
        <v>6.4940460827247201E-3</v>
      </c>
      <c r="AM76" s="5">
        <f t="shared" ca="1" si="235"/>
        <v>6.7043413221045071E-3</v>
      </c>
      <c r="AN76" s="5">
        <f t="shared" ca="1" si="236"/>
        <v>6.9521025903090932E-3</v>
      </c>
      <c r="AO76" s="5">
        <f t="shared" ca="1" si="237"/>
        <v>7.5729369347390715E-3</v>
      </c>
      <c r="AP76" s="5">
        <f t="shared" ca="1" si="238"/>
        <v>6.5730616032274296E-3</v>
      </c>
      <c r="AQ76" s="5">
        <f t="shared" ca="1" si="239"/>
        <v>6.3679996630578786E-3</v>
      </c>
      <c r="AR76" s="5">
        <f t="shared" ca="1" si="240"/>
        <v>6.7051610392611545E-3</v>
      </c>
      <c r="AS76" s="5">
        <f t="shared" ca="1" si="241"/>
        <v>6.9189846924975441E-3</v>
      </c>
      <c r="AT76" s="5">
        <f t="shared" ca="1" si="242"/>
        <v>6.1381499835412431E-3</v>
      </c>
      <c r="AU76" s="5">
        <f t="shared" ca="1" si="243"/>
        <v>6.447928245505441E-3</v>
      </c>
      <c r="AV76" s="5">
        <f t="shared" ca="1" si="244"/>
        <v>6.6318147024978973E-3</v>
      </c>
      <c r="AW76" s="5">
        <f t="shared" ca="1" si="245"/>
        <v>7.2379692367919414E-3</v>
      </c>
      <c r="AX76" s="5">
        <f t="shared" ca="1" si="246"/>
        <v>6.4129097146139874E-3</v>
      </c>
      <c r="AY76" s="5">
        <f t="shared" ca="1" si="247"/>
        <v>6.8552664898877983E-3</v>
      </c>
      <c r="AZ76" s="5">
        <f t="shared" ca="1" si="248"/>
        <v>7.2145266946355329E-3</v>
      </c>
      <c r="BA76" s="5">
        <f t="shared" ca="1" si="249"/>
        <v>6.583227427250927E-3</v>
      </c>
      <c r="BB76" s="5">
        <f t="shared" ca="1" si="250"/>
        <v>6.7983262867540905E-3</v>
      </c>
      <c r="BC76" s="5">
        <f t="shared" ca="1" si="251"/>
        <v>6.6698103135324587E-3</v>
      </c>
      <c r="BD76" s="5">
        <f t="shared" ca="1" si="252"/>
        <v>6.7846372570772879E-3</v>
      </c>
      <c r="BE76" s="5">
        <f t="shared" ca="1" si="253"/>
        <v>7.3475217576980875E-3</v>
      </c>
      <c r="BF76" s="5">
        <f t="shared" ca="1" si="254"/>
        <v>7.0706103835124507E-3</v>
      </c>
      <c r="BG76" s="5">
        <f t="shared" ca="1" si="255"/>
        <v>6.6604781186582413E-3</v>
      </c>
      <c r="BH76" s="5">
        <f t="shared" ca="1" si="256"/>
        <v>6.139569473578731E-3</v>
      </c>
      <c r="BI76" s="5">
        <f t="shared" ca="1" si="257"/>
        <v>7.3751337656698364E-3</v>
      </c>
      <c r="BJ76" s="5">
        <f t="shared" ca="1" si="258"/>
        <v>7.1403623483525204E-3</v>
      </c>
      <c r="BK76" s="5">
        <f t="shared" ca="1" si="259"/>
        <v>7.0096649591277569E-3</v>
      </c>
      <c r="BL76" s="5">
        <f t="shared" ca="1" si="260"/>
        <v>7.0462783481625947E-3</v>
      </c>
      <c r="BM76" s="5">
        <f t="shared" ca="1" si="261"/>
        <v>6.372518161544884E-3</v>
      </c>
      <c r="BN76" s="5">
        <f t="shared" ca="1" si="262"/>
        <v>6.559691811789079E-3</v>
      </c>
      <c r="BO76" s="5">
        <f t="shared" ca="1" si="263"/>
        <v>7.0853776626941881E-3</v>
      </c>
      <c r="BP76" s="5">
        <f t="shared" ca="1" si="264"/>
        <v>6.9703136861239941E-3</v>
      </c>
      <c r="BQ76" s="5">
        <f t="shared" ca="1" si="265"/>
        <v>6.2266855644160374E-3</v>
      </c>
      <c r="BR76" s="5">
        <f t="shared" ca="1" si="266"/>
        <v>6.2777233705396274E-3</v>
      </c>
      <c r="BS76" s="5">
        <f t="shared" ca="1" si="267"/>
        <v>6.8261598870634765E-3</v>
      </c>
      <c r="BT76" s="5">
        <f t="shared" ca="1" si="268"/>
        <v>6.4892479853677553E-3</v>
      </c>
      <c r="BU76" s="5">
        <f t="shared" ca="1" si="269"/>
        <v>6.7874642108642835E-3</v>
      </c>
      <c r="BV76" s="5">
        <f t="shared" ca="1" si="270"/>
        <v>6.5914383473282016E-3</v>
      </c>
      <c r="BW76" s="5">
        <f t="shared" ca="1" si="271"/>
        <v>6.8331342522284996E-3</v>
      </c>
      <c r="BX76" s="5">
        <f t="shared" ca="1" si="272"/>
        <v>6.9312324109600887E-3</v>
      </c>
      <c r="BY76" s="5">
        <f t="shared" ca="1" si="273"/>
        <v>6.248244338904879E-3</v>
      </c>
      <c r="BZ76" s="5">
        <f t="shared" ca="1" si="274"/>
        <v>6.9654744230760752E-3</v>
      </c>
      <c r="CA76" s="5">
        <f t="shared" ca="1" si="275"/>
        <v>6.1757740239083642E-3</v>
      </c>
      <c r="CB76" s="5">
        <f t="shared" ca="1" si="276"/>
        <v>6.8982831749829802E-3</v>
      </c>
      <c r="CC76" s="5">
        <f t="shared" ca="1" si="277"/>
        <v>6.5187658106897429E-3</v>
      </c>
      <c r="CD76" s="5">
        <f t="shared" ca="1" si="278"/>
        <v>6.8285879384984002E-3</v>
      </c>
      <c r="CE76" s="5">
        <f t="shared" ca="1" si="279"/>
        <v>6.1981953845473368E-3</v>
      </c>
      <c r="CF76" s="5">
        <f t="shared" ca="1" si="280"/>
        <v>7.0473439774739657E-3</v>
      </c>
      <c r="CG76" s="5">
        <f t="shared" ca="1" si="281"/>
        <v>6.8765115548239959E-3</v>
      </c>
      <c r="CH76" s="5">
        <f t="shared" ca="1" si="282"/>
        <v>5.8800627389941629E-3</v>
      </c>
      <c r="CI76" s="5">
        <f t="shared" ca="1" si="283"/>
        <v>6.9071280652108985E-3</v>
      </c>
      <c r="CJ76" s="5">
        <f t="shared" ca="1" si="284"/>
        <v>7.0045174608351001E-3</v>
      </c>
      <c r="CK76" s="5">
        <f t="shared" ca="1" si="285"/>
        <v>6.9895080766437384E-3</v>
      </c>
      <c r="CL76" s="5">
        <f t="shared" ca="1" si="286"/>
        <v>7.0197758009121957E-3</v>
      </c>
      <c r="CM76" s="5">
        <f t="shared" ca="1" si="287"/>
        <v>6.8839821739525896E-3</v>
      </c>
      <c r="CN76" s="5">
        <f t="shared" ca="1" si="288"/>
        <v>6.5388222861776429E-3</v>
      </c>
      <c r="CO76" s="5">
        <f t="shared" ca="1" si="289"/>
        <v>6.7520399873493581E-3</v>
      </c>
      <c r="CP76" s="5">
        <f t="shared" ca="1" si="290"/>
        <v>7.006711151593307E-3</v>
      </c>
      <c r="CQ76" s="5">
        <f t="shared" ca="1" si="291"/>
        <v>6.9312333030847762E-3</v>
      </c>
      <c r="CR76" s="5">
        <f t="shared" ca="1" si="292"/>
        <v>6.952214784860431E-3</v>
      </c>
      <c r="CS76" s="5">
        <f t="shared" ca="1" si="293"/>
        <v>6.8400592303976757E-3</v>
      </c>
      <c r="CT76" s="5">
        <f t="shared" ca="1" si="294"/>
        <v>7.3584211870467075E-3</v>
      </c>
      <c r="CU76" s="5">
        <f t="shared" ca="1" si="295"/>
        <v>6.3858934144989934E-3</v>
      </c>
      <c r="CV76" s="5">
        <f t="shared" ca="1" si="296"/>
        <v>6.6525315527981039E-3</v>
      </c>
      <c r="CW76" s="5">
        <f t="shared" ca="1" si="297"/>
        <v>6.4444405316489289E-3</v>
      </c>
      <c r="CX76" s="5">
        <f t="shared" ca="1" si="298"/>
        <v>6.3062037308191741E-3</v>
      </c>
      <c r="CY76" s="5">
        <f t="shared" ca="1" si="299"/>
        <v>6.7245606922399356E-3</v>
      </c>
      <c r="CZ76" s="5">
        <f t="shared" ca="1" si="300"/>
        <v>5.883108375379989E-3</v>
      </c>
      <c r="DA76" s="5">
        <f t="shared" ca="1" si="301"/>
        <v>6.9259824718965963E-3</v>
      </c>
      <c r="DB76" s="5">
        <f t="shared" ca="1" si="302"/>
        <v>6.8661923368517697E-3</v>
      </c>
      <c r="DC76" s="5">
        <f t="shared" ca="1" si="303"/>
        <v>7.0756266407990681E-3</v>
      </c>
      <c r="DD76" s="5">
        <f t="shared" ca="1" si="304"/>
        <v>6.8092603671394579E-3</v>
      </c>
      <c r="DE76" s="5">
        <f t="shared" ca="1" si="305"/>
        <v>6.692205352806551E-3</v>
      </c>
      <c r="DF76" s="5">
        <f t="shared" ca="1" si="306"/>
        <v>6.4961125757176299E-3</v>
      </c>
      <c r="DG76" s="5">
        <f t="shared" ca="1" si="307"/>
        <v>6.6290632094930784E-3</v>
      </c>
      <c r="DH76" s="5">
        <f t="shared" ca="1" si="308"/>
        <v>6.7717840137454513E-3</v>
      </c>
      <c r="DI76" s="5">
        <f t="shared" ca="1" si="309"/>
        <v>6.8453745032630783E-3</v>
      </c>
      <c r="DJ76" s="5">
        <f t="shared" ca="1" si="310"/>
        <v>6.943969031190606E-3</v>
      </c>
    </row>
    <row r="77" spans="5:114" outlineLevel="1" x14ac:dyDescent="0.2">
      <c r="E77" s="32">
        <v>46813</v>
      </c>
      <c r="F77" s="9">
        <v>3554.2025500799996</v>
      </c>
      <c r="G77" s="5">
        <f t="shared" ca="1" si="208"/>
        <v>1.6078540321634117E-2</v>
      </c>
      <c r="H77" s="5">
        <f t="shared" ca="1" si="209"/>
        <v>6.2623574354049756E-3</v>
      </c>
      <c r="I77" s="9">
        <f t="shared" ca="1" si="210"/>
        <v>185193.66535597428</v>
      </c>
      <c r="K77" s="6">
        <v>73</v>
      </c>
      <c r="L77" s="5">
        <v>362084.26581831585</v>
      </c>
      <c r="N77" s="32">
        <v>46784</v>
      </c>
      <c r="O77" s="5">
        <f t="shared" ca="1" si="211"/>
        <v>6.6586412571155639E-3</v>
      </c>
      <c r="P77" s="5">
        <f t="shared" ca="1" si="212"/>
        <v>6.6132695539013239E-3</v>
      </c>
      <c r="Q77" s="5">
        <f t="shared" ca="1" si="213"/>
        <v>6.5547082936136397E-3</v>
      </c>
      <c r="R77" s="5">
        <f t="shared" ca="1" si="214"/>
        <v>6.4784790691634351E-3</v>
      </c>
      <c r="S77" s="5">
        <f t="shared" ca="1" si="215"/>
        <v>5.9735288398469087E-3</v>
      </c>
      <c r="T77" s="5">
        <f t="shared" ca="1" si="216"/>
        <v>5.9351003768825829E-3</v>
      </c>
      <c r="U77" s="5">
        <f t="shared" ca="1" si="217"/>
        <v>6.6568919891400666E-3</v>
      </c>
      <c r="V77" s="5">
        <f t="shared" ca="1" si="218"/>
        <v>6.4987572822150898E-3</v>
      </c>
      <c r="W77" s="5">
        <f t="shared" ca="1" si="219"/>
        <v>6.838452513868336E-3</v>
      </c>
      <c r="X77" s="5">
        <f t="shared" ca="1" si="220"/>
        <v>6.7973430535509674E-3</v>
      </c>
      <c r="Y77" s="5">
        <f t="shared" ca="1" si="221"/>
        <v>6.974343664442894E-3</v>
      </c>
      <c r="Z77" s="5">
        <f t="shared" ca="1" si="222"/>
        <v>7.1084049918573719E-3</v>
      </c>
      <c r="AA77" s="5">
        <f t="shared" ca="1" si="223"/>
        <v>6.7330740186098206E-3</v>
      </c>
      <c r="AB77" s="5">
        <f t="shared" ca="1" si="224"/>
        <v>7.0700164773492783E-3</v>
      </c>
      <c r="AC77" s="5">
        <f t="shared" ca="1" si="225"/>
        <v>6.9295392438965004E-3</v>
      </c>
      <c r="AD77" s="5">
        <f t="shared" ca="1" si="226"/>
        <v>6.6566518983518829E-3</v>
      </c>
      <c r="AE77" s="5">
        <f t="shared" ca="1" si="227"/>
        <v>7.1872134201183347E-3</v>
      </c>
      <c r="AF77" s="5">
        <f t="shared" ca="1" si="228"/>
        <v>6.7892850294934909E-3</v>
      </c>
      <c r="AG77" s="5">
        <f t="shared" ca="1" si="229"/>
        <v>7.0332045361011985E-3</v>
      </c>
      <c r="AH77" s="5">
        <f t="shared" ca="1" si="230"/>
        <v>6.343666073753554E-3</v>
      </c>
      <c r="AI77" s="5">
        <f t="shared" ca="1" si="231"/>
        <v>6.8272074394896114E-3</v>
      </c>
      <c r="AJ77" s="5">
        <f t="shared" ca="1" si="232"/>
        <v>6.5637776759749026E-3</v>
      </c>
      <c r="AK77" s="5">
        <f t="shared" ca="1" si="233"/>
        <v>6.9782234649555901E-3</v>
      </c>
      <c r="AL77" s="5">
        <f t="shared" ca="1" si="234"/>
        <v>6.4981025040013541E-3</v>
      </c>
      <c r="AM77" s="5">
        <f t="shared" ca="1" si="235"/>
        <v>6.7449371196693737E-3</v>
      </c>
      <c r="AN77" s="5">
        <f t="shared" ca="1" si="236"/>
        <v>6.9289760498779749E-3</v>
      </c>
      <c r="AO77" s="5">
        <f t="shared" ca="1" si="237"/>
        <v>7.5487253389344509E-3</v>
      </c>
      <c r="AP77" s="5">
        <f t="shared" ca="1" si="238"/>
        <v>6.6061166705574138E-3</v>
      </c>
      <c r="AQ77" s="5">
        <f t="shared" ca="1" si="239"/>
        <v>6.3474179075052699E-3</v>
      </c>
      <c r="AR77" s="5">
        <f t="shared" ca="1" si="240"/>
        <v>6.7600617039168054E-3</v>
      </c>
      <c r="AS77" s="5">
        <f t="shared" ca="1" si="241"/>
        <v>6.8843012347956593E-3</v>
      </c>
      <c r="AT77" s="5">
        <f t="shared" ca="1" si="242"/>
        <v>6.1173053686255155E-3</v>
      </c>
      <c r="AU77" s="5">
        <f t="shared" ca="1" si="243"/>
        <v>6.4807706208095421E-3</v>
      </c>
      <c r="AV77" s="5">
        <f t="shared" ca="1" si="244"/>
        <v>6.6253278145541614E-3</v>
      </c>
      <c r="AW77" s="5">
        <f t="shared" ca="1" si="245"/>
        <v>7.2416086468784667E-3</v>
      </c>
      <c r="AX77" s="5">
        <f t="shared" ca="1" si="246"/>
        <v>6.402757562051724E-3</v>
      </c>
      <c r="AY77" s="5">
        <f t="shared" ca="1" si="247"/>
        <v>6.820461409508807E-3</v>
      </c>
      <c r="AZ77" s="5">
        <f t="shared" ca="1" si="248"/>
        <v>7.2822838752992251E-3</v>
      </c>
      <c r="BA77" s="5">
        <f t="shared" ca="1" si="249"/>
        <v>6.5963304484456774E-3</v>
      </c>
      <c r="BB77" s="5">
        <f t="shared" ca="1" si="250"/>
        <v>6.781586256424753E-3</v>
      </c>
      <c r="BC77" s="5">
        <f t="shared" ca="1" si="251"/>
        <v>6.6546012921967438E-3</v>
      </c>
      <c r="BD77" s="5">
        <f t="shared" ca="1" si="252"/>
        <v>6.7087466044110679E-3</v>
      </c>
      <c r="BE77" s="5">
        <f t="shared" ca="1" si="253"/>
        <v>7.3976702504569176E-3</v>
      </c>
      <c r="BF77" s="5">
        <f t="shared" ca="1" si="254"/>
        <v>7.0439293178436264E-3</v>
      </c>
      <c r="BG77" s="5">
        <f t="shared" ca="1" si="255"/>
        <v>6.6682180823262492E-3</v>
      </c>
      <c r="BH77" s="5">
        <f t="shared" ca="1" si="256"/>
        <v>6.1008056030166123E-3</v>
      </c>
      <c r="BI77" s="5">
        <f t="shared" ca="1" si="257"/>
        <v>7.3505282913943516E-3</v>
      </c>
      <c r="BJ77" s="5">
        <f t="shared" ca="1" si="258"/>
        <v>7.1447854531192217E-3</v>
      </c>
      <c r="BK77" s="5">
        <f t="shared" ca="1" si="259"/>
        <v>7.0385157459350997E-3</v>
      </c>
      <c r="BL77" s="5">
        <f t="shared" ca="1" si="260"/>
        <v>7.0762823975970609E-3</v>
      </c>
      <c r="BM77" s="5">
        <f t="shared" ca="1" si="261"/>
        <v>6.4571196123006727E-3</v>
      </c>
      <c r="BN77" s="5">
        <f t="shared" ca="1" si="262"/>
        <v>6.6363891809150038E-3</v>
      </c>
      <c r="BO77" s="5">
        <f t="shared" ca="1" si="263"/>
        <v>7.0231802379796104E-3</v>
      </c>
      <c r="BP77" s="5">
        <f t="shared" ca="1" si="264"/>
        <v>6.949405367137766E-3</v>
      </c>
      <c r="BQ77" s="5">
        <f t="shared" ca="1" si="265"/>
        <v>6.2759602627076071E-3</v>
      </c>
      <c r="BR77" s="5">
        <f t="shared" ca="1" si="266"/>
        <v>6.3067413403276439E-3</v>
      </c>
      <c r="BS77" s="5">
        <f t="shared" ca="1" si="267"/>
        <v>6.7192866688919901E-3</v>
      </c>
      <c r="BT77" s="5">
        <f t="shared" ca="1" si="268"/>
        <v>6.4774199980565409E-3</v>
      </c>
      <c r="BU77" s="5">
        <f t="shared" ca="1" si="269"/>
        <v>6.7568972258415317E-3</v>
      </c>
      <c r="BV77" s="5">
        <f t="shared" ca="1" si="270"/>
        <v>6.5882827373673417E-3</v>
      </c>
      <c r="BW77" s="5">
        <f t="shared" ca="1" si="271"/>
        <v>6.868406571175976E-3</v>
      </c>
      <c r="BX77" s="5">
        <f t="shared" ca="1" si="272"/>
        <v>6.9738235159164854E-3</v>
      </c>
      <c r="BY77" s="5">
        <f t="shared" ca="1" si="273"/>
        <v>6.2943718947684807E-3</v>
      </c>
      <c r="BZ77" s="5">
        <f t="shared" ca="1" si="274"/>
        <v>6.9878032214567634E-3</v>
      </c>
      <c r="CA77" s="5">
        <f t="shared" ca="1" si="275"/>
        <v>6.0783904673566581E-3</v>
      </c>
      <c r="CB77" s="5">
        <f t="shared" ca="1" si="276"/>
        <v>6.8101412467433241E-3</v>
      </c>
      <c r="CC77" s="5">
        <f t="shared" ca="1" si="277"/>
        <v>6.4509524666773585E-3</v>
      </c>
      <c r="CD77" s="5">
        <f t="shared" ca="1" si="278"/>
        <v>6.8427477457942898E-3</v>
      </c>
      <c r="CE77" s="5">
        <f t="shared" ca="1" si="279"/>
        <v>6.1823123031490351E-3</v>
      </c>
      <c r="CF77" s="5">
        <f t="shared" ca="1" si="280"/>
        <v>7.0399194176017409E-3</v>
      </c>
      <c r="CG77" s="5">
        <f t="shared" ca="1" si="281"/>
        <v>6.8591779868667517E-3</v>
      </c>
      <c r="CH77" s="5">
        <f t="shared" ca="1" si="282"/>
        <v>5.9241050717757093E-3</v>
      </c>
      <c r="CI77" s="5">
        <f t="shared" ca="1" si="283"/>
        <v>6.9022072985282998E-3</v>
      </c>
      <c r="CJ77" s="5">
        <f t="shared" ca="1" si="284"/>
        <v>7.0820823829836387E-3</v>
      </c>
      <c r="CK77" s="5">
        <f t="shared" ca="1" si="285"/>
        <v>7.0184615617168928E-3</v>
      </c>
      <c r="CL77" s="5">
        <f t="shared" ca="1" si="286"/>
        <v>6.9892467078347519E-3</v>
      </c>
      <c r="CM77" s="5">
        <f t="shared" ca="1" si="287"/>
        <v>6.9168413538153294E-3</v>
      </c>
      <c r="CN77" s="5">
        <f t="shared" ca="1" si="288"/>
        <v>6.5940561900442278E-3</v>
      </c>
      <c r="CO77" s="5">
        <f t="shared" ca="1" si="289"/>
        <v>6.7553273189445403E-3</v>
      </c>
      <c r="CP77" s="5">
        <f t="shared" ca="1" si="290"/>
        <v>7.006681166912658E-3</v>
      </c>
      <c r="CQ77" s="5">
        <f t="shared" ca="1" si="291"/>
        <v>6.8495990247906934E-3</v>
      </c>
      <c r="CR77" s="5">
        <f t="shared" ca="1" si="292"/>
        <v>6.890961437437961E-3</v>
      </c>
      <c r="CS77" s="5">
        <f t="shared" ca="1" si="293"/>
        <v>6.845948688444895E-3</v>
      </c>
      <c r="CT77" s="5">
        <f t="shared" ca="1" si="294"/>
        <v>7.3517900312657022E-3</v>
      </c>
      <c r="CU77" s="5">
        <f t="shared" ca="1" si="295"/>
        <v>6.3914403153336064E-3</v>
      </c>
      <c r="CV77" s="5">
        <f t="shared" ca="1" si="296"/>
        <v>6.6429727646830682E-3</v>
      </c>
      <c r="CW77" s="5">
        <f t="shared" ca="1" si="297"/>
        <v>6.4231923748585967E-3</v>
      </c>
      <c r="CX77" s="5">
        <f t="shared" ca="1" si="298"/>
        <v>6.3200183764420383E-3</v>
      </c>
      <c r="CY77" s="5">
        <f t="shared" ca="1" si="299"/>
        <v>6.7118490163589938E-3</v>
      </c>
      <c r="CZ77" s="5">
        <f t="shared" ca="1" si="300"/>
        <v>5.8783699396839934E-3</v>
      </c>
      <c r="DA77" s="5">
        <f t="shared" ca="1" si="301"/>
        <v>6.9319223537287634E-3</v>
      </c>
      <c r="DB77" s="5">
        <f t="shared" ca="1" si="302"/>
        <v>6.8431411914851034E-3</v>
      </c>
      <c r="DC77" s="5">
        <f t="shared" ca="1" si="303"/>
        <v>7.0739345941585249E-3</v>
      </c>
      <c r="DD77" s="5">
        <f t="shared" ca="1" si="304"/>
        <v>6.8657518306232549E-3</v>
      </c>
      <c r="DE77" s="5">
        <f t="shared" ca="1" si="305"/>
        <v>6.6665627831098487E-3</v>
      </c>
      <c r="DF77" s="5">
        <f t="shared" ca="1" si="306"/>
        <v>6.4558958681116638E-3</v>
      </c>
      <c r="DG77" s="5">
        <f t="shared" ca="1" si="307"/>
        <v>6.5744442352148064E-3</v>
      </c>
      <c r="DH77" s="5">
        <f t="shared" ca="1" si="308"/>
        <v>6.7630572292595335E-3</v>
      </c>
      <c r="DI77" s="5">
        <f t="shared" ca="1" si="309"/>
        <v>6.7585044828037105E-3</v>
      </c>
      <c r="DJ77" s="5">
        <f t="shared" ca="1" si="310"/>
        <v>6.8864881689737383E-3</v>
      </c>
    </row>
    <row r="78" spans="5:114" outlineLevel="1" x14ac:dyDescent="0.2">
      <c r="E78" s="32">
        <v>46844</v>
      </c>
      <c r="F78" s="9">
        <v>3554.2025500799996</v>
      </c>
      <c r="G78" s="5">
        <f t="shared" ca="1" si="208"/>
        <v>-7.6887760002030361E-2</v>
      </c>
      <c r="H78" s="5">
        <f t="shared" ca="1" si="209"/>
        <v>6.2766503709020104E-3</v>
      </c>
      <c r="I78" s="9">
        <f t="shared" ca="1" si="210"/>
        <v>188844.75956766919</v>
      </c>
      <c r="K78" s="6">
        <v>74</v>
      </c>
      <c r="L78" s="5">
        <v>362348.18593865359</v>
      </c>
      <c r="N78" s="32">
        <v>46813</v>
      </c>
      <c r="O78" s="5">
        <f t="shared" ca="1" si="211"/>
        <v>6.6977651550548948E-3</v>
      </c>
      <c r="P78" s="5">
        <f t="shared" ca="1" si="212"/>
        <v>6.5997337470334238E-3</v>
      </c>
      <c r="Q78" s="5">
        <f t="shared" ca="1" si="213"/>
        <v>6.4995464028409248E-3</v>
      </c>
      <c r="R78" s="5">
        <f t="shared" ca="1" si="214"/>
        <v>6.4430331107948368E-3</v>
      </c>
      <c r="S78" s="5">
        <f t="shared" ca="1" si="215"/>
        <v>5.9743966377298983E-3</v>
      </c>
      <c r="T78" s="5">
        <f t="shared" ca="1" si="216"/>
        <v>5.9820538985681428E-3</v>
      </c>
      <c r="U78" s="5">
        <f t="shared" ca="1" si="217"/>
        <v>6.6474019102419693E-3</v>
      </c>
      <c r="V78" s="5">
        <f t="shared" ca="1" si="218"/>
        <v>6.5487988334864151E-3</v>
      </c>
      <c r="W78" s="5">
        <f t="shared" ca="1" si="219"/>
        <v>6.8430642235334247E-3</v>
      </c>
      <c r="X78" s="5">
        <f t="shared" ca="1" si="220"/>
        <v>6.7997776065196591E-3</v>
      </c>
      <c r="Y78" s="5">
        <f t="shared" ca="1" si="221"/>
        <v>6.9273411593389483E-3</v>
      </c>
      <c r="Z78" s="5">
        <f t="shared" ca="1" si="222"/>
        <v>7.1964371103561105E-3</v>
      </c>
      <c r="AA78" s="5">
        <f t="shared" ca="1" si="223"/>
        <v>6.7715743725326088E-3</v>
      </c>
      <c r="AB78" s="5">
        <f t="shared" ca="1" si="224"/>
        <v>7.0814220630022297E-3</v>
      </c>
      <c r="AC78" s="5">
        <f t="shared" ca="1" si="225"/>
        <v>6.964457760207471E-3</v>
      </c>
      <c r="AD78" s="5">
        <f t="shared" ca="1" si="226"/>
        <v>6.622668930019027E-3</v>
      </c>
      <c r="AE78" s="5">
        <f t="shared" ca="1" si="227"/>
        <v>7.1864435728878498E-3</v>
      </c>
      <c r="AF78" s="5">
        <f t="shared" ca="1" si="228"/>
        <v>6.7992270923955466E-3</v>
      </c>
      <c r="AG78" s="5">
        <f t="shared" ca="1" si="229"/>
        <v>7.0511858738688598E-3</v>
      </c>
      <c r="AH78" s="5">
        <f t="shared" ca="1" si="230"/>
        <v>6.2698023373953969E-3</v>
      </c>
      <c r="AI78" s="5">
        <f t="shared" ca="1" si="231"/>
        <v>6.8710463388740924E-3</v>
      </c>
      <c r="AJ78" s="5">
        <f t="shared" ca="1" si="232"/>
        <v>6.5368630688998636E-3</v>
      </c>
      <c r="AK78" s="5">
        <f t="shared" ca="1" si="233"/>
        <v>6.9217859560680283E-3</v>
      </c>
      <c r="AL78" s="5">
        <f t="shared" ca="1" si="234"/>
        <v>6.5075003975462904E-3</v>
      </c>
      <c r="AM78" s="5">
        <f t="shared" ca="1" si="235"/>
        <v>6.7889981282496254E-3</v>
      </c>
      <c r="AN78" s="5">
        <f t="shared" ca="1" si="236"/>
        <v>6.888176967276516E-3</v>
      </c>
      <c r="AO78" s="5">
        <f t="shared" ca="1" si="237"/>
        <v>7.6100288353979795E-3</v>
      </c>
      <c r="AP78" s="5">
        <f t="shared" ca="1" si="238"/>
        <v>6.5971172113723211E-3</v>
      </c>
      <c r="AQ78" s="5">
        <f t="shared" ca="1" si="239"/>
        <v>6.3810156137719077E-3</v>
      </c>
      <c r="AR78" s="5">
        <f t="shared" ca="1" si="240"/>
        <v>6.7319661351188647E-3</v>
      </c>
      <c r="AS78" s="5">
        <f t="shared" ca="1" si="241"/>
        <v>6.8710680722277326E-3</v>
      </c>
      <c r="AT78" s="5">
        <f t="shared" ca="1" si="242"/>
        <v>6.0944478116097137E-3</v>
      </c>
      <c r="AU78" s="5">
        <f t="shared" ca="1" si="243"/>
        <v>6.4195285228625899E-3</v>
      </c>
      <c r="AV78" s="5">
        <f t="shared" ca="1" si="244"/>
        <v>6.577069016599154E-3</v>
      </c>
      <c r="AW78" s="5">
        <f t="shared" ca="1" si="245"/>
        <v>7.2269302356243684E-3</v>
      </c>
      <c r="AX78" s="5">
        <f t="shared" ca="1" si="246"/>
        <v>6.443499813456057E-3</v>
      </c>
      <c r="AY78" s="5">
        <f t="shared" ca="1" si="247"/>
        <v>6.7733806805743693E-3</v>
      </c>
      <c r="AZ78" s="5">
        <f t="shared" ca="1" si="248"/>
        <v>7.2301489809961528E-3</v>
      </c>
      <c r="BA78" s="5">
        <f t="shared" ca="1" si="249"/>
        <v>6.6172825781567095E-3</v>
      </c>
      <c r="BB78" s="5">
        <f t="shared" ca="1" si="250"/>
        <v>6.7532697783285319E-3</v>
      </c>
      <c r="BC78" s="5">
        <f t="shared" ca="1" si="251"/>
        <v>6.6826457786050199E-3</v>
      </c>
      <c r="BD78" s="5">
        <f t="shared" ca="1" si="252"/>
        <v>6.6674255467700254E-3</v>
      </c>
      <c r="BE78" s="5">
        <f t="shared" ca="1" si="253"/>
        <v>7.4009843467089395E-3</v>
      </c>
      <c r="BF78" s="5">
        <f t="shared" ca="1" si="254"/>
        <v>7.0379837215719969E-3</v>
      </c>
      <c r="BG78" s="5">
        <f t="shared" ca="1" si="255"/>
        <v>6.808925037826769E-3</v>
      </c>
      <c r="BH78" s="5">
        <f t="shared" ca="1" si="256"/>
        <v>6.1098065415831227E-3</v>
      </c>
      <c r="BI78" s="5">
        <f t="shared" ca="1" si="257"/>
        <v>7.258244266959795E-3</v>
      </c>
      <c r="BJ78" s="5">
        <f t="shared" ca="1" si="258"/>
        <v>7.1169195368335388E-3</v>
      </c>
      <c r="BK78" s="5">
        <f t="shared" ca="1" si="259"/>
        <v>6.9985269982956082E-3</v>
      </c>
      <c r="BL78" s="5">
        <f t="shared" ca="1" si="260"/>
        <v>7.1237928119339119E-3</v>
      </c>
      <c r="BM78" s="5">
        <f t="shared" ca="1" si="261"/>
        <v>6.50426857979666E-3</v>
      </c>
      <c r="BN78" s="5">
        <f t="shared" ca="1" si="262"/>
        <v>6.5275346554613794E-3</v>
      </c>
      <c r="BO78" s="5">
        <f t="shared" ca="1" si="263"/>
        <v>7.0016888901830677E-3</v>
      </c>
      <c r="BP78" s="5">
        <f t="shared" ca="1" si="264"/>
        <v>7.0362304948069143E-3</v>
      </c>
      <c r="BQ78" s="5">
        <f t="shared" ca="1" si="265"/>
        <v>6.2329180695898673E-3</v>
      </c>
      <c r="BR78" s="5">
        <f t="shared" ca="1" si="266"/>
        <v>6.3167843094634087E-3</v>
      </c>
      <c r="BS78" s="5">
        <f t="shared" ca="1" si="267"/>
        <v>6.7015459673751684E-3</v>
      </c>
      <c r="BT78" s="5">
        <f t="shared" ca="1" si="268"/>
        <v>6.4591058879215017E-3</v>
      </c>
      <c r="BU78" s="5">
        <f t="shared" ca="1" si="269"/>
        <v>6.6843628714131041E-3</v>
      </c>
      <c r="BV78" s="5">
        <f t="shared" ca="1" si="270"/>
        <v>6.633210181662897E-3</v>
      </c>
      <c r="BW78" s="5">
        <f t="shared" ca="1" si="271"/>
        <v>6.8268208509293538E-3</v>
      </c>
      <c r="BX78" s="5">
        <f t="shared" ca="1" si="272"/>
        <v>6.9021649906189989E-3</v>
      </c>
      <c r="BY78" s="5">
        <f t="shared" ca="1" si="273"/>
        <v>6.3291268001341395E-3</v>
      </c>
      <c r="BZ78" s="5">
        <f t="shared" ca="1" si="274"/>
        <v>7.0901175019140329E-3</v>
      </c>
      <c r="CA78" s="5">
        <f t="shared" ca="1" si="275"/>
        <v>6.084816195940655E-3</v>
      </c>
      <c r="CB78" s="5">
        <f t="shared" ca="1" si="276"/>
        <v>6.7680784199887307E-3</v>
      </c>
      <c r="CC78" s="5">
        <f t="shared" ca="1" si="277"/>
        <v>6.3678804609241541E-3</v>
      </c>
      <c r="CD78" s="5">
        <f t="shared" ca="1" si="278"/>
        <v>6.8229050097660662E-3</v>
      </c>
      <c r="CE78" s="5">
        <f t="shared" ca="1" si="279"/>
        <v>6.198566054580832E-3</v>
      </c>
      <c r="CF78" s="5">
        <f t="shared" ca="1" si="280"/>
        <v>7.0837201792466531E-3</v>
      </c>
      <c r="CG78" s="5">
        <f t="shared" ca="1" si="281"/>
        <v>6.8482648673180548E-3</v>
      </c>
      <c r="CH78" s="5">
        <f t="shared" ca="1" si="282"/>
        <v>5.9025971204035577E-3</v>
      </c>
      <c r="CI78" s="5">
        <f t="shared" ca="1" si="283"/>
        <v>6.9411511986462648E-3</v>
      </c>
      <c r="CJ78" s="5">
        <f t="shared" ca="1" si="284"/>
        <v>7.0884201639954047E-3</v>
      </c>
      <c r="CK78" s="5">
        <f t="shared" ca="1" si="285"/>
        <v>7.0120579801641672E-3</v>
      </c>
      <c r="CL78" s="5">
        <f t="shared" ca="1" si="286"/>
        <v>7.0298657230833264E-3</v>
      </c>
      <c r="CM78" s="5">
        <f t="shared" ca="1" si="287"/>
        <v>6.9832614670767871E-3</v>
      </c>
      <c r="CN78" s="5">
        <f t="shared" ca="1" si="288"/>
        <v>6.5989428372680023E-3</v>
      </c>
      <c r="CO78" s="5">
        <f t="shared" ca="1" si="289"/>
        <v>6.7628251283292067E-3</v>
      </c>
      <c r="CP78" s="5">
        <f t="shared" ca="1" si="290"/>
        <v>6.9540385778243067E-3</v>
      </c>
      <c r="CQ78" s="5">
        <f t="shared" ca="1" si="291"/>
        <v>6.8672244821295723E-3</v>
      </c>
      <c r="CR78" s="5">
        <f t="shared" ca="1" si="292"/>
        <v>6.8412537215356839E-3</v>
      </c>
      <c r="CS78" s="5">
        <f t="shared" ca="1" si="293"/>
        <v>6.8499144455242272E-3</v>
      </c>
      <c r="CT78" s="5">
        <f t="shared" ca="1" si="294"/>
        <v>7.2409833420515228E-3</v>
      </c>
      <c r="CU78" s="5">
        <f t="shared" ca="1" si="295"/>
        <v>6.417939777833657E-3</v>
      </c>
      <c r="CV78" s="5">
        <f t="shared" ca="1" si="296"/>
        <v>6.6200551766761638E-3</v>
      </c>
      <c r="CW78" s="5">
        <f t="shared" ca="1" si="297"/>
        <v>6.4035305126752921E-3</v>
      </c>
      <c r="CX78" s="5">
        <f t="shared" ca="1" si="298"/>
        <v>6.2963814042026976E-3</v>
      </c>
      <c r="CY78" s="5">
        <f t="shared" ca="1" si="299"/>
        <v>6.7305076489551485E-3</v>
      </c>
      <c r="CZ78" s="5">
        <f t="shared" ca="1" si="300"/>
        <v>5.9049241656219846E-3</v>
      </c>
      <c r="DA78" s="5">
        <f t="shared" ca="1" si="301"/>
        <v>6.9287533280671656E-3</v>
      </c>
      <c r="DB78" s="5">
        <f t="shared" ca="1" si="302"/>
        <v>6.8754144783457361E-3</v>
      </c>
      <c r="DC78" s="5">
        <f t="shared" ca="1" si="303"/>
        <v>7.0344820376865066E-3</v>
      </c>
      <c r="DD78" s="5">
        <f t="shared" ca="1" si="304"/>
        <v>6.8484772771086524E-3</v>
      </c>
      <c r="DE78" s="5">
        <f t="shared" ca="1" si="305"/>
        <v>6.6986221917196493E-3</v>
      </c>
      <c r="DF78" s="5">
        <f t="shared" ca="1" si="306"/>
        <v>6.488866678546654E-3</v>
      </c>
      <c r="DG78" s="5">
        <f t="shared" ca="1" si="307"/>
        <v>6.6241318133210296E-3</v>
      </c>
      <c r="DH78" s="5">
        <f t="shared" ca="1" si="308"/>
        <v>6.8054917871836693E-3</v>
      </c>
      <c r="DI78" s="5">
        <f t="shared" ca="1" si="309"/>
        <v>6.7382613226920577E-3</v>
      </c>
      <c r="DJ78" s="5">
        <f t="shared" ca="1" si="310"/>
        <v>6.9036660193778146E-3</v>
      </c>
    </row>
    <row r="79" spans="5:114" outlineLevel="1" x14ac:dyDescent="0.2">
      <c r="E79" s="32">
        <v>46874</v>
      </c>
      <c r="F79" s="9">
        <v>3554.2025500799996</v>
      </c>
      <c r="G79" s="5">
        <f t="shared" ca="1" si="208"/>
        <v>-4.2008241062136437E-2</v>
      </c>
      <c r="H79" s="5">
        <f t="shared" ca="1" si="209"/>
        <v>6.243195293297984E-3</v>
      </c>
      <c r="I79" s="9">
        <f t="shared" ca="1" si="210"/>
        <v>192497.23723965627</v>
      </c>
      <c r="K79" s="6">
        <v>75</v>
      </c>
      <c r="L79" s="5">
        <v>362250.23507758213</v>
      </c>
      <c r="N79" s="32">
        <v>46844</v>
      </c>
      <c r="O79" s="5">
        <f t="shared" ca="1" si="211"/>
        <v>6.7630479074435807E-3</v>
      </c>
      <c r="P79" s="5">
        <f t="shared" ca="1" si="212"/>
        <v>6.652010022035716E-3</v>
      </c>
      <c r="Q79" s="5">
        <f t="shared" ca="1" si="213"/>
        <v>6.5420418018249807E-3</v>
      </c>
      <c r="R79" s="5">
        <f t="shared" ca="1" si="214"/>
        <v>6.4504293213734935E-3</v>
      </c>
      <c r="S79" s="5">
        <f t="shared" ca="1" si="215"/>
        <v>5.941994268209033E-3</v>
      </c>
      <c r="T79" s="5">
        <f t="shared" ca="1" si="216"/>
        <v>6.039889864294933E-3</v>
      </c>
      <c r="U79" s="5">
        <f t="shared" ca="1" si="217"/>
        <v>6.6934886042077325E-3</v>
      </c>
      <c r="V79" s="5">
        <f t="shared" ca="1" si="218"/>
        <v>6.516259382017481E-3</v>
      </c>
      <c r="W79" s="5">
        <f t="shared" ca="1" si="219"/>
        <v>6.8244107605924574E-3</v>
      </c>
      <c r="X79" s="5">
        <f t="shared" ca="1" si="220"/>
        <v>6.7676908559462928E-3</v>
      </c>
      <c r="Y79" s="5">
        <f t="shared" ca="1" si="221"/>
        <v>6.895420207627222E-3</v>
      </c>
      <c r="Z79" s="5">
        <f t="shared" ca="1" si="222"/>
        <v>7.2847314479631336E-3</v>
      </c>
      <c r="AA79" s="5">
        <f t="shared" ca="1" si="223"/>
        <v>6.7937761338216895E-3</v>
      </c>
      <c r="AB79" s="5">
        <f t="shared" ca="1" si="224"/>
        <v>7.0296111036095245E-3</v>
      </c>
      <c r="AC79" s="5">
        <f t="shared" ca="1" si="225"/>
        <v>6.9486589408904419E-3</v>
      </c>
      <c r="AD79" s="5">
        <f t="shared" ca="1" si="226"/>
        <v>6.6323924673777294E-3</v>
      </c>
      <c r="AE79" s="5">
        <f t="shared" ca="1" si="227"/>
        <v>7.1736637451503635E-3</v>
      </c>
      <c r="AF79" s="5">
        <f t="shared" ca="1" si="228"/>
        <v>6.769563403989114E-3</v>
      </c>
      <c r="AG79" s="5">
        <f t="shared" ca="1" si="229"/>
        <v>7.0557271622329124E-3</v>
      </c>
      <c r="AH79" s="5">
        <f t="shared" ca="1" si="230"/>
        <v>6.3700090589812559E-3</v>
      </c>
      <c r="AI79" s="5">
        <f t="shared" ca="1" si="231"/>
        <v>6.9082815733210639E-3</v>
      </c>
      <c r="AJ79" s="5">
        <f t="shared" ca="1" si="232"/>
        <v>6.5864959321676984E-3</v>
      </c>
      <c r="AK79" s="5">
        <f t="shared" ca="1" si="233"/>
        <v>7.0500803701496213E-3</v>
      </c>
      <c r="AL79" s="5">
        <f t="shared" ca="1" si="234"/>
        <v>6.5530351765608541E-3</v>
      </c>
      <c r="AM79" s="5">
        <f t="shared" ca="1" si="235"/>
        <v>6.8245330927539276E-3</v>
      </c>
      <c r="AN79" s="5">
        <f t="shared" ca="1" si="236"/>
        <v>6.8809435615573584E-3</v>
      </c>
      <c r="AO79" s="5">
        <f t="shared" ca="1" si="237"/>
        <v>7.5936212258372318E-3</v>
      </c>
      <c r="AP79" s="5">
        <f t="shared" ca="1" si="238"/>
        <v>6.6198251956324748E-3</v>
      </c>
      <c r="AQ79" s="5">
        <f t="shared" ca="1" si="239"/>
        <v>6.3639811481710608E-3</v>
      </c>
      <c r="AR79" s="5">
        <f t="shared" ca="1" si="240"/>
        <v>6.7198045654768279E-3</v>
      </c>
      <c r="AS79" s="5">
        <f t="shared" ca="1" si="241"/>
        <v>6.8192561390037505E-3</v>
      </c>
      <c r="AT79" s="5">
        <f t="shared" ca="1" si="242"/>
        <v>6.0124103180475234E-3</v>
      </c>
      <c r="AU79" s="5">
        <f t="shared" ca="1" si="243"/>
        <v>6.385654827126404E-3</v>
      </c>
      <c r="AV79" s="5">
        <f t="shared" ca="1" si="244"/>
        <v>6.5843614547771824E-3</v>
      </c>
      <c r="AW79" s="5">
        <f t="shared" ca="1" si="245"/>
        <v>7.2190461136659575E-3</v>
      </c>
      <c r="AX79" s="5">
        <f t="shared" ca="1" si="246"/>
        <v>6.4799031481773076E-3</v>
      </c>
      <c r="AY79" s="5">
        <f t="shared" ca="1" si="247"/>
        <v>6.7643597905951451E-3</v>
      </c>
      <c r="AZ79" s="5">
        <f t="shared" ca="1" si="248"/>
        <v>7.2173413290135147E-3</v>
      </c>
      <c r="BA79" s="5">
        <f t="shared" ca="1" si="249"/>
        <v>6.5976576706989996E-3</v>
      </c>
      <c r="BB79" s="5">
        <f t="shared" ca="1" si="250"/>
        <v>6.7877181259945575E-3</v>
      </c>
      <c r="BC79" s="5">
        <f t="shared" ca="1" si="251"/>
        <v>6.695835351153887E-3</v>
      </c>
      <c r="BD79" s="5">
        <f t="shared" ca="1" si="252"/>
        <v>6.6618305374389342E-3</v>
      </c>
      <c r="BE79" s="5">
        <f t="shared" ca="1" si="253"/>
        <v>7.3613655641542146E-3</v>
      </c>
      <c r="BF79" s="5">
        <f t="shared" ca="1" si="254"/>
        <v>6.9943156521385151E-3</v>
      </c>
      <c r="BG79" s="5">
        <f t="shared" ca="1" si="255"/>
        <v>6.8710531890683151E-3</v>
      </c>
      <c r="BH79" s="5">
        <f t="shared" ca="1" si="256"/>
        <v>6.0975527998653259E-3</v>
      </c>
      <c r="BI79" s="5">
        <f t="shared" ca="1" si="257"/>
        <v>7.3109365359229645E-3</v>
      </c>
      <c r="BJ79" s="5">
        <f t="shared" ca="1" si="258"/>
        <v>7.0725854967503294E-3</v>
      </c>
      <c r="BK79" s="5">
        <f t="shared" ca="1" si="259"/>
        <v>7.0177932959605387E-3</v>
      </c>
      <c r="BL79" s="5">
        <f t="shared" ca="1" si="260"/>
        <v>7.0547014042123581E-3</v>
      </c>
      <c r="BM79" s="5">
        <f t="shared" ca="1" si="261"/>
        <v>6.4888765168673122E-3</v>
      </c>
      <c r="BN79" s="5">
        <f t="shared" ca="1" si="262"/>
        <v>6.5274363753689228E-3</v>
      </c>
      <c r="BO79" s="5">
        <f t="shared" ca="1" si="263"/>
        <v>6.9378593134410008E-3</v>
      </c>
      <c r="BP79" s="5">
        <f t="shared" ca="1" si="264"/>
        <v>7.0890413234580701E-3</v>
      </c>
      <c r="BQ79" s="5">
        <f t="shared" ca="1" si="265"/>
        <v>6.2341695028709683E-3</v>
      </c>
      <c r="BR79" s="5">
        <f t="shared" ca="1" si="266"/>
        <v>6.3146647354403E-3</v>
      </c>
      <c r="BS79" s="5">
        <f t="shared" ca="1" si="267"/>
        <v>6.7038843420006815E-3</v>
      </c>
      <c r="BT79" s="5">
        <f t="shared" ca="1" si="268"/>
        <v>6.4389980636855434E-3</v>
      </c>
      <c r="BU79" s="5">
        <f t="shared" ca="1" si="269"/>
        <v>6.6268570805906391E-3</v>
      </c>
      <c r="BV79" s="5">
        <f t="shared" ca="1" si="270"/>
        <v>6.6002819111977088E-3</v>
      </c>
      <c r="BW79" s="5">
        <f t="shared" ca="1" si="271"/>
        <v>6.7847680243108477E-3</v>
      </c>
      <c r="BX79" s="5">
        <f t="shared" ca="1" si="272"/>
        <v>6.9014376404299711E-3</v>
      </c>
      <c r="BY79" s="5">
        <f t="shared" ca="1" si="273"/>
        <v>6.3312214881462107E-3</v>
      </c>
      <c r="BZ79" s="5">
        <f t="shared" ca="1" si="274"/>
        <v>7.1076346660128445E-3</v>
      </c>
      <c r="CA79" s="5">
        <f t="shared" ca="1" si="275"/>
        <v>6.0941324609882176E-3</v>
      </c>
      <c r="CB79" s="5">
        <f t="shared" ca="1" si="276"/>
        <v>6.6927450042609986E-3</v>
      </c>
      <c r="CC79" s="5">
        <f t="shared" ca="1" si="277"/>
        <v>6.4024222158363363E-3</v>
      </c>
      <c r="CD79" s="5">
        <f t="shared" ca="1" si="278"/>
        <v>6.8706259124037584E-3</v>
      </c>
      <c r="CE79" s="5">
        <f t="shared" ca="1" si="279"/>
        <v>6.2899209154412801E-3</v>
      </c>
      <c r="CF79" s="5">
        <f t="shared" ca="1" si="280"/>
        <v>7.0295034980262803E-3</v>
      </c>
      <c r="CG79" s="5">
        <f t="shared" ca="1" si="281"/>
        <v>6.8298868623921215E-3</v>
      </c>
      <c r="CH79" s="5">
        <f t="shared" ca="1" si="282"/>
        <v>5.9285172374390965E-3</v>
      </c>
      <c r="CI79" s="5">
        <f t="shared" ca="1" si="283"/>
        <v>6.967188496817071E-3</v>
      </c>
      <c r="CJ79" s="5">
        <f t="shared" ca="1" si="284"/>
        <v>7.041884845243338E-3</v>
      </c>
      <c r="CK79" s="5">
        <f t="shared" ca="1" si="285"/>
        <v>7.0844295746125326E-3</v>
      </c>
      <c r="CL79" s="5">
        <f t="shared" ca="1" si="286"/>
        <v>7.0024910489182397E-3</v>
      </c>
      <c r="CM79" s="5">
        <f t="shared" ca="1" si="287"/>
        <v>6.9813875103674327E-3</v>
      </c>
      <c r="CN79" s="5">
        <f t="shared" ca="1" si="288"/>
        <v>6.5796723546295306E-3</v>
      </c>
      <c r="CO79" s="5">
        <f t="shared" ca="1" si="289"/>
        <v>6.7407098775188155E-3</v>
      </c>
      <c r="CP79" s="5">
        <f t="shared" ca="1" si="290"/>
        <v>6.8735842063602686E-3</v>
      </c>
      <c r="CQ79" s="5">
        <f t="shared" ca="1" si="291"/>
        <v>6.8521322614429631E-3</v>
      </c>
      <c r="CR79" s="5">
        <f t="shared" ca="1" si="292"/>
        <v>6.9112552116475309E-3</v>
      </c>
      <c r="CS79" s="5">
        <f t="shared" ca="1" si="293"/>
        <v>6.8422970003493367E-3</v>
      </c>
      <c r="CT79" s="5">
        <f t="shared" ca="1" si="294"/>
        <v>7.2411162684281978E-3</v>
      </c>
      <c r="CU79" s="5">
        <f t="shared" ca="1" si="295"/>
        <v>6.4157702872523134E-3</v>
      </c>
      <c r="CV79" s="5">
        <f t="shared" ca="1" si="296"/>
        <v>6.6328498945692326E-3</v>
      </c>
      <c r="CW79" s="5">
        <f t="shared" ca="1" si="297"/>
        <v>6.3143807186184439E-3</v>
      </c>
      <c r="CX79" s="5">
        <f t="shared" ca="1" si="298"/>
        <v>6.2669043927555644E-3</v>
      </c>
      <c r="CY79" s="5">
        <f t="shared" ca="1" si="299"/>
        <v>6.7469704242925982E-3</v>
      </c>
      <c r="CZ79" s="5">
        <f t="shared" ca="1" si="300"/>
        <v>5.8445213531257804E-3</v>
      </c>
      <c r="DA79" s="5">
        <f t="shared" ca="1" si="301"/>
        <v>6.9453082939778003E-3</v>
      </c>
      <c r="DB79" s="5">
        <f t="shared" ca="1" si="302"/>
        <v>6.8055244622100032E-3</v>
      </c>
      <c r="DC79" s="5">
        <f t="shared" ca="1" si="303"/>
        <v>7.0700023465785243E-3</v>
      </c>
      <c r="DD79" s="5">
        <f t="shared" ca="1" si="304"/>
        <v>6.8599833250084057E-3</v>
      </c>
      <c r="DE79" s="5">
        <f t="shared" ca="1" si="305"/>
        <v>6.7014544906185457E-3</v>
      </c>
      <c r="DF79" s="5">
        <f t="shared" ca="1" si="306"/>
        <v>6.4854620608521861E-3</v>
      </c>
      <c r="DG79" s="5">
        <f t="shared" ca="1" si="307"/>
        <v>6.7017536167190122E-3</v>
      </c>
      <c r="DH79" s="5">
        <f t="shared" ca="1" si="308"/>
        <v>6.7121377059799524E-3</v>
      </c>
      <c r="DI79" s="5">
        <f t="shared" ca="1" si="309"/>
        <v>6.7307049528766228E-3</v>
      </c>
      <c r="DJ79" s="5">
        <f t="shared" ca="1" si="310"/>
        <v>6.9330461635077325E-3</v>
      </c>
    </row>
    <row r="80" spans="5:114" outlineLevel="1" x14ac:dyDescent="0.2">
      <c r="E80" s="32">
        <v>46905</v>
      </c>
      <c r="F80" s="9">
        <v>3554.2025500799996</v>
      </c>
      <c r="G80" s="5">
        <f t="shared" ca="1" si="208"/>
        <v>-7.081251524028126E-2</v>
      </c>
      <c r="H80" s="5">
        <f t="shared" ca="1" si="209"/>
        <v>6.2278187044929626E-3</v>
      </c>
      <c r="I80" s="9">
        <f t="shared" ca="1" si="210"/>
        <v>196151.36887622339</v>
      </c>
      <c r="K80" s="6">
        <v>76</v>
      </c>
      <c r="L80" s="5">
        <v>362425.43552761432</v>
      </c>
      <c r="N80" s="32">
        <v>46874</v>
      </c>
      <c r="O80" s="5">
        <f t="shared" ca="1" si="211"/>
        <v>6.8303201822155464E-3</v>
      </c>
      <c r="P80" s="5">
        <f t="shared" ca="1" si="212"/>
        <v>6.7058425809329806E-3</v>
      </c>
      <c r="Q80" s="5">
        <f t="shared" ca="1" si="213"/>
        <v>6.5987580811254151E-3</v>
      </c>
      <c r="R80" s="5">
        <f t="shared" ca="1" si="214"/>
        <v>6.4279657715320543E-3</v>
      </c>
      <c r="S80" s="5">
        <f t="shared" ca="1" si="215"/>
        <v>5.9391555086519962E-3</v>
      </c>
      <c r="T80" s="5">
        <f t="shared" ca="1" si="216"/>
        <v>6.0391406043066535E-3</v>
      </c>
      <c r="U80" s="5">
        <f t="shared" ca="1" si="217"/>
        <v>6.7297457966535969E-3</v>
      </c>
      <c r="V80" s="5">
        <f t="shared" ca="1" si="218"/>
        <v>6.5228722571152474E-3</v>
      </c>
      <c r="W80" s="5">
        <f t="shared" ca="1" si="219"/>
        <v>6.8246741568295339E-3</v>
      </c>
      <c r="X80" s="5">
        <f t="shared" ca="1" si="220"/>
        <v>6.7988752507866859E-3</v>
      </c>
      <c r="Y80" s="5">
        <f t="shared" ca="1" si="221"/>
        <v>6.9321094825093186E-3</v>
      </c>
      <c r="Z80" s="5">
        <f t="shared" ca="1" si="222"/>
        <v>7.3198509041100725E-3</v>
      </c>
      <c r="AA80" s="5">
        <f t="shared" ca="1" si="223"/>
        <v>6.808660026995093E-3</v>
      </c>
      <c r="AB80" s="5">
        <f t="shared" ca="1" si="224"/>
        <v>7.1119326326894196E-3</v>
      </c>
      <c r="AC80" s="5">
        <f t="shared" ca="1" si="225"/>
        <v>6.9897078365688007E-3</v>
      </c>
      <c r="AD80" s="5">
        <f t="shared" ca="1" si="226"/>
        <v>6.682521704542586E-3</v>
      </c>
      <c r="AE80" s="5">
        <f t="shared" ca="1" si="227"/>
        <v>7.1394259209272915E-3</v>
      </c>
      <c r="AF80" s="5">
        <f t="shared" ca="1" si="228"/>
        <v>6.8098480589298188E-3</v>
      </c>
      <c r="AG80" s="5">
        <f t="shared" ca="1" si="229"/>
        <v>6.9361602993890685E-3</v>
      </c>
      <c r="AH80" s="5">
        <f t="shared" ca="1" si="230"/>
        <v>6.3011255920308205E-3</v>
      </c>
      <c r="AI80" s="5">
        <f t="shared" ca="1" si="231"/>
        <v>6.9638763518658203E-3</v>
      </c>
      <c r="AJ80" s="5">
        <f t="shared" ca="1" si="232"/>
        <v>6.544242781309207E-3</v>
      </c>
      <c r="AK80" s="5">
        <f t="shared" ca="1" si="233"/>
        <v>7.0935863282602148E-3</v>
      </c>
      <c r="AL80" s="5">
        <f t="shared" ca="1" si="234"/>
        <v>6.555750737540918E-3</v>
      </c>
      <c r="AM80" s="5">
        <f t="shared" ca="1" si="235"/>
        <v>6.8161086837333117E-3</v>
      </c>
      <c r="AN80" s="5">
        <f t="shared" ca="1" si="236"/>
        <v>6.8874557494779005E-3</v>
      </c>
      <c r="AO80" s="5">
        <f t="shared" ca="1" si="237"/>
        <v>7.5565711535089198E-3</v>
      </c>
      <c r="AP80" s="5">
        <f t="shared" ca="1" si="238"/>
        <v>6.533404553380754E-3</v>
      </c>
      <c r="AQ80" s="5">
        <f t="shared" ca="1" si="239"/>
        <v>6.3954658490897355E-3</v>
      </c>
      <c r="AR80" s="5">
        <f t="shared" ca="1" si="240"/>
        <v>6.6690463320979209E-3</v>
      </c>
      <c r="AS80" s="5">
        <f t="shared" ca="1" si="241"/>
        <v>6.8304898955424522E-3</v>
      </c>
      <c r="AT80" s="5">
        <f t="shared" ca="1" si="242"/>
        <v>6.0099177237126818E-3</v>
      </c>
      <c r="AU80" s="5">
        <f t="shared" ca="1" si="243"/>
        <v>6.4173850427439363E-3</v>
      </c>
      <c r="AV80" s="5">
        <f t="shared" ca="1" si="244"/>
        <v>6.6137162811487167E-3</v>
      </c>
      <c r="AW80" s="5">
        <f t="shared" ca="1" si="245"/>
        <v>7.2047790756035414E-3</v>
      </c>
      <c r="AX80" s="5">
        <f t="shared" ca="1" si="246"/>
        <v>6.5382827609971892E-3</v>
      </c>
      <c r="AY80" s="5">
        <f t="shared" ca="1" si="247"/>
        <v>6.7293236863420524E-3</v>
      </c>
      <c r="AZ80" s="5">
        <f t="shared" ca="1" si="248"/>
        <v>7.2222173009183887E-3</v>
      </c>
      <c r="BA80" s="5">
        <f t="shared" ca="1" si="249"/>
        <v>6.629362242166998E-3</v>
      </c>
      <c r="BB80" s="5">
        <f t="shared" ca="1" si="250"/>
        <v>6.7956492279060273E-3</v>
      </c>
      <c r="BC80" s="5">
        <f t="shared" ca="1" si="251"/>
        <v>6.6621599318054461E-3</v>
      </c>
      <c r="BD80" s="5">
        <f t="shared" ca="1" si="252"/>
        <v>6.6631470140938601E-3</v>
      </c>
      <c r="BE80" s="5">
        <f t="shared" ca="1" si="253"/>
        <v>7.3954426286009052E-3</v>
      </c>
      <c r="BF80" s="5">
        <f t="shared" ca="1" si="254"/>
        <v>7.0162793362949036E-3</v>
      </c>
      <c r="BG80" s="5">
        <f t="shared" ca="1" si="255"/>
        <v>6.8197422379520289E-3</v>
      </c>
      <c r="BH80" s="5">
        <f t="shared" ca="1" si="256"/>
        <v>6.1458515271524006E-3</v>
      </c>
      <c r="BI80" s="5">
        <f t="shared" ca="1" si="257"/>
        <v>7.2836720510286342E-3</v>
      </c>
      <c r="BJ80" s="5">
        <f t="shared" ca="1" si="258"/>
        <v>6.9958298193118808E-3</v>
      </c>
      <c r="BK80" s="5">
        <f t="shared" ca="1" si="259"/>
        <v>7.0605718899010286E-3</v>
      </c>
      <c r="BL80" s="5">
        <f t="shared" ca="1" si="260"/>
        <v>7.0160778221252081E-3</v>
      </c>
      <c r="BM80" s="5">
        <f t="shared" ca="1" si="261"/>
        <v>6.5128267003881357E-3</v>
      </c>
      <c r="BN80" s="5">
        <f t="shared" ca="1" si="262"/>
        <v>6.5347047209813516E-3</v>
      </c>
      <c r="BO80" s="5">
        <f t="shared" ca="1" si="263"/>
        <v>7.0261976201199021E-3</v>
      </c>
      <c r="BP80" s="5">
        <f t="shared" ca="1" si="264"/>
        <v>7.1250504902128954E-3</v>
      </c>
      <c r="BQ80" s="5">
        <f t="shared" ca="1" si="265"/>
        <v>6.2546093767262174E-3</v>
      </c>
      <c r="BR80" s="5">
        <f t="shared" ca="1" si="266"/>
        <v>6.3228940967662546E-3</v>
      </c>
      <c r="BS80" s="5">
        <f t="shared" ca="1" si="267"/>
        <v>6.6689830645670876E-3</v>
      </c>
      <c r="BT80" s="5">
        <f t="shared" ca="1" si="268"/>
        <v>6.4812083551362984E-3</v>
      </c>
      <c r="BU80" s="5">
        <f t="shared" ca="1" si="269"/>
        <v>6.53149296724451E-3</v>
      </c>
      <c r="BV80" s="5">
        <f t="shared" ca="1" si="270"/>
        <v>6.6223559889364049E-3</v>
      </c>
      <c r="BW80" s="5">
        <f t="shared" ca="1" si="271"/>
        <v>6.7741741295125396E-3</v>
      </c>
      <c r="BX80" s="5">
        <f t="shared" ca="1" si="272"/>
        <v>6.9675500181369723E-3</v>
      </c>
      <c r="BY80" s="5">
        <f t="shared" ca="1" si="273"/>
        <v>6.3190692575708692E-3</v>
      </c>
      <c r="BZ80" s="5">
        <f t="shared" ca="1" si="274"/>
        <v>7.1549042417397837E-3</v>
      </c>
      <c r="CA80" s="5">
        <f t="shared" ca="1" si="275"/>
        <v>6.1463328364889944E-3</v>
      </c>
      <c r="CB80" s="5">
        <f t="shared" ca="1" si="276"/>
        <v>6.7150661455676634E-3</v>
      </c>
      <c r="CC80" s="5">
        <f t="shared" ca="1" si="277"/>
        <v>6.4349631086305101E-3</v>
      </c>
      <c r="CD80" s="5">
        <f t="shared" ca="1" si="278"/>
        <v>6.9137541018916907E-3</v>
      </c>
      <c r="CE80" s="5">
        <f t="shared" ca="1" si="279"/>
        <v>6.261215315936426E-3</v>
      </c>
      <c r="CF80" s="5">
        <f t="shared" ca="1" si="280"/>
        <v>7.0273244039919299E-3</v>
      </c>
      <c r="CG80" s="5">
        <f t="shared" ca="1" si="281"/>
        <v>6.8323514278791119E-3</v>
      </c>
      <c r="CH80" s="5">
        <f t="shared" ca="1" si="282"/>
        <v>5.9683197395597352E-3</v>
      </c>
      <c r="CI80" s="5">
        <f t="shared" ca="1" si="283"/>
        <v>6.9688691255008249E-3</v>
      </c>
      <c r="CJ80" s="5">
        <f t="shared" ca="1" si="284"/>
        <v>7.0447901279003296E-3</v>
      </c>
      <c r="CK80" s="5">
        <f t="shared" ca="1" si="285"/>
        <v>7.1498598121992347E-3</v>
      </c>
      <c r="CL80" s="5">
        <f t="shared" ca="1" si="286"/>
        <v>6.982968766668235E-3</v>
      </c>
      <c r="CM80" s="5">
        <f t="shared" ca="1" si="287"/>
        <v>7.0050620630717495E-3</v>
      </c>
      <c r="CN80" s="5">
        <f t="shared" ca="1" si="288"/>
        <v>6.6002985119435241E-3</v>
      </c>
      <c r="CO80" s="5">
        <f t="shared" ca="1" si="289"/>
        <v>6.7931497575392371E-3</v>
      </c>
      <c r="CP80" s="5">
        <f t="shared" ca="1" si="290"/>
        <v>6.8814502821075733E-3</v>
      </c>
      <c r="CQ80" s="5">
        <f t="shared" ca="1" si="291"/>
        <v>6.8214295646715955E-3</v>
      </c>
      <c r="CR80" s="5">
        <f t="shared" ca="1" si="292"/>
        <v>6.8897217863566531E-3</v>
      </c>
      <c r="CS80" s="5">
        <f t="shared" ca="1" si="293"/>
        <v>6.896882226708762E-3</v>
      </c>
      <c r="CT80" s="5">
        <f t="shared" ca="1" si="294"/>
        <v>7.1809869730978708E-3</v>
      </c>
      <c r="CU80" s="5">
        <f t="shared" ca="1" si="295"/>
        <v>6.4424183574769284E-3</v>
      </c>
      <c r="CV80" s="5">
        <f t="shared" ca="1" si="296"/>
        <v>6.7251982652491629E-3</v>
      </c>
      <c r="CW80" s="5">
        <f t="shared" ca="1" si="297"/>
        <v>6.3250334470011521E-3</v>
      </c>
      <c r="CX80" s="5">
        <f t="shared" ca="1" si="298"/>
        <v>6.3022185703491248E-3</v>
      </c>
      <c r="CY80" s="5">
        <f t="shared" ca="1" si="299"/>
        <v>6.7659532785132991E-3</v>
      </c>
      <c r="CZ80" s="5">
        <f t="shared" ca="1" si="300"/>
        <v>5.8352061270446785E-3</v>
      </c>
      <c r="DA80" s="5">
        <f t="shared" ca="1" si="301"/>
        <v>6.8861758835320475E-3</v>
      </c>
      <c r="DB80" s="5">
        <f t="shared" ca="1" si="302"/>
        <v>6.7357725666735806E-3</v>
      </c>
      <c r="DC80" s="5">
        <f t="shared" ca="1" si="303"/>
        <v>7.0503788952409885E-3</v>
      </c>
      <c r="DD80" s="5">
        <f t="shared" ca="1" si="304"/>
        <v>6.8713504903357807E-3</v>
      </c>
      <c r="DE80" s="5">
        <f t="shared" ca="1" si="305"/>
        <v>6.7629894619312767E-3</v>
      </c>
      <c r="DF80" s="5">
        <f t="shared" ca="1" si="306"/>
        <v>6.4853231139180593E-3</v>
      </c>
      <c r="DG80" s="5">
        <f t="shared" ca="1" si="307"/>
        <v>6.6756156176776792E-3</v>
      </c>
      <c r="DH80" s="5">
        <f t="shared" ca="1" si="308"/>
        <v>6.7471113185332736E-3</v>
      </c>
      <c r="DI80" s="5">
        <f t="shared" ca="1" si="309"/>
        <v>6.652391664644282E-3</v>
      </c>
      <c r="DJ80" s="5">
        <f t="shared" ca="1" si="310"/>
        <v>6.9677627052403251E-3</v>
      </c>
    </row>
    <row r="81" spans="5:114" outlineLevel="1" x14ac:dyDescent="0.2">
      <c r="E81" s="32">
        <v>46935</v>
      </c>
      <c r="F81" s="9">
        <v>3554.2025500799996</v>
      </c>
      <c r="G81" s="5">
        <f t="shared" ca="1" si="208"/>
        <v>2.6894889176905391E-2</v>
      </c>
      <c r="H81" s="5">
        <f t="shared" ca="1" si="209"/>
        <v>6.1978019657433691E-3</v>
      </c>
      <c r="I81" s="9">
        <f t="shared" ca="1" si="210"/>
        <v>199806.90653797422</v>
      </c>
      <c r="K81" s="6">
        <v>77</v>
      </c>
      <c r="L81" s="5">
        <v>362335.05216653232</v>
      </c>
      <c r="N81" s="32">
        <v>46905</v>
      </c>
      <c r="O81" s="5">
        <f t="shared" ca="1" si="211"/>
        <v>6.8433256960514595E-3</v>
      </c>
      <c r="P81" s="5">
        <f t="shared" ca="1" si="212"/>
        <v>6.7454650244634529E-3</v>
      </c>
      <c r="Q81" s="5">
        <f t="shared" ca="1" si="213"/>
        <v>6.5776898746452419E-3</v>
      </c>
      <c r="R81" s="5">
        <f t="shared" ca="1" si="214"/>
        <v>6.4447079845244256E-3</v>
      </c>
      <c r="S81" s="5">
        <f t="shared" ca="1" si="215"/>
        <v>5.9970910351437772E-3</v>
      </c>
      <c r="T81" s="5">
        <f t="shared" ca="1" si="216"/>
        <v>6.0519601961485578E-3</v>
      </c>
      <c r="U81" s="5">
        <f t="shared" ca="1" si="217"/>
        <v>6.690328860362524E-3</v>
      </c>
      <c r="V81" s="5">
        <f t="shared" ca="1" si="218"/>
        <v>6.5235629405730276E-3</v>
      </c>
      <c r="W81" s="5">
        <f t="shared" ca="1" si="219"/>
        <v>6.9100966599637062E-3</v>
      </c>
      <c r="X81" s="5">
        <f t="shared" ca="1" si="220"/>
        <v>6.7834235570279943E-3</v>
      </c>
      <c r="Y81" s="5">
        <f t="shared" ca="1" si="221"/>
        <v>6.9655855938904193E-3</v>
      </c>
      <c r="Z81" s="5">
        <f t="shared" ca="1" si="222"/>
        <v>7.2955395629705488E-3</v>
      </c>
      <c r="AA81" s="5">
        <f t="shared" ca="1" si="223"/>
        <v>6.7925108707268993E-3</v>
      </c>
      <c r="AB81" s="5">
        <f t="shared" ca="1" si="224"/>
        <v>7.0932638261675725E-3</v>
      </c>
      <c r="AC81" s="5">
        <f t="shared" ca="1" si="225"/>
        <v>6.9917343744923203E-3</v>
      </c>
      <c r="AD81" s="5">
        <f t="shared" ca="1" si="226"/>
        <v>6.6683416276850432E-3</v>
      </c>
      <c r="AE81" s="5">
        <f t="shared" ca="1" si="227"/>
        <v>7.1989256119244947E-3</v>
      </c>
      <c r="AF81" s="5">
        <f t="shared" ca="1" si="228"/>
        <v>6.820358275080908E-3</v>
      </c>
      <c r="AG81" s="5">
        <f t="shared" ca="1" si="229"/>
        <v>6.8869892853389517E-3</v>
      </c>
      <c r="AH81" s="5">
        <f t="shared" ca="1" si="230"/>
        <v>6.3560936869095684E-3</v>
      </c>
      <c r="AI81" s="5">
        <f t="shared" ca="1" si="231"/>
        <v>6.9830468674898279E-3</v>
      </c>
      <c r="AJ81" s="5">
        <f t="shared" ca="1" si="232"/>
        <v>6.5037269126375788E-3</v>
      </c>
      <c r="AK81" s="5">
        <f t="shared" ca="1" si="233"/>
        <v>7.0578540896325216E-3</v>
      </c>
      <c r="AL81" s="5">
        <f t="shared" ca="1" si="234"/>
        <v>6.607756826760445E-3</v>
      </c>
      <c r="AM81" s="5">
        <f t="shared" ca="1" si="235"/>
        <v>6.6988825406181394E-3</v>
      </c>
      <c r="AN81" s="5">
        <f t="shared" ca="1" si="236"/>
        <v>6.8376403581722114E-3</v>
      </c>
      <c r="AO81" s="5">
        <f t="shared" ca="1" si="237"/>
        <v>7.5324474286187285E-3</v>
      </c>
      <c r="AP81" s="5">
        <f t="shared" ca="1" si="238"/>
        <v>6.5773013653533195E-3</v>
      </c>
      <c r="AQ81" s="5">
        <f t="shared" ca="1" si="239"/>
        <v>6.3768020248828119E-3</v>
      </c>
      <c r="AR81" s="5">
        <f t="shared" ca="1" si="240"/>
        <v>6.6756913641755787E-3</v>
      </c>
      <c r="AS81" s="5">
        <f t="shared" ca="1" si="241"/>
        <v>6.7982155191168847E-3</v>
      </c>
      <c r="AT81" s="5">
        <f t="shared" ca="1" si="242"/>
        <v>5.9983605133434705E-3</v>
      </c>
      <c r="AU81" s="5">
        <f t="shared" ca="1" si="243"/>
        <v>6.4580982372766538E-3</v>
      </c>
      <c r="AV81" s="5">
        <f t="shared" ca="1" si="244"/>
        <v>6.6092762682865369E-3</v>
      </c>
      <c r="AW81" s="5">
        <f t="shared" ca="1" si="245"/>
        <v>7.178275004050964E-3</v>
      </c>
      <c r="AX81" s="5">
        <f t="shared" ca="1" si="246"/>
        <v>6.5164716817625399E-3</v>
      </c>
      <c r="AY81" s="5">
        <f t="shared" ca="1" si="247"/>
        <v>6.7225292687100469E-3</v>
      </c>
      <c r="AZ81" s="5">
        <f t="shared" ca="1" si="248"/>
        <v>7.3423662972011867E-3</v>
      </c>
      <c r="BA81" s="5">
        <f t="shared" ca="1" si="249"/>
        <v>6.662988723609431E-3</v>
      </c>
      <c r="BB81" s="5">
        <f t="shared" ca="1" si="250"/>
        <v>6.7888140833814751E-3</v>
      </c>
      <c r="BC81" s="5">
        <f t="shared" ca="1" si="251"/>
        <v>6.6649823947024086E-3</v>
      </c>
      <c r="BD81" s="5">
        <f t="shared" ca="1" si="252"/>
        <v>6.6788412125099068E-3</v>
      </c>
      <c r="BE81" s="5">
        <f t="shared" ca="1" si="253"/>
        <v>7.4026660560608352E-3</v>
      </c>
      <c r="BF81" s="5">
        <f t="shared" ca="1" si="254"/>
        <v>7.114967210606218E-3</v>
      </c>
      <c r="BG81" s="5">
        <f t="shared" ca="1" si="255"/>
        <v>6.8086929159268143E-3</v>
      </c>
      <c r="BH81" s="5">
        <f t="shared" ca="1" si="256"/>
        <v>6.1299234876223095E-3</v>
      </c>
      <c r="BI81" s="5">
        <f t="shared" ca="1" si="257"/>
        <v>7.3220050460983468E-3</v>
      </c>
      <c r="BJ81" s="5">
        <f t="shared" ca="1" si="258"/>
        <v>6.9990370244083925E-3</v>
      </c>
      <c r="BK81" s="5">
        <f t="shared" ca="1" si="259"/>
        <v>7.0954416396050695E-3</v>
      </c>
      <c r="BL81" s="5">
        <f t="shared" ca="1" si="260"/>
        <v>6.9858246272716858E-3</v>
      </c>
      <c r="BM81" s="5">
        <f t="shared" ca="1" si="261"/>
        <v>6.5471491275995381E-3</v>
      </c>
      <c r="BN81" s="5">
        <f t="shared" ca="1" si="262"/>
        <v>6.5372321397666727E-3</v>
      </c>
      <c r="BO81" s="5">
        <f t="shared" ca="1" si="263"/>
        <v>7.0185670178880971E-3</v>
      </c>
      <c r="BP81" s="5">
        <f t="shared" ca="1" si="264"/>
        <v>7.2062405019924893E-3</v>
      </c>
      <c r="BQ81" s="5">
        <f t="shared" ca="1" si="265"/>
        <v>6.2582847895966374E-3</v>
      </c>
      <c r="BR81" s="5">
        <f t="shared" ca="1" si="266"/>
        <v>6.3146421867786096E-3</v>
      </c>
      <c r="BS81" s="5">
        <f t="shared" ca="1" si="267"/>
        <v>6.6262596970033949E-3</v>
      </c>
      <c r="BT81" s="5">
        <f t="shared" ca="1" si="268"/>
        <v>6.4874504141200495E-3</v>
      </c>
      <c r="BU81" s="5">
        <f t="shared" ca="1" si="269"/>
        <v>6.6192330683612485E-3</v>
      </c>
      <c r="BV81" s="5">
        <f t="shared" ca="1" si="270"/>
        <v>6.6286882414592048E-3</v>
      </c>
      <c r="BW81" s="5">
        <f t="shared" ca="1" si="271"/>
        <v>6.7034589736829978E-3</v>
      </c>
      <c r="BX81" s="5">
        <f t="shared" ca="1" si="272"/>
        <v>6.9854826087448032E-3</v>
      </c>
      <c r="BY81" s="5">
        <f t="shared" ca="1" si="273"/>
        <v>6.3362025384420531E-3</v>
      </c>
      <c r="BZ81" s="5">
        <f t="shared" ca="1" si="274"/>
        <v>7.2098445662243773E-3</v>
      </c>
      <c r="CA81" s="5">
        <f t="shared" ca="1" si="275"/>
        <v>6.1343957542780714E-3</v>
      </c>
      <c r="CB81" s="5">
        <f t="shared" ca="1" si="276"/>
        <v>6.7430422628207698E-3</v>
      </c>
      <c r="CC81" s="5">
        <f t="shared" ca="1" si="277"/>
        <v>6.4792650398972336E-3</v>
      </c>
      <c r="CD81" s="5">
        <f t="shared" ca="1" si="278"/>
        <v>6.8200171333967401E-3</v>
      </c>
      <c r="CE81" s="5">
        <f t="shared" ca="1" si="279"/>
        <v>6.2392332052669157E-3</v>
      </c>
      <c r="CF81" s="5">
        <f t="shared" ca="1" si="280"/>
        <v>7.056277425854139E-3</v>
      </c>
      <c r="CG81" s="5">
        <f t="shared" ca="1" si="281"/>
        <v>6.8375688400998487E-3</v>
      </c>
      <c r="CH81" s="5">
        <f t="shared" ca="1" si="282"/>
        <v>6.0033710118539679E-3</v>
      </c>
      <c r="CI81" s="5">
        <f t="shared" ca="1" si="283"/>
        <v>6.9218784287534861E-3</v>
      </c>
      <c r="CJ81" s="5">
        <f t="shared" ca="1" si="284"/>
        <v>7.0178013186233323E-3</v>
      </c>
      <c r="CK81" s="5">
        <f t="shared" ca="1" si="285"/>
        <v>7.1978394071662011E-3</v>
      </c>
      <c r="CL81" s="5">
        <f t="shared" ca="1" si="286"/>
        <v>6.9776969915776692E-3</v>
      </c>
      <c r="CM81" s="5">
        <f t="shared" ca="1" si="287"/>
        <v>7.0393072200261673E-3</v>
      </c>
      <c r="CN81" s="5">
        <f t="shared" ca="1" si="288"/>
        <v>6.5609649275635076E-3</v>
      </c>
      <c r="CO81" s="5">
        <f t="shared" ca="1" si="289"/>
        <v>6.8403041177880408E-3</v>
      </c>
      <c r="CP81" s="5">
        <f t="shared" ca="1" si="290"/>
        <v>6.8980129804692659E-3</v>
      </c>
      <c r="CQ81" s="5">
        <f t="shared" ca="1" si="291"/>
        <v>6.9093252999271031E-3</v>
      </c>
      <c r="CR81" s="5">
        <f t="shared" ca="1" si="292"/>
        <v>6.8300793247190478E-3</v>
      </c>
      <c r="CS81" s="5">
        <f t="shared" ca="1" si="293"/>
        <v>6.8035460043530706E-3</v>
      </c>
      <c r="CT81" s="5">
        <f t="shared" ca="1" si="294"/>
        <v>7.2081342245561954E-3</v>
      </c>
      <c r="CU81" s="5">
        <f t="shared" ca="1" si="295"/>
        <v>6.3681093726639468E-3</v>
      </c>
      <c r="CV81" s="5">
        <f t="shared" ca="1" si="296"/>
        <v>6.6769825183502721E-3</v>
      </c>
      <c r="CW81" s="5">
        <f t="shared" ca="1" si="297"/>
        <v>6.3238278799778534E-3</v>
      </c>
      <c r="CX81" s="5">
        <f t="shared" ca="1" si="298"/>
        <v>6.407648098333032E-3</v>
      </c>
      <c r="CY81" s="5">
        <f t="shared" ca="1" si="299"/>
        <v>6.7581445917547283E-3</v>
      </c>
      <c r="CZ81" s="5">
        <f t="shared" ca="1" si="300"/>
        <v>5.8363332217536389E-3</v>
      </c>
      <c r="DA81" s="5">
        <f t="shared" ca="1" si="301"/>
        <v>6.8999785873348147E-3</v>
      </c>
      <c r="DB81" s="5">
        <f t="shared" ca="1" si="302"/>
        <v>6.7643942845986493E-3</v>
      </c>
      <c r="DC81" s="5">
        <f t="shared" ca="1" si="303"/>
        <v>7.0846054360519523E-3</v>
      </c>
      <c r="DD81" s="5">
        <f t="shared" ca="1" si="304"/>
        <v>6.8038052588371223E-3</v>
      </c>
      <c r="DE81" s="5">
        <f t="shared" ca="1" si="305"/>
        <v>6.7638875731321907E-3</v>
      </c>
      <c r="DF81" s="5">
        <f t="shared" ca="1" si="306"/>
        <v>6.5120867693459396E-3</v>
      </c>
      <c r="DG81" s="5">
        <f t="shared" ca="1" si="307"/>
        <v>6.7235199628401009E-3</v>
      </c>
      <c r="DH81" s="5">
        <f t="shared" ca="1" si="308"/>
        <v>6.7385242078530985E-3</v>
      </c>
      <c r="DI81" s="5">
        <f t="shared" ca="1" si="309"/>
        <v>6.6476361886848847E-3</v>
      </c>
      <c r="DJ81" s="5">
        <f t="shared" ca="1" si="310"/>
        <v>6.9903191091386435E-3</v>
      </c>
    </row>
    <row r="82" spans="5:114" outlineLevel="1" x14ac:dyDescent="0.2">
      <c r="E82" s="32">
        <v>46966</v>
      </c>
      <c r="F82" s="9">
        <v>3554.2025500799996</v>
      </c>
      <c r="G82" s="5">
        <f t="shared" ca="1" si="208"/>
        <v>-6.6611818454366575E-2</v>
      </c>
      <c r="H82" s="5">
        <f t="shared" ca="1" si="209"/>
        <v>6.2178046355990833E-3</v>
      </c>
      <c r="I82" s="9">
        <f t="shared" ca="1" si="210"/>
        <v>203464.66594055691</v>
      </c>
      <c r="K82" s="6">
        <v>78</v>
      </c>
      <c r="L82" s="5">
        <v>362393.50110939739</v>
      </c>
      <c r="N82" s="32">
        <v>46935</v>
      </c>
      <c r="O82" s="5">
        <f t="shared" ca="1" si="211"/>
        <v>6.890492712725931E-3</v>
      </c>
      <c r="P82" s="5">
        <f t="shared" ca="1" si="212"/>
        <v>6.7624127901157157E-3</v>
      </c>
      <c r="Q82" s="5">
        <f t="shared" ca="1" si="213"/>
        <v>6.5862118011102743E-3</v>
      </c>
      <c r="R82" s="5">
        <f t="shared" ca="1" si="214"/>
        <v>6.4607426876810191E-3</v>
      </c>
      <c r="S82" s="5">
        <f t="shared" ca="1" si="215"/>
        <v>6.0410366057706095E-3</v>
      </c>
      <c r="T82" s="5">
        <f t="shared" ca="1" si="216"/>
        <v>6.0253037797954557E-3</v>
      </c>
      <c r="U82" s="5">
        <f t="shared" ca="1" si="217"/>
        <v>6.7490045220803636E-3</v>
      </c>
      <c r="V82" s="5">
        <f t="shared" ca="1" si="218"/>
        <v>6.5270856963876916E-3</v>
      </c>
      <c r="W82" s="5">
        <f t="shared" ca="1" si="219"/>
        <v>6.9656865179790464E-3</v>
      </c>
      <c r="X82" s="5">
        <f t="shared" ca="1" si="220"/>
        <v>6.7563809401012505E-3</v>
      </c>
      <c r="Y82" s="5">
        <f t="shared" ca="1" si="221"/>
        <v>7.0391523623959959E-3</v>
      </c>
      <c r="Z82" s="5">
        <f t="shared" ca="1" si="222"/>
        <v>7.2789506254635206E-3</v>
      </c>
      <c r="AA82" s="5">
        <f t="shared" ca="1" si="223"/>
        <v>6.7195852629376961E-3</v>
      </c>
      <c r="AB82" s="5">
        <f t="shared" ca="1" si="224"/>
        <v>7.1236113490227466E-3</v>
      </c>
      <c r="AC82" s="5">
        <f t="shared" ca="1" si="225"/>
        <v>6.9126332543726875E-3</v>
      </c>
      <c r="AD82" s="5">
        <f t="shared" ca="1" si="226"/>
        <v>6.7131889825313394E-3</v>
      </c>
      <c r="AE82" s="5">
        <f t="shared" ca="1" si="227"/>
        <v>7.2085106356540663E-3</v>
      </c>
      <c r="AF82" s="5">
        <f t="shared" ca="1" si="228"/>
        <v>6.7823637362570731E-3</v>
      </c>
      <c r="AG82" s="5">
        <f t="shared" ca="1" si="229"/>
        <v>6.9070944180706865E-3</v>
      </c>
      <c r="AH82" s="5">
        <f t="shared" ca="1" si="230"/>
        <v>6.3635513108927528E-3</v>
      </c>
      <c r="AI82" s="5">
        <f t="shared" ca="1" si="231"/>
        <v>7.0702246579125664E-3</v>
      </c>
      <c r="AJ82" s="5">
        <f t="shared" ca="1" si="232"/>
        <v>6.4199908914132717E-3</v>
      </c>
      <c r="AK82" s="5">
        <f t="shared" ca="1" si="233"/>
        <v>7.1003796618578432E-3</v>
      </c>
      <c r="AL82" s="5">
        <f t="shared" ca="1" si="234"/>
        <v>6.5771852130108496E-3</v>
      </c>
      <c r="AM82" s="5">
        <f t="shared" ca="1" si="235"/>
        <v>6.7352223836695318E-3</v>
      </c>
      <c r="AN82" s="5">
        <f t="shared" ca="1" si="236"/>
        <v>6.8779869210988187E-3</v>
      </c>
      <c r="AO82" s="5">
        <f t="shared" ca="1" si="237"/>
        <v>7.5775696659109281E-3</v>
      </c>
      <c r="AP82" s="5">
        <f t="shared" ca="1" si="238"/>
        <v>6.5997228128463143E-3</v>
      </c>
      <c r="AQ82" s="5">
        <f t="shared" ca="1" si="239"/>
        <v>6.3037875383747241E-3</v>
      </c>
      <c r="AR82" s="5">
        <f t="shared" ca="1" si="240"/>
        <v>6.6786739544439123E-3</v>
      </c>
      <c r="AS82" s="5">
        <f t="shared" ca="1" si="241"/>
        <v>6.799221370096877E-3</v>
      </c>
      <c r="AT82" s="5">
        <f t="shared" ca="1" si="242"/>
        <v>5.9765872681830107E-3</v>
      </c>
      <c r="AU82" s="5">
        <f t="shared" ca="1" si="243"/>
        <v>6.4074202792309522E-3</v>
      </c>
      <c r="AV82" s="5">
        <f t="shared" ca="1" si="244"/>
        <v>6.6490798562021808E-3</v>
      </c>
      <c r="AW82" s="5">
        <f t="shared" ca="1" si="245"/>
        <v>7.1718437060217808E-3</v>
      </c>
      <c r="AX82" s="5">
        <f t="shared" ca="1" si="246"/>
        <v>6.4806642299673469E-3</v>
      </c>
      <c r="AY82" s="5">
        <f t="shared" ca="1" si="247"/>
        <v>6.6155189328938021E-3</v>
      </c>
      <c r="AZ82" s="5">
        <f t="shared" ca="1" si="248"/>
        <v>7.366743764753483E-3</v>
      </c>
      <c r="BA82" s="5">
        <f t="shared" ca="1" si="249"/>
        <v>6.7251860140014946E-3</v>
      </c>
      <c r="BB82" s="5">
        <f t="shared" ca="1" si="250"/>
        <v>6.7862927445324238E-3</v>
      </c>
      <c r="BC82" s="5">
        <f t="shared" ca="1" si="251"/>
        <v>6.6450521680071735E-3</v>
      </c>
      <c r="BD82" s="5">
        <f t="shared" ca="1" si="252"/>
        <v>6.6085012860595945E-3</v>
      </c>
      <c r="BE82" s="5">
        <f t="shared" ca="1" si="253"/>
        <v>7.4586162224959691E-3</v>
      </c>
      <c r="BF82" s="5">
        <f t="shared" ca="1" si="254"/>
        <v>7.1522152607909825E-3</v>
      </c>
      <c r="BG82" s="5">
        <f t="shared" ca="1" si="255"/>
        <v>6.7989210398998138E-3</v>
      </c>
      <c r="BH82" s="5">
        <f t="shared" ca="1" si="256"/>
        <v>6.1916483893675626E-3</v>
      </c>
      <c r="BI82" s="5">
        <f t="shared" ca="1" si="257"/>
        <v>7.2773513198492821E-3</v>
      </c>
      <c r="BJ82" s="5">
        <f t="shared" ca="1" si="258"/>
        <v>7.0192848778965903E-3</v>
      </c>
      <c r="BK82" s="5">
        <f t="shared" ca="1" si="259"/>
        <v>7.0794961053187739E-3</v>
      </c>
      <c r="BL82" s="5">
        <f t="shared" ca="1" si="260"/>
        <v>6.9984070569666925E-3</v>
      </c>
      <c r="BM82" s="5">
        <f t="shared" ca="1" si="261"/>
        <v>6.5522442575984847E-3</v>
      </c>
      <c r="BN82" s="5">
        <f t="shared" ca="1" si="262"/>
        <v>6.590724513076812E-3</v>
      </c>
      <c r="BO82" s="5">
        <f t="shared" ca="1" si="263"/>
        <v>7.0328667395988123E-3</v>
      </c>
      <c r="BP82" s="5">
        <f t="shared" ca="1" si="264"/>
        <v>7.2513593918931652E-3</v>
      </c>
      <c r="BQ82" s="5">
        <f t="shared" ca="1" si="265"/>
        <v>6.2132270257304178E-3</v>
      </c>
      <c r="BR82" s="5">
        <f t="shared" ca="1" si="266"/>
        <v>6.3665046795927313E-3</v>
      </c>
      <c r="BS82" s="5">
        <f t="shared" ca="1" si="267"/>
        <v>6.6105834433144812E-3</v>
      </c>
      <c r="BT82" s="5">
        <f t="shared" ca="1" si="268"/>
        <v>6.4398283961512532E-3</v>
      </c>
      <c r="BU82" s="5">
        <f t="shared" ca="1" si="269"/>
        <v>6.5931842679578063E-3</v>
      </c>
      <c r="BV82" s="5">
        <f t="shared" ca="1" si="270"/>
        <v>6.7600086687413996E-3</v>
      </c>
      <c r="BW82" s="5">
        <f t="shared" ca="1" si="271"/>
        <v>6.8228240693223828E-3</v>
      </c>
      <c r="BX82" s="5">
        <f t="shared" ca="1" si="272"/>
        <v>6.929618611280902E-3</v>
      </c>
      <c r="BY82" s="5">
        <f t="shared" ca="1" si="273"/>
        <v>6.3928279305314473E-3</v>
      </c>
      <c r="BZ82" s="5">
        <f t="shared" ca="1" si="274"/>
        <v>7.1390949583297484E-3</v>
      </c>
      <c r="CA82" s="5">
        <f t="shared" ca="1" si="275"/>
        <v>6.1228334358714546E-3</v>
      </c>
      <c r="CB82" s="5">
        <f t="shared" ca="1" si="276"/>
        <v>6.8461568107795233E-3</v>
      </c>
      <c r="CC82" s="5">
        <f t="shared" ca="1" si="277"/>
        <v>6.5712181982575703E-3</v>
      </c>
      <c r="CD82" s="5">
        <f t="shared" ca="1" si="278"/>
        <v>6.8920120252102309E-3</v>
      </c>
      <c r="CE82" s="5">
        <f t="shared" ca="1" si="279"/>
        <v>6.2293299291062655E-3</v>
      </c>
      <c r="CF82" s="5">
        <f t="shared" ca="1" si="280"/>
        <v>7.0559772998034596E-3</v>
      </c>
      <c r="CG82" s="5">
        <f t="shared" ca="1" si="281"/>
        <v>6.8209431603420663E-3</v>
      </c>
      <c r="CH82" s="5">
        <f t="shared" ca="1" si="282"/>
        <v>6.0472417941573615E-3</v>
      </c>
      <c r="CI82" s="5">
        <f t="shared" ca="1" si="283"/>
        <v>6.8836213396357643E-3</v>
      </c>
      <c r="CJ82" s="5">
        <f t="shared" ca="1" si="284"/>
        <v>7.0013509000767327E-3</v>
      </c>
      <c r="CK82" s="5">
        <f t="shared" ca="1" si="285"/>
        <v>7.1753626255306379E-3</v>
      </c>
      <c r="CL82" s="5">
        <f t="shared" ca="1" si="286"/>
        <v>7.0038775823707995E-3</v>
      </c>
      <c r="CM82" s="5">
        <f t="shared" ca="1" si="287"/>
        <v>7.1526215464621755E-3</v>
      </c>
      <c r="CN82" s="5">
        <f t="shared" ca="1" si="288"/>
        <v>6.5208630518393739E-3</v>
      </c>
      <c r="CO82" s="5">
        <f t="shared" ca="1" si="289"/>
        <v>6.8177426580571659E-3</v>
      </c>
      <c r="CP82" s="5">
        <f t="shared" ca="1" si="290"/>
        <v>6.8867122346041231E-3</v>
      </c>
      <c r="CQ82" s="5">
        <f t="shared" ca="1" si="291"/>
        <v>6.9381065411089861E-3</v>
      </c>
      <c r="CR82" s="5">
        <f t="shared" ca="1" si="292"/>
        <v>6.8137045707681657E-3</v>
      </c>
      <c r="CS82" s="5">
        <f t="shared" ca="1" si="293"/>
        <v>6.8408179626631271E-3</v>
      </c>
      <c r="CT82" s="5">
        <f t="shared" ca="1" si="294"/>
        <v>7.2987252471034851E-3</v>
      </c>
      <c r="CU82" s="5">
        <f t="shared" ca="1" si="295"/>
        <v>6.3912975738311256E-3</v>
      </c>
      <c r="CV82" s="5">
        <f t="shared" ca="1" si="296"/>
        <v>6.6834987804728508E-3</v>
      </c>
      <c r="CW82" s="5">
        <f t="shared" ca="1" si="297"/>
        <v>6.3305338365666165E-3</v>
      </c>
      <c r="CX82" s="5">
        <f t="shared" ca="1" si="298"/>
        <v>6.4029911074132305E-3</v>
      </c>
      <c r="CY82" s="5">
        <f t="shared" ca="1" si="299"/>
        <v>6.8233661495011215E-3</v>
      </c>
      <c r="CZ82" s="5">
        <f t="shared" ca="1" si="300"/>
        <v>5.8730481761005184E-3</v>
      </c>
      <c r="DA82" s="5">
        <f t="shared" ca="1" si="301"/>
        <v>6.8835866881722229E-3</v>
      </c>
      <c r="DB82" s="5">
        <f t="shared" ca="1" si="302"/>
        <v>6.7673099972322785E-3</v>
      </c>
      <c r="DC82" s="5">
        <f t="shared" ca="1" si="303"/>
        <v>7.060368038172591E-3</v>
      </c>
      <c r="DD82" s="5">
        <f t="shared" ca="1" si="304"/>
        <v>6.8483816811760641E-3</v>
      </c>
      <c r="DE82" s="5">
        <f t="shared" ca="1" si="305"/>
        <v>6.7095804228540414E-3</v>
      </c>
      <c r="DF82" s="5">
        <f t="shared" ca="1" si="306"/>
        <v>6.4459807102013149E-3</v>
      </c>
      <c r="DG82" s="5">
        <f t="shared" ca="1" si="307"/>
        <v>6.7642269039058442E-3</v>
      </c>
      <c r="DH82" s="5">
        <f t="shared" ca="1" si="308"/>
        <v>6.7054108121862906E-3</v>
      </c>
      <c r="DI82" s="5">
        <f t="shared" ca="1" si="309"/>
        <v>6.6762906629602038E-3</v>
      </c>
      <c r="DJ82" s="5">
        <f t="shared" ca="1" si="310"/>
        <v>6.9927094533933556E-3</v>
      </c>
    </row>
    <row r="83" spans="5:114" outlineLevel="1" x14ac:dyDescent="0.2">
      <c r="E83" s="32">
        <v>46997</v>
      </c>
      <c r="F83" s="9">
        <v>3554.2025500799996</v>
      </c>
      <c r="G83" s="5">
        <f t="shared" ca="1" si="208"/>
        <v>-7.793380249411061E-2</v>
      </c>
      <c r="H83" s="5">
        <f t="shared" ca="1" si="209"/>
        <v>6.189999195064206E-3</v>
      </c>
      <c r="I83" s="9">
        <f t="shared" ca="1" si="210"/>
        <v>207123.84940783348</v>
      </c>
      <c r="K83" s="6">
        <v>79</v>
      </c>
      <c r="L83" s="5">
        <v>361989.04477218614</v>
      </c>
      <c r="N83" s="32">
        <v>46966</v>
      </c>
      <c r="O83" s="5">
        <f t="shared" ca="1" si="211"/>
        <v>6.8786668463732955E-3</v>
      </c>
      <c r="P83" s="5">
        <f t="shared" ca="1" si="212"/>
        <v>6.7832166851226217E-3</v>
      </c>
      <c r="Q83" s="5">
        <f t="shared" ca="1" si="213"/>
        <v>6.5874115424077555E-3</v>
      </c>
      <c r="R83" s="5">
        <f t="shared" ca="1" si="214"/>
        <v>6.3966354738593714E-3</v>
      </c>
      <c r="S83" s="5">
        <f t="shared" ca="1" si="215"/>
        <v>6.0108964377291558E-3</v>
      </c>
      <c r="T83" s="5">
        <f t="shared" ca="1" si="216"/>
        <v>5.9614793139000323E-3</v>
      </c>
      <c r="U83" s="5">
        <f t="shared" ca="1" si="217"/>
        <v>6.7276274419236963E-3</v>
      </c>
      <c r="V83" s="5">
        <f t="shared" ca="1" si="218"/>
        <v>6.4520547112557241E-3</v>
      </c>
      <c r="W83" s="5">
        <f t="shared" ca="1" si="219"/>
        <v>6.9705642251270987E-3</v>
      </c>
      <c r="X83" s="5">
        <f t="shared" ca="1" si="220"/>
        <v>6.8182637946001493E-3</v>
      </c>
      <c r="Y83" s="5">
        <f t="shared" ca="1" si="221"/>
        <v>7.1213849041881138E-3</v>
      </c>
      <c r="Z83" s="5">
        <f t="shared" ca="1" si="222"/>
        <v>7.2967885591383444E-3</v>
      </c>
      <c r="AA83" s="5">
        <f t="shared" ca="1" si="223"/>
        <v>6.6616207861247166E-3</v>
      </c>
      <c r="AB83" s="5">
        <f t="shared" ca="1" si="224"/>
        <v>6.9715783101212871E-3</v>
      </c>
      <c r="AC83" s="5">
        <f t="shared" ca="1" si="225"/>
        <v>6.8680569973830043E-3</v>
      </c>
      <c r="AD83" s="5">
        <f t="shared" ca="1" si="226"/>
        <v>6.696937875466857E-3</v>
      </c>
      <c r="AE83" s="5">
        <f t="shared" ca="1" si="227"/>
        <v>7.1549601758952438E-3</v>
      </c>
      <c r="AF83" s="5">
        <f t="shared" ca="1" si="228"/>
        <v>6.846016947553395E-3</v>
      </c>
      <c r="AG83" s="5">
        <f t="shared" ca="1" si="229"/>
        <v>6.9215720011103331E-3</v>
      </c>
      <c r="AH83" s="5">
        <f t="shared" ca="1" si="230"/>
        <v>6.3891090534792909E-3</v>
      </c>
      <c r="AI83" s="5">
        <f t="shared" ca="1" si="231"/>
        <v>7.1894780336385017E-3</v>
      </c>
      <c r="AJ83" s="5">
        <f t="shared" ca="1" si="232"/>
        <v>6.3675767852893915E-3</v>
      </c>
      <c r="AK83" s="5">
        <f t="shared" ca="1" si="233"/>
        <v>7.1050557566886977E-3</v>
      </c>
      <c r="AL83" s="5">
        <f t="shared" ca="1" si="234"/>
        <v>6.4971380754514432E-3</v>
      </c>
      <c r="AM83" s="5">
        <f t="shared" ca="1" si="235"/>
        <v>6.7201501122441483E-3</v>
      </c>
      <c r="AN83" s="5">
        <f t="shared" ca="1" si="236"/>
        <v>6.8298217617688917E-3</v>
      </c>
      <c r="AO83" s="5">
        <f t="shared" ca="1" si="237"/>
        <v>7.5451984721011962E-3</v>
      </c>
      <c r="AP83" s="5">
        <f t="shared" ca="1" si="238"/>
        <v>6.6245586277295593E-3</v>
      </c>
      <c r="AQ83" s="5">
        <f t="shared" ca="1" si="239"/>
        <v>6.3370965267245888E-3</v>
      </c>
      <c r="AR83" s="5">
        <f t="shared" ca="1" si="240"/>
        <v>6.6650732299228547E-3</v>
      </c>
      <c r="AS83" s="5">
        <f t="shared" ca="1" si="241"/>
        <v>6.8434334650160694E-3</v>
      </c>
      <c r="AT83" s="5">
        <f t="shared" ca="1" si="242"/>
        <v>6.0548115056508409E-3</v>
      </c>
      <c r="AU83" s="5">
        <f t="shared" ca="1" si="243"/>
        <v>6.4377973574421526E-3</v>
      </c>
      <c r="AV83" s="5">
        <f t="shared" ca="1" si="244"/>
        <v>6.697431071510951E-3</v>
      </c>
      <c r="AW83" s="5">
        <f t="shared" ca="1" si="245"/>
        <v>7.2169743748943874E-3</v>
      </c>
      <c r="AX83" s="5">
        <f t="shared" ca="1" si="246"/>
        <v>6.418179482225235E-3</v>
      </c>
      <c r="AY83" s="5">
        <f t="shared" ca="1" si="247"/>
        <v>6.6734153273949838E-3</v>
      </c>
      <c r="AZ83" s="5">
        <f t="shared" ca="1" si="248"/>
        <v>7.4817690421136339E-3</v>
      </c>
      <c r="BA83" s="5">
        <f t="shared" ca="1" si="249"/>
        <v>6.7331186343222446E-3</v>
      </c>
      <c r="BB83" s="5">
        <f t="shared" ca="1" si="250"/>
        <v>6.799154607119033E-3</v>
      </c>
      <c r="BC83" s="5">
        <f t="shared" ca="1" si="251"/>
        <v>6.6604948420552817E-3</v>
      </c>
      <c r="BD83" s="5">
        <f t="shared" ca="1" si="252"/>
        <v>6.6680309196145045E-3</v>
      </c>
      <c r="BE83" s="5">
        <f t="shared" ca="1" si="253"/>
        <v>7.4581736660592219E-3</v>
      </c>
      <c r="BF83" s="5">
        <f t="shared" ca="1" si="254"/>
        <v>7.0989625397422087E-3</v>
      </c>
      <c r="BG83" s="5">
        <f t="shared" ca="1" si="255"/>
        <v>6.8281257526675949E-3</v>
      </c>
      <c r="BH83" s="5">
        <f t="shared" ca="1" si="256"/>
        <v>6.0947254225234898E-3</v>
      </c>
      <c r="BI83" s="5">
        <f t="shared" ca="1" si="257"/>
        <v>7.3394913959654211E-3</v>
      </c>
      <c r="BJ83" s="5">
        <f t="shared" ca="1" si="258"/>
        <v>7.0304524573897324E-3</v>
      </c>
      <c r="BK83" s="5">
        <f t="shared" ca="1" si="259"/>
        <v>7.1250105888694751E-3</v>
      </c>
      <c r="BL83" s="5">
        <f t="shared" ca="1" si="260"/>
        <v>6.8787535588715016E-3</v>
      </c>
      <c r="BM83" s="5">
        <f t="shared" ca="1" si="261"/>
        <v>6.5585352070302288E-3</v>
      </c>
      <c r="BN83" s="5">
        <f t="shared" ca="1" si="262"/>
        <v>6.6120564696763428E-3</v>
      </c>
      <c r="BO83" s="5">
        <f t="shared" ca="1" si="263"/>
        <v>7.0978037055402753E-3</v>
      </c>
      <c r="BP83" s="5">
        <f t="shared" ca="1" si="264"/>
        <v>7.1687326326664051E-3</v>
      </c>
      <c r="BQ83" s="5">
        <f t="shared" ca="1" si="265"/>
        <v>6.2295237549456909E-3</v>
      </c>
      <c r="BR83" s="5">
        <f t="shared" ca="1" si="266"/>
        <v>6.3860701932580439E-3</v>
      </c>
      <c r="BS83" s="5">
        <f t="shared" ca="1" si="267"/>
        <v>6.6716617503755965E-3</v>
      </c>
      <c r="BT83" s="5">
        <f t="shared" ca="1" si="268"/>
        <v>6.4853815898231236E-3</v>
      </c>
      <c r="BU83" s="5">
        <f t="shared" ca="1" si="269"/>
        <v>6.615250473216221E-3</v>
      </c>
      <c r="BV83" s="5">
        <f t="shared" ca="1" si="270"/>
        <v>6.7668745602184749E-3</v>
      </c>
      <c r="BW83" s="5">
        <f t="shared" ca="1" si="271"/>
        <v>6.9170877515542569E-3</v>
      </c>
      <c r="BX83" s="5">
        <f t="shared" ca="1" si="272"/>
        <v>6.8753673575525504E-3</v>
      </c>
      <c r="BY83" s="5">
        <f t="shared" ca="1" si="273"/>
        <v>6.370738487580979E-3</v>
      </c>
      <c r="BZ83" s="5">
        <f t="shared" ca="1" si="274"/>
        <v>7.1948247480421576E-3</v>
      </c>
      <c r="CA83" s="5">
        <f t="shared" ca="1" si="275"/>
        <v>6.1054838499011695E-3</v>
      </c>
      <c r="CB83" s="5">
        <f t="shared" ca="1" si="276"/>
        <v>6.8849448138023914E-3</v>
      </c>
      <c r="CC83" s="5">
        <f t="shared" ca="1" si="277"/>
        <v>6.6264291016612138E-3</v>
      </c>
      <c r="CD83" s="5">
        <f t="shared" ca="1" si="278"/>
        <v>6.9370694260180825E-3</v>
      </c>
      <c r="CE83" s="5">
        <f t="shared" ca="1" si="279"/>
        <v>6.1884273836862328E-3</v>
      </c>
      <c r="CF83" s="5">
        <f t="shared" ca="1" si="280"/>
        <v>7.0106252892812452E-3</v>
      </c>
      <c r="CG83" s="5">
        <f t="shared" ca="1" si="281"/>
        <v>6.8375332794536397E-3</v>
      </c>
      <c r="CH83" s="5">
        <f t="shared" ca="1" si="282"/>
        <v>5.9818417454798227E-3</v>
      </c>
      <c r="CI83" s="5">
        <f t="shared" ca="1" si="283"/>
        <v>6.9108940590731863E-3</v>
      </c>
      <c r="CJ83" s="5">
        <f t="shared" ca="1" si="284"/>
        <v>7.0372309022624421E-3</v>
      </c>
      <c r="CK83" s="5">
        <f t="shared" ca="1" si="285"/>
        <v>7.291378946380849E-3</v>
      </c>
      <c r="CL83" s="5">
        <f t="shared" ca="1" si="286"/>
        <v>7.0514140201563547E-3</v>
      </c>
      <c r="CM83" s="5">
        <f t="shared" ca="1" si="287"/>
        <v>7.1644488095679278E-3</v>
      </c>
      <c r="CN83" s="5">
        <f t="shared" ca="1" si="288"/>
        <v>6.5327154297836233E-3</v>
      </c>
      <c r="CO83" s="5">
        <f t="shared" ca="1" si="289"/>
        <v>6.875484704502677E-3</v>
      </c>
      <c r="CP83" s="5">
        <f t="shared" ca="1" si="290"/>
        <v>6.9167161570070131E-3</v>
      </c>
      <c r="CQ83" s="5">
        <f t="shared" ca="1" si="291"/>
        <v>6.9899003204758918E-3</v>
      </c>
      <c r="CR83" s="5">
        <f t="shared" ca="1" si="292"/>
        <v>6.8333888016263158E-3</v>
      </c>
      <c r="CS83" s="5">
        <f t="shared" ca="1" si="293"/>
        <v>6.8399700878155377E-3</v>
      </c>
      <c r="CT83" s="5">
        <f t="shared" ca="1" si="294"/>
        <v>7.279102860290417E-3</v>
      </c>
      <c r="CU83" s="5">
        <f t="shared" ca="1" si="295"/>
        <v>6.3785803621323502E-3</v>
      </c>
      <c r="CV83" s="5">
        <f t="shared" ca="1" si="296"/>
        <v>6.7012591214408628E-3</v>
      </c>
      <c r="CW83" s="5">
        <f t="shared" ca="1" si="297"/>
        <v>6.4729616947540669E-3</v>
      </c>
      <c r="CX83" s="5">
        <f t="shared" ca="1" si="298"/>
        <v>6.49223017953314E-3</v>
      </c>
      <c r="CY83" s="5">
        <f t="shared" ca="1" si="299"/>
        <v>6.8212430323528464E-3</v>
      </c>
      <c r="CZ83" s="5">
        <f t="shared" ca="1" si="300"/>
        <v>5.8710205704702407E-3</v>
      </c>
      <c r="DA83" s="5">
        <f t="shared" ca="1" si="301"/>
        <v>6.8703007692876884E-3</v>
      </c>
      <c r="DB83" s="5">
        <f t="shared" ca="1" si="302"/>
        <v>6.780949589825243E-3</v>
      </c>
      <c r="DC83" s="5">
        <f t="shared" ca="1" si="303"/>
        <v>7.1418314092077809E-3</v>
      </c>
      <c r="DD83" s="5">
        <f t="shared" ca="1" si="304"/>
        <v>6.8522743017495691E-3</v>
      </c>
      <c r="DE83" s="5">
        <f t="shared" ca="1" si="305"/>
        <v>6.6886161133696094E-3</v>
      </c>
      <c r="DF83" s="5">
        <f t="shared" ca="1" si="306"/>
        <v>6.4428332212798558E-3</v>
      </c>
      <c r="DG83" s="5">
        <f t="shared" ca="1" si="307"/>
        <v>6.7870056794870313E-3</v>
      </c>
      <c r="DH83" s="5">
        <f t="shared" ca="1" si="308"/>
        <v>6.7060093589814138E-3</v>
      </c>
      <c r="DI83" s="5">
        <f t="shared" ca="1" si="309"/>
        <v>6.6097955323718115E-3</v>
      </c>
      <c r="DJ83" s="5">
        <f t="shared" ca="1" si="310"/>
        <v>7.0429251729723502E-3</v>
      </c>
    </row>
    <row r="84" spans="5:114" outlineLevel="1" x14ac:dyDescent="0.2">
      <c r="E84" s="32">
        <v>47027</v>
      </c>
      <c r="F84" s="9">
        <v>3554.2025500799996</v>
      </c>
      <c r="G84" s="5">
        <f t="shared" ca="1" si="208"/>
        <v>4.2606412448502717E-2</v>
      </c>
      <c r="H84" s="5">
        <f t="shared" ca="1" si="209"/>
        <v>6.1566024281472622E-3</v>
      </c>
      <c r="I84" s="9">
        <f t="shared" ca="1" si="210"/>
        <v>210784.34415504787</v>
      </c>
      <c r="K84" s="6">
        <v>80</v>
      </c>
      <c r="L84" s="5">
        <v>361918.36490887369</v>
      </c>
      <c r="N84" s="32">
        <v>46997</v>
      </c>
      <c r="O84" s="5">
        <f t="shared" ca="1" si="211"/>
        <v>6.8276533038628207E-3</v>
      </c>
      <c r="P84" s="5">
        <f t="shared" ca="1" si="212"/>
        <v>6.7855165370992437E-3</v>
      </c>
      <c r="Q84" s="5">
        <f t="shared" ca="1" si="213"/>
        <v>6.5866211652268547E-3</v>
      </c>
      <c r="R84" s="5">
        <f t="shared" ca="1" si="214"/>
        <v>6.4058735363013136E-3</v>
      </c>
      <c r="S84" s="5">
        <f t="shared" ca="1" si="215"/>
        <v>6.0179003981450721E-3</v>
      </c>
      <c r="T84" s="5">
        <f t="shared" ca="1" si="216"/>
        <v>5.9813360708346327E-3</v>
      </c>
      <c r="U84" s="5">
        <f t="shared" ca="1" si="217"/>
        <v>6.7233948451129316E-3</v>
      </c>
      <c r="V84" s="5">
        <f t="shared" ca="1" si="218"/>
        <v>6.4432336585278725E-3</v>
      </c>
      <c r="W84" s="5">
        <f t="shared" ca="1" si="219"/>
        <v>6.9473814922226687E-3</v>
      </c>
      <c r="X84" s="5">
        <f t="shared" ca="1" si="220"/>
        <v>6.811174688023819E-3</v>
      </c>
      <c r="Y84" s="5">
        <f t="shared" ca="1" si="221"/>
        <v>7.1279576567405099E-3</v>
      </c>
      <c r="Z84" s="5">
        <f t="shared" ca="1" si="222"/>
        <v>7.2890377365071217E-3</v>
      </c>
      <c r="AA84" s="5">
        <f t="shared" ca="1" si="223"/>
        <v>6.652236570281465E-3</v>
      </c>
      <c r="AB84" s="5">
        <f t="shared" ca="1" si="224"/>
        <v>6.9764002367419661E-3</v>
      </c>
      <c r="AC84" s="5">
        <f t="shared" ca="1" si="225"/>
        <v>6.8640666994204992E-3</v>
      </c>
      <c r="AD84" s="5">
        <f t="shared" ca="1" si="226"/>
        <v>6.6720092933682182E-3</v>
      </c>
      <c r="AE84" s="5">
        <f t="shared" ca="1" si="227"/>
        <v>7.2655624281712421E-3</v>
      </c>
      <c r="AF84" s="5">
        <f t="shared" ca="1" si="228"/>
        <v>6.8641854877578828E-3</v>
      </c>
      <c r="AG84" s="5">
        <f t="shared" ca="1" si="229"/>
        <v>6.9787509025511221E-3</v>
      </c>
      <c r="AH84" s="5">
        <f t="shared" ca="1" si="230"/>
        <v>6.3756662193000897E-3</v>
      </c>
      <c r="AI84" s="5">
        <f t="shared" ca="1" si="231"/>
        <v>7.2139972474887489E-3</v>
      </c>
      <c r="AJ84" s="5">
        <f t="shared" ca="1" si="232"/>
        <v>6.3113128278016453E-3</v>
      </c>
      <c r="AK84" s="5">
        <f t="shared" ca="1" si="233"/>
        <v>7.1156627027563592E-3</v>
      </c>
      <c r="AL84" s="5">
        <f t="shared" ca="1" si="234"/>
        <v>6.5645514752915232E-3</v>
      </c>
      <c r="AM84" s="5">
        <f t="shared" ca="1" si="235"/>
        <v>6.7039805334797465E-3</v>
      </c>
      <c r="AN84" s="5">
        <f t="shared" ca="1" si="236"/>
        <v>6.8773345622899279E-3</v>
      </c>
      <c r="AO84" s="5">
        <f t="shared" ca="1" si="237"/>
        <v>7.5427171445698092E-3</v>
      </c>
      <c r="AP84" s="5">
        <f t="shared" ca="1" si="238"/>
        <v>6.6633432845454362E-3</v>
      </c>
      <c r="AQ84" s="5">
        <f t="shared" ca="1" si="239"/>
        <v>6.2567107616542834E-3</v>
      </c>
      <c r="AR84" s="5">
        <f t="shared" ca="1" si="240"/>
        <v>6.6293011226061004E-3</v>
      </c>
      <c r="AS84" s="5">
        <f t="shared" ca="1" si="241"/>
        <v>6.9291952021133885E-3</v>
      </c>
      <c r="AT84" s="5">
        <f t="shared" ca="1" si="242"/>
        <v>6.1098249382267027E-3</v>
      </c>
      <c r="AU84" s="5">
        <f t="shared" ca="1" si="243"/>
        <v>6.4475757778352464E-3</v>
      </c>
      <c r="AV84" s="5">
        <f t="shared" ca="1" si="244"/>
        <v>6.6878298919261598E-3</v>
      </c>
      <c r="AW84" s="5">
        <f t="shared" ca="1" si="245"/>
        <v>7.1970425276496365E-3</v>
      </c>
      <c r="AX84" s="5">
        <f t="shared" ca="1" si="246"/>
        <v>6.4157818161918959E-3</v>
      </c>
      <c r="AY84" s="5">
        <f t="shared" ca="1" si="247"/>
        <v>6.6715932102951302E-3</v>
      </c>
      <c r="AZ84" s="5">
        <f t="shared" ca="1" si="248"/>
        <v>7.4912069036846265E-3</v>
      </c>
      <c r="BA84" s="5">
        <f t="shared" ca="1" si="249"/>
        <v>6.7671999052286175E-3</v>
      </c>
      <c r="BB84" s="5">
        <f t="shared" ca="1" si="250"/>
        <v>6.8168550064842404E-3</v>
      </c>
      <c r="BC84" s="5">
        <f t="shared" ca="1" si="251"/>
        <v>6.7583959422108037E-3</v>
      </c>
      <c r="BD84" s="5">
        <f t="shared" ca="1" si="252"/>
        <v>6.6963094113625752E-3</v>
      </c>
      <c r="BE84" s="5">
        <f t="shared" ca="1" si="253"/>
        <v>7.4875371946870875E-3</v>
      </c>
      <c r="BF84" s="5">
        <f t="shared" ca="1" si="254"/>
        <v>7.0947280207979621E-3</v>
      </c>
      <c r="BG84" s="5">
        <f t="shared" ca="1" si="255"/>
        <v>6.8740761582660468E-3</v>
      </c>
      <c r="BH84" s="5">
        <f t="shared" ca="1" si="256"/>
        <v>6.096483718109144E-3</v>
      </c>
      <c r="BI84" s="5">
        <f t="shared" ca="1" si="257"/>
        <v>7.419455436542763E-3</v>
      </c>
      <c r="BJ84" s="5">
        <f t="shared" ca="1" si="258"/>
        <v>7.1135438745763054E-3</v>
      </c>
      <c r="BK84" s="5">
        <f t="shared" ca="1" si="259"/>
        <v>7.1474631788042715E-3</v>
      </c>
      <c r="BL84" s="5">
        <f t="shared" ca="1" si="260"/>
        <v>6.8701774474476491E-3</v>
      </c>
      <c r="BM84" s="5">
        <f t="shared" ca="1" si="261"/>
        <v>6.4836093116343325E-3</v>
      </c>
      <c r="BN84" s="5">
        <f t="shared" ca="1" si="262"/>
        <v>6.6763147969309163E-3</v>
      </c>
      <c r="BO84" s="5">
        <f t="shared" ca="1" si="263"/>
        <v>7.0639537266178141E-3</v>
      </c>
      <c r="BP84" s="5">
        <f t="shared" ca="1" si="264"/>
        <v>7.1422491080900281E-3</v>
      </c>
      <c r="BQ84" s="5">
        <f t="shared" ca="1" si="265"/>
        <v>6.3305246103882136E-3</v>
      </c>
      <c r="BR84" s="5">
        <f t="shared" ca="1" si="266"/>
        <v>6.4311173966969731E-3</v>
      </c>
      <c r="BS84" s="5">
        <f t="shared" ca="1" si="267"/>
        <v>6.7440429282693143E-3</v>
      </c>
      <c r="BT84" s="5">
        <f t="shared" ca="1" si="268"/>
        <v>6.5155063666449816E-3</v>
      </c>
      <c r="BU84" s="5">
        <f t="shared" ca="1" si="269"/>
        <v>6.6172454182422975E-3</v>
      </c>
      <c r="BV84" s="5">
        <f t="shared" ca="1" si="270"/>
        <v>6.7819719400749748E-3</v>
      </c>
      <c r="BW84" s="5">
        <f t="shared" ca="1" si="271"/>
        <v>6.9008275818241462E-3</v>
      </c>
      <c r="BX84" s="5">
        <f t="shared" ca="1" si="272"/>
        <v>6.9690129366692492E-3</v>
      </c>
      <c r="BY84" s="5">
        <f t="shared" ca="1" si="273"/>
        <v>6.3138833896815624E-3</v>
      </c>
      <c r="BZ84" s="5">
        <f t="shared" ca="1" si="274"/>
        <v>7.1313914921962993E-3</v>
      </c>
      <c r="CA84" s="5">
        <f t="shared" ca="1" si="275"/>
        <v>6.1478571510714631E-3</v>
      </c>
      <c r="CB84" s="5">
        <f t="shared" ca="1" si="276"/>
        <v>6.8288077936276325E-3</v>
      </c>
      <c r="CC84" s="5">
        <f t="shared" ca="1" si="277"/>
        <v>6.5559801299247874E-3</v>
      </c>
      <c r="CD84" s="5">
        <f t="shared" ca="1" si="278"/>
        <v>6.9803364816794986E-3</v>
      </c>
      <c r="CE84" s="5">
        <f t="shared" ca="1" si="279"/>
        <v>6.2706663597898301E-3</v>
      </c>
      <c r="CF84" s="5">
        <f t="shared" ca="1" si="280"/>
        <v>7.021832066192355E-3</v>
      </c>
      <c r="CG84" s="5">
        <f t="shared" ca="1" si="281"/>
        <v>6.8264709994369961E-3</v>
      </c>
      <c r="CH84" s="5">
        <f t="shared" ca="1" si="282"/>
        <v>5.9334424307199915E-3</v>
      </c>
      <c r="CI84" s="5">
        <f t="shared" ca="1" si="283"/>
        <v>6.962043008214085E-3</v>
      </c>
      <c r="CJ84" s="5">
        <f t="shared" ca="1" si="284"/>
        <v>7.068191431384591E-3</v>
      </c>
      <c r="CK84" s="5">
        <f t="shared" ca="1" si="285"/>
        <v>7.2065999638742028E-3</v>
      </c>
      <c r="CL84" s="5">
        <f t="shared" ca="1" si="286"/>
        <v>7.0327226612608455E-3</v>
      </c>
      <c r="CM84" s="5">
        <f t="shared" ca="1" si="287"/>
        <v>7.1681168182933944E-3</v>
      </c>
      <c r="CN84" s="5">
        <f t="shared" ca="1" si="288"/>
        <v>6.6057355993037739E-3</v>
      </c>
      <c r="CO84" s="5">
        <f t="shared" ca="1" si="289"/>
        <v>6.9289927660479656E-3</v>
      </c>
      <c r="CP84" s="5">
        <f t="shared" ca="1" si="290"/>
        <v>6.9324625898829597E-3</v>
      </c>
      <c r="CQ84" s="5">
        <f t="shared" ca="1" si="291"/>
        <v>7.0402502718007786E-3</v>
      </c>
      <c r="CR84" s="5">
        <f t="shared" ca="1" si="292"/>
        <v>6.8370224582811933E-3</v>
      </c>
      <c r="CS84" s="5">
        <f t="shared" ca="1" si="293"/>
        <v>6.9326902184648348E-3</v>
      </c>
      <c r="CT84" s="5">
        <f t="shared" ca="1" si="294"/>
        <v>7.3164015117080329E-3</v>
      </c>
      <c r="CU84" s="5">
        <f t="shared" ca="1" si="295"/>
        <v>6.3307994561267976E-3</v>
      </c>
      <c r="CV84" s="5">
        <f t="shared" ca="1" si="296"/>
        <v>6.7172732331160605E-3</v>
      </c>
      <c r="CW84" s="5">
        <f t="shared" ca="1" si="297"/>
        <v>6.5218939168117263E-3</v>
      </c>
      <c r="CX84" s="5">
        <f t="shared" ca="1" si="298"/>
        <v>6.4958378556003588E-3</v>
      </c>
      <c r="CY84" s="5">
        <f t="shared" ca="1" si="299"/>
        <v>6.8130530049799951E-3</v>
      </c>
      <c r="CZ84" s="5">
        <f t="shared" ca="1" si="300"/>
        <v>5.8493410946236536E-3</v>
      </c>
      <c r="DA84" s="5">
        <f t="shared" ca="1" si="301"/>
        <v>6.9238321855076028E-3</v>
      </c>
      <c r="DB84" s="5">
        <f t="shared" ca="1" si="302"/>
        <v>6.7817658178986589E-3</v>
      </c>
      <c r="DC84" s="5">
        <f t="shared" ca="1" si="303"/>
        <v>7.2028910279865622E-3</v>
      </c>
      <c r="DD84" s="5">
        <f t="shared" ca="1" si="304"/>
        <v>6.8668296089322099E-3</v>
      </c>
      <c r="DE84" s="5">
        <f t="shared" ca="1" si="305"/>
        <v>6.6699095278771022E-3</v>
      </c>
      <c r="DF84" s="5">
        <f t="shared" ca="1" si="306"/>
        <v>6.4837409149951404E-3</v>
      </c>
      <c r="DG84" s="5">
        <f t="shared" ca="1" si="307"/>
        <v>6.749932375592925E-3</v>
      </c>
      <c r="DH84" s="5">
        <f t="shared" ca="1" si="308"/>
        <v>6.718443147086136E-3</v>
      </c>
      <c r="DI84" s="5">
        <f t="shared" ca="1" si="309"/>
        <v>6.5900358166079212E-3</v>
      </c>
      <c r="DJ84" s="5">
        <f t="shared" ca="1" si="310"/>
        <v>7.0961511394763716E-3</v>
      </c>
    </row>
    <row r="85" spans="5:114" outlineLevel="1" x14ac:dyDescent="0.2">
      <c r="E85" s="32">
        <v>47058</v>
      </c>
      <c r="F85" s="9">
        <v>3554.2025500799996</v>
      </c>
      <c r="G85" s="5">
        <f t="shared" ca="1" si="208"/>
        <v>-4.3428383769652718E-2</v>
      </c>
      <c r="H85" s="5">
        <f t="shared" ca="1" si="209"/>
        <v>6.1846954499938664E-3</v>
      </c>
      <c r="I85" s="9">
        <f t="shared" ca="1" si="210"/>
        <v>214447.21111958753</v>
      </c>
      <c r="K85" s="6">
        <v>81</v>
      </c>
      <c r="L85" s="5">
        <v>362487.94423702033</v>
      </c>
      <c r="N85" s="32">
        <v>47027</v>
      </c>
      <c r="O85" s="5">
        <f t="shared" ca="1" si="211"/>
        <v>6.8800274854120078E-3</v>
      </c>
      <c r="P85" s="5">
        <f t="shared" ca="1" si="212"/>
        <v>6.7767292064474377E-3</v>
      </c>
      <c r="Q85" s="5">
        <f t="shared" ca="1" si="213"/>
        <v>6.5781071108809985E-3</v>
      </c>
      <c r="R85" s="5">
        <f t="shared" ca="1" si="214"/>
        <v>6.4607156118673134E-3</v>
      </c>
      <c r="S85" s="5">
        <f t="shared" ca="1" si="215"/>
        <v>5.9962789619697181E-3</v>
      </c>
      <c r="T85" s="5">
        <f t="shared" ca="1" si="216"/>
        <v>5.9745936691234722E-3</v>
      </c>
      <c r="U85" s="5">
        <f t="shared" ca="1" si="217"/>
        <v>6.7977179676467908E-3</v>
      </c>
      <c r="V85" s="5">
        <f t="shared" ca="1" si="218"/>
        <v>6.5216873018975252E-3</v>
      </c>
      <c r="W85" s="5">
        <f t="shared" ca="1" si="219"/>
        <v>6.9297450708298526E-3</v>
      </c>
      <c r="X85" s="5">
        <f t="shared" ca="1" si="220"/>
        <v>6.8524330480814119E-3</v>
      </c>
      <c r="Y85" s="5">
        <f t="shared" ca="1" si="221"/>
        <v>7.1375184004006231E-3</v>
      </c>
      <c r="Z85" s="5">
        <f t="shared" ca="1" si="222"/>
        <v>7.390616681620242E-3</v>
      </c>
      <c r="AA85" s="5">
        <f t="shared" ca="1" si="223"/>
        <v>6.684759623484888E-3</v>
      </c>
      <c r="AB85" s="5">
        <f t="shared" ca="1" si="224"/>
        <v>6.9651816409918698E-3</v>
      </c>
      <c r="AC85" s="5">
        <f t="shared" ca="1" si="225"/>
        <v>6.8072019144317731E-3</v>
      </c>
      <c r="AD85" s="5">
        <f t="shared" ca="1" si="226"/>
        <v>6.695526104464459E-3</v>
      </c>
      <c r="AE85" s="5">
        <f t="shared" ca="1" si="227"/>
        <v>7.2102460498287011E-3</v>
      </c>
      <c r="AF85" s="5">
        <f t="shared" ca="1" si="228"/>
        <v>6.835176092516734E-3</v>
      </c>
      <c r="AG85" s="5">
        <f t="shared" ca="1" si="229"/>
        <v>6.9189773612772613E-3</v>
      </c>
      <c r="AH85" s="5">
        <f t="shared" ca="1" si="230"/>
        <v>6.4112131678548392E-3</v>
      </c>
      <c r="AI85" s="5">
        <f t="shared" ca="1" si="231"/>
        <v>7.2510373949302535E-3</v>
      </c>
      <c r="AJ85" s="5">
        <f t="shared" ca="1" si="232"/>
        <v>6.3536784166416289E-3</v>
      </c>
      <c r="AK85" s="5">
        <f t="shared" ca="1" si="233"/>
        <v>7.1670362263399233E-3</v>
      </c>
      <c r="AL85" s="5">
        <f t="shared" ca="1" si="234"/>
        <v>6.6307204492397761E-3</v>
      </c>
      <c r="AM85" s="5">
        <f t="shared" ca="1" si="235"/>
        <v>6.7652834542726885E-3</v>
      </c>
      <c r="AN85" s="5">
        <f t="shared" ca="1" si="236"/>
        <v>6.921074029472756E-3</v>
      </c>
      <c r="AO85" s="5">
        <f t="shared" ca="1" si="237"/>
        <v>7.5587410584872341E-3</v>
      </c>
      <c r="AP85" s="5">
        <f t="shared" ca="1" si="238"/>
        <v>6.7215515167548829E-3</v>
      </c>
      <c r="AQ85" s="5">
        <f t="shared" ca="1" si="239"/>
        <v>6.246668205814385E-3</v>
      </c>
      <c r="AR85" s="5">
        <f t="shared" ca="1" si="240"/>
        <v>6.5931688669319697E-3</v>
      </c>
      <c r="AS85" s="5">
        <f t="shared" ca="1" si="241"/>
        <v>7.0020264551396783E-3</v>
      </c>
      <c r="AT85" s="5">
        <f t="shared" ca="1" si="242"/>
        <v>6.1395986891671327E-3</v>
      </c>
      <c r="AU85" s="5">
        <f t="shared" ca="1" si="243"/>
        <v>6.4051383821653448E-3</v>
      </c>
      <c r="AV85" s="5">
        <f t="shared" ca="1" si="244"/>
        <v>6.6597872458852327E-3</v>
      </c>
      <c r="AW85" s="5">
        <f t="shared" ca="1" si="245"/>
        <v>7.21283897435805E-3</v>
      </c>
      <c r="AX85" s="5">
        <f t="shared" ca="1" si="246"/>
        <v>6.4772961274880822E-3</v>
      </c>
      <c r="AY85" s="5">
        <f t="shared" ca="1" si="247"/>
        <v>6.7650972944426103E-3</v>
      </c>
      <c r="AZ85" s="5">
        <f t="shared" ca="1" si="248"/>
        <v>7.5155103471326451E-3</v>
      </c>
      <c r="BA85" s="5">
        <f t="shared" ca="1" si="249"/>
        <v>6.8642875512941494E-3</v>
      </c>
      <c r="BB85" s="5">
        <f t="shared" ca="1" si="250"/>
        <v>6.8417060351046175E-3</v>
      </c>
      <c r="BC85" s="5">
        <f t="shared" ca="1" si="251"/>
        <v>6.7867727981387052E-3</v>
      </c>
      <c r="BD85" s="5">
        <f t="shared" ca="1" si="252"/>
        <v>6.7608782124674253E-3</v>
      </c>
      <c r="BE85" s="5">
        <f t="shared" ca="1" si="253"/>
        <v>7.5428149168930113E-3</v>
      </c>
      <c r="BF85" s="5">
        <f t="shared" ca="1" si="254"/>
        <v>7.0233456179736135E-3</v>
      </c>
      <c r="BG85" s="5">
        <f t="shared" ca="1" si="255"/>
        <v>6.9138517993513875E-3</v>
      </c>
      <c r="BH85" s="5">
        <f t="shared" ca="1" si="256"/>
        <v>6.0548251926388916E-3</v>
      </c>
      <c r="BI85" s="5">
        <f t="shared" ca="1" si="257"/>
        <v>7.4051528895740792E-3</v>
      </c>
      <c r="BJ85" s="5">
        <f t="shared" ca="1" si="258"/>
        <v>7.0766877148301958E-3</v>
      </c>
      <c r="BK85" s="5">
        <f t="shared" ca="1" si="259"/>
        <v>7.2632244262075636E-3</v>
      </c>
      <c r="BL85" s="5">
        <f t="shared" ca="1" si="260"/>
        <v>6.8706113342242832E-3</v>
      </c>
      <c r="BM85" s="5">
        <f t="shared" ca="1" si="261"/>
        <v>6.4564675921354973E-3</v>
      </c>
      <c r="BN85" s="5">
        <f t="shared" ca="1" si="262"/>
        <v>6.6431468999661701E-3</v>
      </c>
      <c r="BO85" s="5">
        <f t="shared" ca="1" si="263"/>
        <v>7.0309967196125062E-3</v>
      </c>
      <c r="BP85" s="5">
        <f t="shared" ca="1" si="264"/>
        <v>7.1089063216099582E-3</v>
      </c>
      <c r="BQ85" s="5">
        <f t="shared" ca="1" si="265"/>
        <v>6.3233560728195711E-3</v>
      </c>
      <c r="BR85" s="5">
        <f t="shared" ca="1" si="266"/>
        <v>6.4397953464807867E-3</v>
      </c>
      <c r="BS85" s="5">
        <f t="shared" ca="1" si="267"/>
        <v>6.6819714289248757E-3</v>
      </c>
      <c r="BT85" s="5">
        <f t="shared" ca="1" si="268"/>
        <v>6.531685658858098E-3</v>
      </c>
      <c r="BU85" s="5">
        <f t="shared" ca="1" si="269"/>
        <v>6.580056043357446E-3</v>
      </c>
      <c r="BV85" s="5">
        <f t="shared" ca="1" si="270"/>
        <v>6.7801835325386386E-3</v>
      </c>
      <c r="BW85" s="5">
        <f t="shared" ca="1" si="271"/>
        <v>6.9209501086076441E-3</v>
      </c>
      <c r="BX85" s="5">
        <f t="shared" ca="1" si="272"/>
        <v>6.9954961505927027E-3</v>
      </c>
      <c r="BY85" s="5">
        <f t="shared" ca="1" si="273"/>
        <v>6.3215946978028136E-3</v>
      </c>
      <c r="BZ85" s="5">
        <f t="shared" ca="1" si="274"/>
        <v>7.1443420696198417E-3</v>
      </c>
      <c r="CA85" s="5">
        <f t="shared" ca="1" si="275"/>
        <v>6.1529201399201884E-3</v>
      </c>
      <c r="CB85" s="5">
        <f t="shared" ca="1" si="276"/>
        <v>6.8741020091575775E-3</v>
      </c>
      <c r="CC85" s="5">
        <f t="shared" ca="1" si="277"/>
        <v>6.5506243536504541E-3</v>
      </c>
      <c r="CD85" s="5">
        <f t="shared" ca="1" si="278"/>
        <v>6.9918586939667392E-3</v>
      </c>
      <c r="CE85" s="5">
        <f t="shared" ca="1" si="279"/>
        <v>6.3026972583428544E-3</v>
      </c>
      <c r="CF85" s="5">
        <f t="shared" ca="1" si="280"/>
        <v>7.091753629000685E-3</v>
      </c>
      <c r="CG85" s="5">
        <f t="shared" ca="1" si="281"/>
        <v>6.8055172780875301E-3</v>
      </c>
      <c r="CH85" s="5">
        <f t="shared" ca="1" si="282"/>
        <v>5.900012272097294E-3</v>
      </c>
      <c r="CI85" s="5">
        <f t="shared" ca="1" si="283"/>
        <v>6.9293015281306899E-3</v>
      </c>
      <c r="CJ85" s="5">
        <f t="shared" ca="1" si="284"/>
        <v>7.1299324756392748E-3</v>
      </c>
      <c r="CK85" s="5">
        <f t="shared" ca="1" si="285"/>
        <v>7.1786784890950301E-3</v>
      </c>
      <c r="CL85" s="5">
        <f t="shared" ca="1" si="286"/>
        <v>7.0411210582895329E-3</v>
      </c>
      <c r="CM85" s="5">
        <f t="shared" ca="1" si="287"/>
        <v>7.1642059076303926E-3</v>
      </c>
      <c r="CN85" s="5">
        <f t="shared" ca="1" si="288"/>
        <v>6.5712663201852647E-3</v>
      </c>
      <c r="CO85" s="5">
        <f t="shared" ca="1" si="289"/>
        <v>6.9255780020376244E-3</v>
      </c>
      <c r="CP85" s="5">
        <f t="shared" ca="1" si="290"/>
        <v>6.84615553966097E-3</v>
      </c>
      <c r="CQ85" s="5">
        <f t="shared" ca="1" si="291"/>
        <v>6.980673002331299E-3</v>
      </c>
      <c r="CR85" s="5">
        <f t="shared" ca="1" si="292"/>
        <v>6.8482221894610599E-3</v>
      </c>
      <c r="CS85" s="5">
        <f t="shared" ca="1" si="293"/>
        <v>6.9237436020382331E-3</v>
      </c>
      <c r="CT85" s="5">
        <f t="shared" ca="1" si="294"/>
        <v>7.3217005695244168E-3</v>
      </c>
      <c r="CU85" s="5">
        <f t="shared" ca="1" si="295"/>
        <v>6.3562455754354406E-3</v>
      </c>
      <c r="CV85" s="5">
        <f t="shared" ca="1" si="296"/>
        <v>6.7784842782965598E-3</v>
      </c>
      <c r="CW85" s="5">
        <f t="shared" ca="1" si="297"/>
        <v>6.5222194641718668E-3</v>
      </c>
      <c r="CX85" s="5">
        <f t="shared" ca="1" si="298"/>
        <v>6.5190339553910697E-3</v>
      </c>
      <c r="CY85" s="5">
        <f t="shared" ca="1" si="299"/>
        <v>6.7595586379308042E-3</v>
      </c>
      <c r="CZ85" s="5">
        <f t="shared" ca="1" si="300"/>
        <v>5.8743469728211916E-3</v>
      </c>
      <c r="DA85" s="5">
        <f t="shared" ca="1" si="301"/>
        <v>6.8772186792203831E-3</v>
      </c>
      <c r="DB85" s="5">
        <f t="shared" ca="1" si="302"/>
        <v>6.7924432577148404E-3</v>
      </c>
      <c r="DC85" s="5">
        <f t="shared" ca="1" si="303"/>
        <v>7.1807112988314997E-3</v>
      </c>
      <c r="DD85" s="5">
        <f t="shared" ca="1" si="304"/>
        <v>6.8298549500947743E-3</v>
      </c>
      <c r="DE85" s="5">
        <f t="shared" ca="1" si="305"/>
        <v>6.6874579098815607E-3</v>
      </c>
      <c r="DF85" s="5">
        <f t="shared" ca="1" si="306"/>
        <v>6.5362938883466795E-3</v>
      </c>
      <c r="DG85" s="5">
        <f t="shared" ca="1" si="307"/>
        <v>6.7370898229048596E-3</v>
      </c>
      <c r="DH85" s="5">
        <f t="shared" ca="1" si="308"/>
        <v>6.7819381797575469E-3</v>
      </c>
      <c r="DI85" s="5">
        <f t="shared" ca="1" si="309"/>
        <v>6.6807058162558289E-3</v>
      </c>
      <c r="DJ85" s="5">
        <f t="shared" ca="1" si="310"/>
        <v>7.1177609553994417E-3</v>
      </c>
    </row>
    <row r="86" spans="5:114" outlineLevel="1" x14ac:dyDescent="0.2">
      <c r="E86" s="32">
        <v>47088</v>
      </c>
      <c r="F86" s="9">
        <v>3554.2025500799996</v>
      </c>
      <c r="G86" s="5">
        <f t="shared" ca="1" si="208"/>
        <v>0.10166392558063704</v>
      </c>
      <c r="H86" s="5">
        <f t="shared" ca="1" si="209"/>
        <v>6.1689111821983762E-3</v>
      </c>
      <c r="I86" s="9">
        <f t="shared" ca="1" si="210"/>
        <v>218111.68416083071</v>
      </c>
      <c r="K86" s="6">
        <v>82</v>
      </c>
      <c r="L86" s="5">
        <v>361818.01241069951</v>
      </c>
      <c r="N86" s="32">
        <v>47058</v>
      </c>
      <c r="O86" s="5">
        <f t="shared" ca="1" si="211"/>
        <v>6.9412300366775313E-3</v>
      </c>
      <c r="P86" s="5">
        <f t="shared" ca="1" si="212"/>
        <v>6.7953140389261377E-3</v>
      </c>
      <c r="Q86" s="5">
        <f t="shared" ca="1" si="213"/>
        <v>6.5246043727017929E-3</v>
      </c>
      <c r="R86" s="5">
        <f t="shared" ca="1" si="214"/>
        <v>6.4408348121152174E-3</v>
      </c>
      <c r="S86" s="5">
        <f t="shared" ca="1" si="215"/>
        <v>5.9593334546381689E-3</v>
      </c>
      <c r="T86" s="5">
        <f t="shared" ca="1" si="216"/>
        <v>5.9789598721423079E-3</v>
      </c>
      <c r="U86" s="5">
        <f t="shared" ca="1" si="217"/>
        <v>6.8403707634516128E-3</v>
      </c>
      <c r="V86" s="5">
        <f t="shared" ca="1" si="218"/>
        <v>6.4620762297659569E-3</v>
      </c>
      <c r="W86" s="5">
        <f t="shared" ca="1" si="219"/>
        <v>7.0184165005499526E-3</v>
      </c>
      <c r="X86" s="5">
        <f t="shared" ca="1" si="220"/>
        <v>6.9002538876853179E-3</v>
      </c>
      <c r="Y86" s="5">
        <f t="shared" ca="1" si="221"/>
        <v>7.248214054025111E-3</v>
      </c>
      <c r="Z86" s="5">
        <f t="shared" ca="1" si="222"/>
        <v>7.3969670857178893E-3</v>
      </c>
      <c r="AA86" s="5">
        <f t="shared" ca="1" si="223"/>
        <v>6.7201990369410306E-3</v>
      </c>
      <c r="AB86" s="5">
        <f t="shared" ca="1" si="224"/>
        <v>6.9793257986825469E-3</v>
      </c>
      <c r="AC86" s="5">
        <f t="shared" ca="1" si="225"/>
        <v>6.8327623325978009E-3</v>
      </c>
      <c r="AD86" s="5">
        <f t="shared" ca="1" si="226"/>
        <v>6.6857326140832866E-3</v>
      </c>
      <c r="AE86" s="5">
        <f t="shared" ca="1" si="227"/>
        <v>7.2735959138925388E-3</v>
      </c>
      <c r="AF86" s="5">
        <f t="shared" ca="1" si="228"/>
        <v>6.8158739744472218E-3</v>
      </c>
      <c r="AG86" s="5">
        <f t="shared" ca="1" si="229"/>
        <v>6.9329763320569266E-3</v>
      </c>
      <c r="AH86" s="5">
        <f t="shared" ca="1" si="230"/>
        <v>6.3611152150979469E-3</v>
      </c>
      <c r="AI86" s="5">
        <f t="shared" ca="1" si="231"/>
        <v>7.2704567733312764E-3</v>
      </c>
      <c r="AJ86" s="5">
        <f t="shared" ca="1" si="232"/>
        <v>6.3903662900043753E-3</v>
      </c>
      <c r="AK86" s="5">
        <f t="shared" ca="1" si="233"/>
        <v>7.1736935002067979E-3</v>
      </c>
      <c r="AL86" s="5">
        <f t="shared" ca="1" si="234"/>
        <v>6.6069127738832946E-3</v>
      </c>
      <c r="AM86" s="5">
        <f t="shared" ca="1" si="235"/>
        <v>6.801887100955176E-3</v>
      </c>
      <c r="AN86" s="5">
        <f t="shared" ca="1" si="236"/>
        <v>6.8436738171576191E-3</v>
      </c>
      <c r="AO86" s="5">
        <f t="shared" ca="1" si="237"/>
        <v>7.6069522828672602E-3</v>
      </c>
      <c r="AP86" s="5">
        <f t="shared" ca="1" si="238"/>
        <v>6.744553917407547E-3</v>
      </c>
      <c r="AQ86" s="5">
        <f t="shared" ca="1" si="239"/>
        <v>6.2040479102814169E-3</v>
      </c>
      <c r="AR86" s="5">
        <f t="shared" ca="1" si="240"/>
        <v>6.5988158699435773E-3</v>
      </c>
      <c r="AS86" s="5">
        <f t="shared" ca="1" si="241"/>
        <v>7.0259947040767212E-3</v>
      </c>
      <c r="AT86" s="5">
        <f t="shared" ca="1" si="242"/>
        <v>6.1105229414970628E-3</v>
      </c>
      <c r="AU86" s="5">
        <f t="shared" ca="1" si="243"/>
        <v>6.4515363426197597E-3</v>
      </c>
      <c r="AV86" s="5">
        <f t="shared" ca="1" si="244"/>
        <v>6.5606105539701351E-3</v>
      </c>
      <c r="AW86" s="5">
        <f t="shared" ca="1" si="245"/>
        <v>7.2394101502906193E-3</v>
      </c>
      <c r="AX86" s="5">
        <f t="shared" ca="1" si="246"/>
        <v>6.3474996185206257E-3</v>
      </c>
      <c r="AY86" s="5">
        <f t="shared" ca="1" si="247"/>
        <v>6.8179998526363243E-3</v>
      </c>
      <c r="AZ86" s="5">
        <f t="shared" ca="1" si="248"/>
        <v>7.5181935919953966E-3</v>
      </c>
      <c r="BA86" s="5">
        <f t="shared" ca="1" si="249"/>
        <v>6.8327646276623516E-3</v>
      </c>
      <c r="BB86" s="5">
        <f t="shared" ca="1" si="250"/>
        <v>6.7790811842940177E-3</v>
      </c>
      <c r="BC86" s="5">
        <f t="shared" ca="1" si="251"/>
        <v>6.7716373977208142E-3</v>
      </c>
      <c r="BD86" s="5">
        <f t="shared" ca="1" si="252"/>
        <v>6.7626940782031146E-3</v>
      </c>
      <c r="BE86" s="5">
        <f t="shared" ca="1" si="253"/>
        <v>7.4847704602837416E-3</v>
      </c>
      <c r="BF86" s="5">
        <f t="shared" ca="1" si="254"/>
        <v>7.0148396015437637E-3</v>
      </c>
      <c r="BG86" s="5">
        <f t="shared" ca="1" si="255"/>
        <v>6.913289297526235E-3</v>
      </c>
      <c r="BH86" s="5">
        <f t="shared" ca="1" si="256"/>
        <v>6.0161799346735781E-3</v>
      </c>
      <c r="BI86" s="5">
        <f t="shared" ca="1" si="257"/>
        <v>7.4604148435318072E-3</v>
      </c>
      <c r="BJ86" s="5">
        <f t="shared" ca="1" si="258"/>
        <v>7.0588347713219229E-3</v>
      </c>
      <c r="BK86" s="5">
        <f t="shared" ca="1" si="259"/>
        <v>7.240604078333171E-3</v>
      </c>
      <c r="BL86" s="5">
        <f t="shared" ca="1" si="260"/>
        <v>6.8920148790861712E-3</v>
      </c>
      <c r="BM86" s="5">
        <f t="shared" ca="1" si="261"/>
        <v>6.4663088481810354E-3</v>
      </c>
      <c r="BN86" s="5">
        <f t="shared" ca="1" si="262"/>
        <v>6.6461527171348097E-3</v>
      </c>
      <c r="BO86" s="5">
        <f t="shared" ca="1" si="263"/>
        <v>7.0613569000446573E-3</v>
      </c>
      <c r="BP86" s="5">
        <f t="shared" ca="1" si="264"/>
        <v>7.0806306886847465E-3</v>
      </c>
      <c r="BQ86" s="5">
        <f t="shared" ca="1" si="265"/>
        <v>6.3193852689593811E-3</v>
      </c>
      <c r="BR86" s="5">
        <f t="shared" ca="1" si="266"/>
        <v>6.5360601414281979E-3</v>
      </c>
      <c r="BS86" s="5">
        <f t="shared" ca="1" si="267"/>
        <v>6.6678238661099353E-3</v>
      </c>
      <c r="BT86" s="5">
        <f t="shared" ca="1" si="268"/>
        <v>6.5937456732578963E-3</v>
      </c>
      <c r="BU86" s="5">
        <f t="shared" ca="1" si="269"/>
        <v>6.6005381016602223E-3</v>
      </c>
      <c r="BV86" s="5">
        <f t="shared" ca="1" si="270"/>
        <v>6.7587886451132518E-3</v>
      </c>
      <c r="BW86" s="5">
        <f t="shared" ca="1" si="271"/>
        <v>6.9087956073021961E-3</v>
      </c>
      <c r="BX86" s="5">
        <f t="shared" ca="1" si="272"/>
        <v>6.9981473267015796E-3</v>
      </c>
      <c r="BY86" s="5">
        <f t="shared" ca="1" si="273"/>
        <v>6.3422451194279326E-3</v>
      </c>
      <c r="BZ86" s="5">
        <f t="shared" ca="1" si="274"/>
        <v>7.1271126405737465E-3</v>
      </c>
      <c r="CA86" s="5">
        <f t="shared" ca="1" si="275"/>
        <v>6.2255930790710689E-3</v>
      </c>
      <c r="CB86" s="5">
        <f t="shared" ca="1" si="276"/>
        <v>6.8546300629343544E-3</v>
      </c>
      <c r="CC86" s="5">
        <f t="shared" ca="1" si="277"/>
        <v>6.6210209714011722E-3</v>
      </c>
      <c r="CD86" s="5">
        <f t="shared" ca="1" si="278"/>
        <v>6.9550202855571779E-3</v>
      </c>
      <c r="CE86" s="5">
        <f t="shared" ca="1" si="279"/>
        <v>6.3524059897442295E-3</v>
      </c>
      <c r="CF86" s="5">
        <f t="shared" ca="1" si="280"/>
        <v>7.1141139435505945E-3</v>
      </c>
      <c r="CG86" s="5">
        <f t="shared" ca="1" si="281"/>
        <v>6.8830168402972021E-3</v>
      </c>
      <c r="CH86" s="5">
        <f t="shared" ca="1" si="282"/>
        <v>5.907047262311723E-3</v>
      </c>
      <c r="CI86" s="5">
        <f t="shared" ca="1" si="283"/>
        <v>6.9873743161837096E-3</v>
      </c>
      <c r="CJ86" s="5">
        <f t="shared" ca="1" si="284"/>
        <v>7.1505417639434734E-3</v>
      </c>
      <c r="CK86" s="5">
        <f t="shared" ca="1" si="285"/>
        <v>7.1983651508148389E-3</v>
      </c>
      <c r="CL86" s="5">
        <f t="shared" ca="1" si="286"/>
        <v>7.1159544194318762E-3</v>
      </c>
      <c r="CM86" s="5">
        <f t="shared" ca="1" si="287"/>
        <v>7.1358247756117934E-3</v>
      </c>
      <c r="CN86" s="5">
        <f t="shared" ca="1" si="288"/>
        <v>6.5636077049061508E-3</v>
      </c>
      <c r="CO86" s="5">
        <f t="shared" ca="1" si="289"/>
        <v>6.9058339246816109E-3</v>
      </c>
      <c r="CP86" s="5">
        <f t="shared" ca="1" si="290"/>
        <v>6.8271670881217099E-3</v>
      </c>
      <c r="CQ86" s="5">
        <f t="shared" ca="1" si="291"/>
        <v>7.0287779343707621E-3</v>
      </c>
      <c r="CR86" s="5">
        <f t="shared" ca="1" si="292"/>
        <v>6.8950299900877778E-3</v>
      </c>
      <c r="CS86" s="5">
        <f t="shared" ca="1" si="293"/>
        <v>7.0401020423089605E-3</v>
      </c>
      <c r="CT86" s="5">
        <f t="shared" ca="1" si="294"/>
        <v>7.3509919608145862E-3</v>
      </c>
      <c r="CU86" s="5">
        <f t="shared" ca="1" si="295"/>
        <v>6.4518380515374962E-3</v>
      </c>
      <c r="CV86" s="5">
        <f t="shared" ca="1" si="296"/>
        <v>6.8385470092857999E-3</v>
      </c>
      <c r="CW86" s="5">
        <f t="shared" ca="1" si="297"/>
        <v>6.5658327993574593E-3</v>
      </c>
      <c r="CX86" s="5">
        <f t="shared" ca="1" si="298"/>
        <v>6.4559369544866753E-3</v>
      </c>
      <c r="CY86" s="5">
        <f t="shared" ca="1" si="299"/>
        <v>6.7864079816769632E-3</v>
      </c>
      <c r="CZ86" s="5">
        <f t="shared" ca="1" si="300"/>
        <v>5.8809088049995347E-3</v>
      </c>
      <c r="DA86" s="5">
        <f t="shared" ca="1" si="301"/>
        <v>6.9109788877634538E-3</v>
      </c>
      <c r="DB86" s="5">
        <f t="shared" ca="1" si="302"/>
        <v>6.8619730414646741E-3</v>
      </c>
      <c r="DC86" s="5">
        <f t="shared" ca="1" si="303"/>
        <v>7.203541984770967E-3</v>
      </c>
      <c r="DD86" s="5">
        <f t="shared" ca="1" si="304"/>
        <v>6.8473941018729369E-3</v>
      </c>
      <c r="DE86" s="5">
        <f t="shared" ca="1" si="305"/>
        <v>6.7561765002524185E-3</v>
      </c>
      <c r="DF86" s="5">
        <f t="shared" ca="1" si="306"/>
        <v>6.6091910360503558E-3</v>
      </c>
      <c r="DG86" s="5">
        <f t="shared" ca="1" si="307"/>
        <v>6.7887387154690641E-3</v>
      </c>
      <c r="DH86" s="5">
        <f t="shared" ca="1" si="308"/>
        <v>6.8141212105659122E-3</v>
      </c>
      <c r="DI86" s="5">
        <f t="shared" ca="1" si="309"/>
        <v>6.644078739552463E-3</v>
      </c>
      <c r="DJ86" s="5">
        <f t="shared" ca="1" si="310"/>
        <v>7.1158474099190421E-3</v>
      </c>
    </row>
    <row r="87" spans="5:114" outlineLevel="1" x14ac:dyDescent="0.2">
      <c r="E87" s="32">
        <v>47119</v>
      </c>
      <c r="F87" s="9">
        <v>3554.2025500799996</v>
      </c>
      <c r="G87" s="5">
        <f t="shared" ca="1" si="208"/>
        <v>0.15431188018579906</v>
      </c>
      <c r="H87" s="5">
        <f t="shared" ca="1" si="209"/>
        <v>6.2270243488050337E-3</v>
      </c>
      <c r="I87" s="9">
        <f t="shared" ca="1" si="210"/>
        <v>221779.09831284772</v>
      </c>
      <c r="K87" s="6">
        <v>83</v>
      </c>
      <c r="L87" s="5">
        <v>363258.28672442981</v>
      </c>
      <c r="N87" s="32">
        <v>47088</v>
      </c>
      <c r="O87" s="5">
        <f t="shared" ca="1" si="211"/>
        <v>6.9199561708513328E-3</v>
      </c>
      <c r="P87" s="5">
        <f t="shared" ca="1" si="212"/>
        <v>6.7484581902070217E-3</v>
      </c>
      <c r="Q87" s="5">
        <f t="shared" ca="1" si="213"/>
        <v>6.546094540572877E-3</v>
      </c>
      <c r="R87" s="5">
        <f t="shared" ca="1" si="214"/>
        <v>6.4178874712282983E-3</v>
      </c>
      <c r="S87" s="5">
        <f t="shared" ca="1" si="215"/>
        <v>6.03656152329259E-3</v>
      </c>
      <c r="T87" s="5">
        <f t="shared" ca="1" si="216"/>
        <v>5.9556873574011767E-3</v>
      </c>
      <c r="U87" s="5">
        <f t="shared" ca="1" si="217"/>
        <v>6.8532147341172972E-3</v>
      </c>
      <c r="V87" s="5">
        <f t="shared" ca="1" si="218"/>
        <v>6.4614046042161038E-3</v>
      </c>
      <c r="W87" s="5">
        <f t="shared" ca="1" si="219"/>
        <v>6.9944339388487769E-3</v>
      </c>
      <c r="X87" s="5">
        <f t="shared" ca="1" si="220"/>
        <v>6.8375849044699823E-3</v>
      </c>
      <c r="Y87" s="5">
        <f t="shared" ca="1" si="221"/>
        <v>7.1853086475184829E-3</v>
      </c>
      <c r="Z87" s="5">
        <f t="shared" ca="1" si="222"/>
        <v>7.408205739099321E-3</v>
      </c>
      <c r="AA87" s="5">
        <f t="shared" ca="1" si="223"/>
        <v>6.6827853304837004E-3</v>
      </c>
      <c r="AB87" s="5">
        <f t="shared" ca="1" si="224"/>
        <v>7.0004804903563709E-3</v>
      </c>
      <c r="AC87" s="5">
        <f t="shared" ca="1" si="225"/>
        <v>6.8543046360335516E-3</v>
      </c>
      <c r="AD87" s="5">
        <f t="shared" ca="1" si="226"/>
        <v>6.7028908346044537E-3</v>
      </c>
      <c r="AE87" s="5">
        <f t="shared" ca="1" si="227"/>
        <v>7.2971520777183174E-3</v>
      </c>
      <c r="AF87" s="5">
        <f t="shared" ca="1" si="228"/>
        <v>6.7692666147558447E-3</v>
      </c>
      <c r="AG87" s="5">
        <f t="shared" ca="1" si="229"/>
        <v>6.9499456746804694E-3</v>
      </c>
      <c r="AH87" s="5">
        <f t="shared" ca="1" si="230"/>
        <v>6.3583055599570606E-3</v>
      </c>
      <c r="AI87" s="5">
        <f t="shared" ca="1" si="231"/>
        <v>7.2984491172528717E-3</v>
      </c>
      <c r="AJ87" s="5">
        <f t="shared" ca="1" si="232"/>
        <v>6.3908727592009761E-3</v>
      </c>
      <c r="AK87" s="5">
        <f t="shared" ca="1" si="233"/>
        <v>7.1482619601634188E-3</v>
      </c>
      <c r="AL87" s="5">
        <f t="shared" ca="1" si="234"/>
        <v>6.6679569704287444E-3</v>
      </c>
      <c r="AM87" s="5">
        <f t="shared" ca="1" si="235"/>
        <v>6.7503617496601038E-3</v>
      </c>
      <c r="AN87" s="5">
        <f t="shared" ca="1" si="236"/>
        <v>6.8428236602242256E-3</v>
      </c>
      <c r="AO87" s="5">
        <f t="shared" ca="1" si="237"/>
        <v>7.6211275906687709E-3</v>
      </c>
      <c r="AP87" s="5">
        <f t="shared" ca="1" si="238"/>
        <v>6.7731376458968319E-3</v>
      </c>
      <c r="AQ87" s="5">
        <f t="shared" ca="1" si="239"/>
        <v>6.2518200480827331E-3</v>
      </c>
      <c r="AR87" s="5">
        <f t="shared" ca="1" si="240"/>
        <v>6.581104662354338E-3</v>
      </c>
      <c r="AS87" s="5">
        <f t="shared" ca="1" si="241"/>
        <v>7.0804110264054291E-3</v>
      </c>
      <c r="AT87" s="5">
        <f t="shared" ca="1" si="242"/>
        <v>6.0549406769832099E-3</v>
      </c>
      <c r="AU87" s="5">
        <f t="shared" ca="1" si="243"/>
        <v>6.4856930766671638E-3</v>
      </c>
      <c r="AV87" s="5">
        <f t="shared" ca="1" si="244"/>
        <v>6.4506793201200745E-3</v>
      </c>
      <c r="AW87" s="5">
        <f t="shared" ca="1" si="245"/>
        <v>7.2745266618912899E-3</v>
      </c>
      <c r="AX87" s="5">
        <f t="shared" ca="1" si="246"/>
        <v>6.3846536695721162E-3</v>
      </c>
      <c r="AY87" s="5">
        <f t="shared" ca="1" si="247"/>
        <v>6.8299920952235279E-3</v>
      </c>
      <c r="AZ87" s="5">
        <f t="shared" ca="1" si="248"/>
        <v>7.5810669313852008E-3</v>
      </c>
      <c r="BA87" s="5">
        <f t="shared" ca="1" si="249"/>
        <v>6.8684668596492842E-3</v>
      </c>
      <c r="BB87" s="5">
        <f t="shared" ca="1" si="250"/>
        <v>6.8338102466512455E-3</v>
      </c>
      <c r="BC87" s="5">
        <f t="shared" ca="1" si="251"/>
        <v>6.792482531034625E-3</v>
      </c>
      <c r="BD87" s="5">
        <f t="shared" ca="1" si="252"/>
        <v>6.7308055332837543E-3</v>
      </c>
      <c r="BE87" s="5">
        <f t="shared" ca="1" si="253"/>
        <v>7.5086860006931943E-3</v>
      </c>
      <c r="BF87" s="5">
        <f t="shared" ca="1" si="254"/>
        <v>7.0049497434836669E-3</v>
      </c>
      <c r="BG87" s="5">
        <f t="shared" ca="1" si="255"/>
        <v>6.937616031604271E-3</v>
      </c>
      <c r="BH87" s="5">
        <f t="shared" ca="1" si="256"/>
        <v>6.0475897944861912E-3</v>
      </c>
      <c r="BI87" s="5">
        <f t="shared" ca="1" si="257"/>
        <v>7.5490670203356754E-3</v>
      </c>
      <c r="BJ87" s="5">
        <f t="shared" ca="1" si="258"/>
        <v>7.0594247031390027E-3</v>
      </c>
      <c r="BK87" s="5">
        <f t="shared" ca="1" si="259"/>
        <v>7.2827994634496289E-3</v>
      </c>
      <c r="BL87" s="5">
        <f t="shared" ca="1" si="260"/>
        <v>6.8601957637574543E-3</v>
      </c>
      <c r="BM87" s="5">
        <f t="shared" ca="1" si="261"/>
        <v>6.5407527666156411E-3</v>
      </c>
      <c r="BN87" s="5">
        <f t="shared" ca="1" si="262"/>
        <v>6.6233037010586778E-3</v>
      </c>
      <c r="BO87" s="5">
        <f t="shared" ca="1" si="263"/>
        <v>7.0192814807196729E-3</v>
      </c>
      <c r="BP87" s="5">
        <f t="shared" ca="1" si="264"/>
        <v>6.9915554310090895E-3</v>
      </c>
      <c r="BQ87" s="5">
        <f t="shared" ca="1" si="265"/>
        <v>6.3128407998955553E-3</v>
      </c>
      <c r="BR87" s="5">
        <f t="shared" ca="1" si="266"/>
        <v>6.5523104565527119E-3</v>
      </c>
      <c r="BS87" s="5">
        <f t="shared" ca="1" si="267"/>
        <v>6.6047750638116593E-3</v>
      </c>
      <c r="BT87" s="5">
        <f t="shared" ca="1" si="268"/>
        <v>6.5831908872377339E-3</v>
      </c>
      <c r="BU87" s="5">
        <f t="shared" ca="1" si="269"/>
        <v>6.6147158723224055E-3</v>
      </c>
      <c r="BV87" s="5">
        <f t="shared" ca="1" si="270"/>
        <v>6.8183007451010835E-3</v>
      </c>
      <c r="BW87" s="5">
        <f t="shared" ca="1" si="271"/>
        <v>6.8895239582355697E-3</v>
      </c>
      <c r="BX87" s="5">
        <f t="shared" ca="1" si="272"/>
        <v>7.0012198813875709E-3</v>
      </c>
      <c r="BY87" s="5">
        <f t="shared" ca="1" si="273"/>
        <v>6.3989778693200718E-3</v>
      </c>
      <c r="BZ87" s="5">
        <f t="shared" ca="1" si="274"/>
        <v>7.1792316566027239E-3</v>
      </c>
      <c r="CA87" s="5">
        <f t="shared" ca="1" si="275"/>
        <v>6.244468749582296E-3</v>
      </c>
      <c r="CB87" s="5">
        <f t="shared" ca="1" si="276"/>
        <v>6.869578849272741E-3</v>
      </c>
      <c r="CC87" s="5">
        <f t="shared" ca="1" si="277"/>
        <v>6.6116817379394234E-3</v>
      </c>
      <c r="CD87" s="5">
        <f t="shared" ca="1" si="278"/>
        <v>6.9709685109838613E-3</v>
      </c>
      <c r="CE87" s="5">
        <f t="shared" ca="1" si="279"/>
        <v>6.3707013709429442E-3</v>
      </c>
      <c r="CF87" s="5">
        <f t="shared" ca="1" si="280"/>
        <v>7.1256426940034031E-3</v>
      </c>
      <c r="CG87" s="5">
        <f t="shared" ca="1" si="281"/>
        <v>6.8677258202084956E-3</v>
      </c>
      <c r="CH87" s="5">
        <f t="shared" ca="1" si="282"/>
        <v>5.9573008727162721E-3</v>
      </c>
      <c r="CI87" s="5">
        <f t="shared" ca="1" si="283"/>
        <v>6.9779243965693875E-3</v>
      </c>
      <c r="CJ87" s="5">
        <f t="shared" ca="1" si="284"/>
        <v>7.1455066414879949E-3</v>
      </c>
      <c r="CK87" s="5">
        <f t="shared" ca="1" si="285"/>
        <v>7.2101840285077089E-3</v>
      </c>
      <c r="CL87" s="5">
        <f t="shared" ca="1" si="286"/>
        <v>7.1474422983649104E-3</v>
      </c>
      <c r="CM87" s="5">
        <f t="shared" ca="1" si="287"/>
        <v>7.1741620699890905E-3</v>
      </c>
      <c r="CN87" s="5">
        <f t="shared" ca="1" si="288"/>
        <v>6.5527007266455726E-3</v>
      </c>
      <c r="CO87" s="5">
        <f t="shared" ca="1" si="289"/>
        <v>6.8751514306208865E-3</v>
      </c>
      <c r="CP87" s="5">
        <f t="shared" ca="1" si="290"/>
        <v>6.8705312637537602E-3</v>
      </c>
      <c r="CQ87" s="5">
        <f t="shared" ca="1" si="291"/>
        <v>7.0304785323114681E-3</v>
      </c>
      <c r="CR87" s="5">
        <f t="shared" ca="1" si="292"/>
        <v>6.864778556953951E-3</v>
      </c>
      <c r="CS87" s="5">
        <f t="shared" ca="1" si="293"/>
        <v>6.9613139998105627E-3</v>
      </c>
      <c r="CT87" s="5">
        <f t="shared" ca="1" si="294"/>
        <v>7.3053845357944095E-3</v>
      </c>
      <c r="CU87" s="5">
        <f t="shared" ca="1" si="295"/>
        <v>6.5240468752841563E-3</v>
      </c>
      <c r="CV87" s="5">
        <f t="shared" ca="1" si="296"/>
        <v>6.8895916970915447E-3</v>
      </c>
      <c r="CW87" s="5">
        <f t="shared" ca="1" si="297"/>
        <v>6.6030037947100838E-3</v>
      </c>
      <c r="CX87" s="5">
        <f t="shared" ca="1" si="298"/>
        <v>6.4885778379095939E-3</v>
      </c>
      <c r="CY87" s="5">
        <f t="shared" ca="1" si="299"/>
        <v>6.7822617524917039E-3</v>
      </c>
      <c r="CZ87" s="5">
        <f t="shared" ca="1" si="300"/>
        <v>5.8463379758332511E-3</v>
      </c>
      <c r="DA87" s="5">
        <f t="shared" ca="1" si="301"/>
        <v>6.9458552916408459E-3</v>
      </c>
      <c r="DB87" s="5">
        <f t="shared" ca="1" si="302"/>
        <v>6.8863198009691566E-3</v>
      </c>
      <c r="DC87" s="5">
        <f t="shared" ca="1" si="303"/>
        <v>7.1777066949459513E-3</v>
      </c>
      <c r="DD87" s="5">
        <f t="shared" ca="1" si="304"/>
        <v>6.7996967172277937E-3</v>
      </c>
      <c r="DE87" s="5">
        <f t="shared" ca="1" si="305"/>
        <v>6.7803978676630391E-3</v>
      </c>
      <c r="DF87" s="5">
        <f t="shared" ca="1" si="306"/>
        <v>6.5916903952131277E-3</v>
      </c>
      <c r="DG87" s="5">
        <f t="shared" ca="1" si="307"/>
        <v>6.8325092123108682E-3</v>
      </c>
      <c r="DH87" s="5">
        <f t="shared" ca="1" si="308"/>
        <v>6.8768631418270887E-3</v>
      </c>
      <c r="DI87" s="5">
        <f t="shared" ca="1" si="309"/>
        <v>6.7405476882966067E-3</v>
      </c>
      <c r="DJ87" s="5">
        <f t="shared" ca="1" si="310"/>
        <v>7.1281078129177061E-3</v>
      </c>
    </row>
    <row r="88" spans="5:114" outlineLevel="1" x14ac:dyDescent="0.2">
      <c r="E88" s="32">
        <v>47150</v>
      </c>
      <c r="F88" s="9">
        <v>3696.3706520831997</v>
      </c>
      <c r="G88" s="5">
        <f t="shared" ca="1" si="208"/>
        <v>0.15868640235958401</v>
      </c>
      <c r="H88" s="5">
        <f t="shared" ca="1" si="209"/>
        <v>6.3120761113469124E-3</v>
      </c>
      <c r="I88" s="9">
        <f t="shared" ca="1" si="210"/>
        <v>225592.15686389935</v>
      </c>
      <c r="K88" s="6">
        <v>84</v>
      </c>
      <c r="L88" s="5">
        <v>363462.63225396525</v>
      </c>
      <c r="N88" s="32">
        <v>47119</v>
      </c>
      <c r="O88" s="5">
        <f t="shared" ca="1" si="211"/>
        <v>6.9611966285201129E-3</v>
      </c>
      <c r="P88" s="5">
        <f t="shared" ca="1" si="212"/>
        <v>6.7850075844103118E-3</v>
      </c>
      <c r="Q88" s="5">
        <f t="shared" ca="1" si="213"/>
        <v>6.6277347489079579E-3</v>
      </c>
      <c r="R88" s="5">
        <f t="shared" ca="1" si="214"/>
        <v>6.3739103887726998E-3</v>
      </c>
      <c r="S88" s="5">
        <f t="shared" ca="1" si="215"/>
        <v>6.028159971681415E-3</v>
      </c>
      <c r="T88" s="5">
        <f t="shared" ca="1" si="216"/>
        <v>5.9849052533340608E-3</v>
      </c>
      <c r="U88" s="5">
        <f t="shared" ca="1" si="217"/>
        <v>6.8553237318820601E-3</v>
      </c>
      <c r="V88" s="5">
        <f t="shared" ca="1" si="218"/>
        <v>6.4159771295691876E-3</v>
      </c>
      <c r="W88" s="5">
        <f t="shared" ca="1" si="219"/>
        <v>7.1239772809721684E-3</v>
      </c>
      <c r="X88" s="5">
        <f t="shared" ca="1" si="220"/>
        <v>6.8075039927358539E-3</v>
      </c>
      <c r="Y88" s="5">
        <f t="shared" ca="1" si="221"/>
        <v>7.1781445668542823E-3</v>
      </c>
      <c r="Z88" s="5">
        <f t="shared" ca="1" si="222"/>
        <v>7.3444878801767503E-3</v>
      </c>
      <c r="AA88" s="5">
        <f t="shared" ca="1" si="223"/>
        <v>6.6794431143925095E-3</v>
      </c>
      <c r="AB88" s="5">
        <f t="shared" ca="1" si="224"/>
        <v>7.0197661597341445E-3</v>
      </c>
      <c r="AC88" s="5">
        <f t="shared" ca="1" si="225"/>
        <v>6.7180147568252592E-3</v>
      </c>
      <c r="AD88" s="5">
        <f t="shared" ca="1" si="226"/>
        <v>6.7637022064684351E-3</v>
      </c>
      <c r="AE88" s="5">
        <f t="shared" ca="1" si="227"/>
        <v>7.3655970690939942E-3</v>
      </c>
      <c r="AF88" s="5">
        <f t="shared" ca="1" si="228"/>
        <v>6.827832483816269E-3</v>
      </c>
      <c r="AG88" s="5">
        <f t="shared" ca="1" si="229"/>
        <v>6.9087039893172553E-3</v>
      </c>
      <c r="AH88" s="5">
        <f t="shared" ca="1" si="230"/>
        <v>6.4262346333671888E-3</v>
      </c>
      <c r="AI88" s="5">
        <f t="shared" ca="1" si="231"/>
        <v>7.3350724731929976E-3</v>
      </c>
      <c r="AJ88" s="5">
        <f t="shared" ca="1" si="232"/>
        <v>6.3666946023758211E-3</v>
      </c>
      <c r="AK88" s="5">
        <f t="shared" ca="1" si="233"/>
        <v>7.175963277707505E-3</v>
      </c>
      <c r="AL88" s="5">
        <f t="shared" ca="1" si="234"/>
        <v>6.7097425906914778E-3</v>
      </c>
      <c r="AM88" s="5">
        <f t="shared" ca="1" si="235"/>
        <v>6.6987702161892424E-3</v>
      </c>
      <c r="AN88" s="5">
        <f t="shared" ca="1" si="236"/>
        <v>6.8182539644060314E-3</v>
      </c>
      <c r="AO88" s="5">
        <f t="shared" ca="1" si="237"/>
        <v>7.5898880741358714E-3</v>
      </c>
      <c r="AP88" s="5">
        <f t="shared" ca="1" si="238"/>
        <v>6.7439636333516753E-3</v>
      </c>
      <c r="AQ88" s="5">
        <f t="shared" ca="1" si="239"/>
        <v>6.2444764239728869E-3</v>
      </c>
      <c r="AR88" s="5">
        <f t="shared" ca="1" si="240"/>
        <v>6.5644441212381931E-3</v>
      </c>
      <c r="AS88" s="5">
        <f t="shared" ca="1" si="241"/>
        <v>7.0993021983588138E-3</v>
      </c>
      <c r="AT88" s="5">
        <f t="shared" ca="1" si="242"/>
        <v>6.056883795145844E-3</v>
      </c>
      <c r="AU88" s="5">
        <f t="shared" ca="1" si="243"/>
        <v>6.4966009520985137E-3</v>
      </c>
      <c r="AV88" s="5">
        <f t="shared" ca="1" si="244"/>
        <v>6.4197588864628218E-3</v>
      </c>
      <c r="AW88" s="5">
        <f t="shared" ca="1" si="245"/>
        <v>7.2817712968346179E-3</v>
      </c>
      <c r="AX88" s="5">
        <f t="shared" ca="1" si="246"/>
        <v>6.4346523627644217E-3</v>
      </c>
      <c r="AY88" s="5">
        <f t="shared" ca="1" si="247"/>
        <v>6.816566483919451E-3</v>
      </c>
      <c r="AZ88" s="5">
        <f t="shared" ca="1" si="248"/>
        <v>7.6736588327063933E-3</v>
      </c>
      <c r="BA88" s="5">
        <f t="shared" ca="1" si="249"/>
        <v>6.8536944472016251E-3</v>
      </c>
      <c r="BB88" s="5">
        <f t="shared" ca="1" si="250"/>
        <v>6.8392357242792684E-3</v>
      </c>
      <c r="BC88" s="5">
        <f t="shared" ca="1" si="251"/>
        <v>6.7384573260421913E-3</v>
      </c>
      <c r="BD88" s="5">
        <f t="shared" ca="1" si="252"/>
        <v>6.731454938457275E-3</v>
      </c>
      <c r="BE88" s="5">
        <f t="shared" ca="1" si="253"/>
        <v>7.554554937979888E-3</v>
      </c>
      <c r="BF88" s="5">
        <f t="shared" ca="1" si="254"/>
        <v>6.9880526366309231E-3</v>
      </c>
      <c r="BG88" s="5">
        <f t="shared" ca="1" si="255"/>
        <v>6.9051816828408991E-3</v>
      </c>
      <c r="BH88" s="5">
        <f t="shared" ca="1" si="256"/>
        <v>6.0682157336948732E-3</v>
      </c>
      <c r="BI88" s="5">
        <f t="shared" ca="1" si="257"/>
        <v>7.5687146883572053E-3</v>
      </c>
      <c r="BJ88" s="5">
        <f t="shared" ca="1" si="258"/>
        <v>7.0451085034992028E-3</v>
      </c>
      <c r="BK88" s="5">
        <f t="shared" ca="1" si="259"/>
        <v>7.2787563982367369E-3</v>
      </c>
      <c r="BL88" s="5">
        <f t="shared" ca="1" si="260"/>
        <v>6.8741843995419154E-3</v>
      </c>
      <c r="BM88" s="5">
        <f t="shared" ca="1" si="261"/>
        <v>6.563397006766912E-3</v>
      </c>
      <c r="BN88" s="5">
        <f t="shared" ca="1" si="262"/>
        <v>6.6681659958642133E-3</v>
      </c>
      <c r="BO88" s="5">
        <f t="shared" ca="1" si="263"/>
        <v>6.9992606349198348E-3</v>
      </c>
      <c r="BP88" s="5">
        <f t="shared" ca="1" si="264"/>
        <v>6.9213723406376356E-3</v>
      </c>
      <c r="BQ88" s="5">
        <f t="shared" ca="1" si="265"/>
        <v>6.2676114394543524E-3</v>
      </c>
      <c r="BR88" s="5">
        <f t="shared" ca="1" si="266"/>
        <v>6.5240744220860245E-3</v>
      </c>
      <c r="BS88" s="5">
        <f t="shared" ca="1" si="267"/>
        <v>6.6527267499310403E-3</v>
      </c>
      <c r="BT88" s="5">
        <f t="shared" ca="1" si="268"/>
        <v>6.6159398494276952E-3</v>
      </c>
      <c r="BU88" s="5">
        <f t="shared" ca="1" si="269"/>
        <v>6.587429391308141E-3</v>
      </c>
      <c r="BV88" s="5">
        <f t="shared" ca="1" si="270"/>
        <v>6.7999593433978435E-3</v>
      </c>
      <c r="BW88" s="5">
        <f t="shared" ca="1" si="271"/>
        <v>6.9381053828586779E-3</v>
      </c>
      <c r="BX88" s="5">
        <f t="shared" ca="1" si="272"/>
        <v>6.9976176079167207E-3</v>
      </c>
      <c r="BY88" s="5">
        <f t="shared" ca="1" si="273"/>
        <v>6.3889872673201561E-3</v>
      </c>
      <c r="BZ88" s="5">
        <f t="shared" ca="1" si="274"/>
        <v>7.2588306853441026E-3</v>
      </c>
      <c r="CA88" s="5">
        <f t="shared" ca="1" si="275"/>
        <v>6.2727661674268648E-3</v>
      </c>
      <c r="CB88" s="5">
        <f t="shared" ca="1" si="276"/>
        <v>6.804883914263195E-3</v>
      </c>
      <c r="CC88" s="5">
        <f t="shared" ca="1" si="277"/>
        <v>6.6272948763498847E-3</v>
      </c>
      <c r="CD88" s="5">
        <f t="shared" ca="1" si="278"/>
        <v>6.9546358209316168E-3</v>
      </c>
      <c r="CE88" s="5">
        <f t="shared" ca="1" si="279"/>
        <v>6.3437210786002436E-3</v>
      </c>
      <c r="CF88" s="5">
        <f t="shared" ca="1" si="280"/>
        <v>7.0684768524846495E-3</v>
      </c>
      <c r="CG88" s="5">
        <f t="shared" ca="1" si="281"/>
        <v>6.8270960444841372E-3</v>
      </c>
      <c r="CH88" s="5">
        <f t="shared" ca="1" si="282"/>
        <v>5.888510365958801E-3</v>
      </c>
      <c r="CI88" s="5">
        <f t="shared" ca="1" si="283"/>
        <v>7.0480102575660852E-3</v>
      </c>
      <c r="CJ88" s="5">
        <f t="shared" ca="1" si="284"/>
        <v>7.1341345109825344E-3</v>
      </c>
      <c r="CK88" s="5">
        <f t="shared" ca="1" si="285"/>
        <v>7.2206770398668416E-3</v>
      </c>
      <c r="CL88" s="5">
        <f t="shared" ca="1" si="286"/>
        <v>7.1319151318975137E-3</v>
      </c>
      <c r="CM88" s="5">
        <f t="shared" ca="1" si="287"/>
        <v>7.206666640342356E-3</v>
      </c>
      <c r="CN88" s="5">
        <f t="shared" ca="1" si="288"/>
        <v>6.6197533899691238E-3</v>
      </c>
      <c r="CO88" s="5">
        <f t="shared" ca="1" si="289"/>
        <v>6.9184489731071806E-3</v>
      </c>
      <c r="CP88" s="5">
        <f t="shared" ca="1" si="290"/>
        <v>6.873799729557521E-3</v>
      </c>
      <c r="CQ88" s="5">
        <f t="shared" ca="1" si="291"/>
        <v>7.045227922561975E-3</v>
      </c>
      <c r="CR88" s="5">
        <f t="shared" ca="1" si="292"/>
        <v>6.8883376821272024E-3</v>
      </c>
      <c r="CS88" s="5">
        <f t="shared" ca="1" si="293"/>
        <v>6.9804742908127484E-3</v>
      </c>
      <c r="CT88" s="5">
        <f t="shared" ca="1" si="294"/>
        <v>7.267145768948444E-3</v>
      </c>
      <c r="CU88" s="5">
        <f t="shared" ca="1" si="295"/>
        <v>6.5021027856469677E-3</v>
      </c>
      <c r="CV88" s="5">
        <f t="shared" ca="1" si="296"/>
        <v>6.8742233766616737E-3</v>
      </c>
      <c r="CW88" s="5">
        <f t="shared" ca="1" si="297"/>
        <v>6.5480536366924426E-3</v>
      </c>
      <c r="CX88" s="5">
        <f t="shared" ca="1" si="298"/>
        <v>6.5217929017783605E-3</v>
      </c>
      <c r="CY88" s="5">
        <f t="shared" ca="1" si="299"/>
        <v>6.8427908999760655E-3</v>
      </c>
      <c r="CZ88" s="5">
        <f t="shared" ca="1" si="300"/>
        <v>5.8182455460579884E-3</v>
      </c>
      <c r="DA88" s="5">
        <f t="shared" ca="1" si="301"/>
        <v>6.9751333471794377E-3</v>
      </c>
      <c r="DB88" s="5">
        <f t="shared" ca="1" si="302"/>
        <v>6.838233722401406E-3</v>
      </c>
      <c r="DC88" s="5">
        <f t="shared" ca="1" si="303"/>
        <v>7.1072897753200739E-3</v>
      </c>
      <c r="DD88" s="5">
        <f t="shared" ca="1" si="304"/>
        <v>6.8451139460451102E-3</v>
      </c>
      <c r="DE88" s="5">
        <f t="shared" ca="1" si="305"/>
        <v>6.8304013188606131E-3</v>
      </c>
      <c r="DF88" s="5">
        <f t="shared" ca="1" si="306"/>
        <v>6.5881522238872255E-3</v>
      </c>
      <c r="DG88" s="5">
        <f t="shared" ca="1" si="307"/>
        <v>6.948341690537283E-3</v>
      </c>
      <c r="DH88" s="5">
        <f t="shared" ca="1" si="308"/>
        <v>6.8667744819152941E-3</v>
      </c>
      <c r="DI88" s="5">
        <f t="shared" ca="1" si="309"/>
        <v>6.8121155210659375E-3</v>
      </c>
      <c r="DJ88" s="5">
        <f t="shared" ca="1" si="310"/>
        <v>7.152635808965491E-3</v>
      </c>
    </row>
    <row r="89" spans="5:114" outlineLevel="1" x14ac:dyDescent="0.2">
      <c r="E89" s="32">
        <v>47178</v>
      </c>
      <c r="F89" s="9">
        <v>3696.3706520831997</v>
      </c>
      <c r="G89" s="5">
        <f t="shared" ca="1" si="208"/>
        <v>6.3068265649062372E-2</v>
      </c>
      <c r="H89" s="5">
        <f t="shared" ca="1" si="209"/>
        <v>6.3996035465910123E-3</v>
      </c>
      <c r="I89" s="9">
        <f t="shared" ca="1" si="210"/>
        <v>229408.86796585823</v>
      </c>
      <c r="K89" s="6">
        <v>85</v>
      </c>
      <c r="L89" s="5">
        <v>362384.89663733722</v>
      </c>
      <c r="N89" s="32">
        <v>47150</v>
      </c>
      <c r="O89" s="5">
        <f t="shared" ca="1" si="211"/>
        <v>7.0070210709001031E-3</v>
      </c>
      <c r="P89" s="5">
        <f t="shared" ca="1" si="212"/>
        <v>6.7289196628156365E-3</v>
      </c>
      <c r="Q89" s="5">
        <f t="shared" ca="1" si="213"/>
        <v>6.6065481703029448E-3</v>
      </c>
      <c r="R89" s="5">
        <f t="shared" ca="1" si="214"/>
        <v>6.3402636802331715E-3</v>
      </c>
      <c r="S89" s="5">
        <f t="shared" ca="1" si="215"/>
        <v>6.0717333369359828E-3</v>
      </c>
      <c r="T89" s="5">
        <f t="shared" ca="1" si="216"/>
        <v>5.9963419105817511E-3</v>
      </c>
      <c r="U89" s="5">
        <f t="shared" ca="1" si="217"/>
        <v>6.8784990705487211E-3</v>
      </c>
      <c r="V89" s="5">
        <f t="shared" ca="1" si="218"/>
        <v>6.408099625865399E-3</v>
      </c>
      <c r="W89" s="5">
        <f t="shared" ca="1" si="219"/>
        <v>7.2050842173987531E-3</v>
      </c>
      <c r="X89" s="5">
        <f t="shared" ca="1" si="220"/>
        <v>6.8673111402244059E-3</v>
      </c>
      <c r="Y89" s="5">
        <f t="shared" ca="1" si="221"/>
        <v>7.1657729388371928E-3</v>
      </c>
      <c r="Z89" s="5">
        <f t="shared" ca="1" si="222"/>
        <v>7.3454909290113883E-3</v>
      </c>
      <c r="AA89" s="5">
        <f t="shared" ca="1" si="223"/>
        <v>6.7209947877920184E-3</v>
      </c>
      <c r="AB89" s="5">
        <f t="shared" ca="1" si="224"/>
        <v>7.0567433968792091E-3</v>
      </c>
      <c r="AC89" s="5">
        <f t="shared" ca="1" si="225"/>
        <v>6.7265403313683698E-3</v>
      </c>
      <c r="AD89" s="5">
        <f t="shared" ca="1" si="226"/>
        <v>6.7189982265094235E-3</v>
      </c>
      <c r="AE89" s="5">
        <f t="shared" ca="1" si="227"/>
        <v>7.3596746129945562E-3</v>
      </c>
      <c r="AF89" s="5">
        <f t="shared" ca="1" si="228"/>
        <v>6.8186701230721642E-3</v>
      </c>
      <c r="AG89" s="5">
        <f t="shared" ca="1" si="229"/>
        <v>6.9231830900278726E-3</v>
      </c>
      <c r="AH89" s="5">
        <f t="shared" ca="1" si="230"/>
        <v>6.5083187980953831E-3</v>
      </c>
      <c r="AI89" s="5">
        <f t="shared" ca="1" si="231"/>
        <v>7.4127125667287994E-3</v>
      </c>
      <c r="AJ89" s="5">
        <f t="shared" ca="1" si="232"/>
        <v>6.2824929229958236E-3</v>
      </c>
      <c r="AK89" s="5">
        <f t="shared" ca="1" si="233"/>
        <v>7.1181518875212887E-3</v>
      </c>
      <c r="AL89" s="5">
        <f t="shared" ca="1" si="234"/>
        <v>6.69274066467137E-3</v>
      </c>
      <c r="AM89" s="5">
        <f t="shared" ca="1" si="235"/>
        <v>6.7851906814307764E-3</v>
      </c>
      <c r="AN89" s="5">
        <f t="shared" ca="1" si="236"/>
        <v>6.8513183672365375E-3</v>
      </c>
      <c r="AO89" s="5">
        <f t="shared" ca="1" si="237"/>
        <v>7.6433270273212782E-3</v>
      </c>
      <c r="AP89" s="5">
        <f t="shared" ca="1" si="238"/>
        <v>6.7974489546422266E-3</v>
      </c>
      <c r="AQ89" s="5">
        <f t="shared" ca="1" si="239"/>
        <v>6.2604977926082935E-3</v>
      </c>
      <c r="AR89" s="5">
        <f t="shared" ca="1" si="240"/>
        <v>6.5698688429614606E-3</v>
      </c>
      <c r="AS89" s="5">
        <f t="shared" ca="1" si="241"/>
        <v>7.0853532897160332E-3</v>
      </c>
      <c r="AT89" s="5">
        <f t="shared" ca="1" si="242"/>
        <v>6.0532848621826715E-3</v>
      </c>
      <c r="AU89" s="5">
        <f t="shared" ca="1" si="243"/>
        <v>6.4974601541374711E-3</v>
      </c>
      <c r="AV89" s="5">
        <f t="shared" ca="1" si="244"/>
        <v>6.3951051840281659E-3</v>
      </c>
      <c r="AW89" s="5">
        <f t="shared" ca="1" si="245"/>
        <v>7.3919615035771885E-3</v>
      </c>
      <c r="AX89" s="5">
        <f t="shared" ca="1" si="246"/>
        <v>6.4061826112179589E-3</v>
      </c>
      <c r="AY89" s="5">
        <f t="shared" ca="1" si="247"/>
        <v>6.693806731295911E-3</v>
      </c>
      <c r="AZ89" s="5">
        <f t="shared" ca="1" si="248"/>
        <v>7.6790895123654956E-3</v>
      </c>
      <c r="BA89" s="5">
        <f t="shared" ca="1" si="249"/>
        <v>6.8859600187713777E-3</v>
      </c>
      <c r="BB89" s="5">
        <f t="shared" ca="1" si="250"/>
        <v>6.8778413864708943E-3</v>
      </c>
      <c r="BC89" s="5">
        <f t="shared" ca="1" si="251"/>
        <v>6.7096865513070689E-3</v>
      </c>
      <c r="BD89" s="5">
        <f t="shared" ca="1" si="252"/>
        <v>6.7605280627990655E-3</v>
      </c>
      <c r="BE89" s="5">
        <f t="shared" ca="1" si="253"/>
        <v>7.5347376773763162E-3</v>
      </c>
      <c r="BF89" s="5">
        <f t="shared" ca="1" si="254"/>
        <v>6.9399048791125633E-3</v>
      </c>
      <c r="BG89" s="5">
        <f t="shared" ca="1" si="255"/>
        <v>6.9461827856062584E-3</v>
      </c>
      <c r="BH89" s="5">
        <f t="shared" ca="1" si="256"/>
        <v>6.1211235782709737E-3</v>
      </c>
      <c r="BI89" s="5">
        <f t="shared" ca="1" si="257"/>
        <v>7.58848017906367E-3</v>
      </c>
      <c r="BJ89" s="5">
        <f t="shared" ca="1" si="258"/>
        <v>7.0950785253618056E-3</v>
      </c>
      <c r="BK89" s="5">
        <f t="shared" ca="1" si="259"/>
        <v>7.315611270200504E-3</v>
      </c>
      <c r="BL89" s="5">
        <f t="shared" ca="1" si="260"/>
        <v>6.8866136718459779E-3</v>
      </c>
      <c r="BM89" s="5">
        <f t="shared" ca="1" si="261"/>
        <v>6.5307781643242097E-3</v>
      </c>
      <c r="BN89" s="5">
        <f t="shared" ca="1" si="262"/>
        <v>6.6339460814865787E-3</v>
      </c>
      <c r="BO89" s="5">
        <f t="shared" ca="1" si="263"/>
        <v>7.0541732619892354E-3</v>
      </c>
      <c r="BP89" s="5">
        <f t="shared" ca="1" si="264"/>
        <v>6.8591419080002766E-3</v>
      </c>
      <c r="BQ89" s="5">
        <f t="shared" ca="1" si="265"/>
        <v>6.2177766675154062E-3</v>
      </c>
      <c r="BR89" s="5">
        <f t="shared" ca="1" si="266"/>
        <v>6.4876302929420451E-3</v>
      </c>
      <c r="BS89" s="5">
        <f t="shared" ca="1" si="267"/>
        <v>6.5808116383867547E-3</v>
      </c>
      <c r="BT89" s="5">
        <f t="shared" ca="1" si="268"/>
        <v>6.5892480737341766E-3</v>
      </c>
      <c r="BU89" s="5">
        <f t="shared" ca="1" si="269"/>
        <v>6.5693815267476542E-3</v>
      </c>
      <c r="BV89" s="5">
        <f t="shared" ca="1" si="270"/>
        <v>6.7179239870081113E-3</v>
      </c>
      <c r="BW89" s="5">
        <f t="shared" ca="1" si="271"/>
        <v>6.9460279307277219E-3</v>
      </c>
      <c r="BX89" s="5">
        <f t="shared" ca="1" si="272"/>
        <v>7.0011025835733974E-3</v>
      </c>
      <c r="BY89" s="5">
        <f t="shared" ca="1" si="273"/>
        <v>6.3743534816083731E-3</v>
      </c>
      <c r="BZ89" s="5">
        <f t="shared" ca="1" si="274"/>
        <v>7.3022254331313865E-3</v>
      </c>
      <c r="CA89" s="5">
        <f t="shared" ca="1" si="275"/>
        <v>6.2773466006769791E-3</v>
      </c>
      <c r="CB89" s="5">
        <f t="shared" ca="1" si="276"/>
        <v>6.7833418745220425E-3</v>
      </c>
      <c r="CC89" s="5">
        <f t="shared" ca="1" si="277"/>
        <v>6.5773384110981619E-3</v>
      </c>
      <c r="CD89" s="5">
        <f t="shared" ca="1" si="278"/>
        <v>7.0129307671454267E-3</v>
      </c>
      <c r="CE89" s="5">
        <f t="shared" ca="1" si="279"/>
        <v>6.3652755115509501E-3</v>
      </c>
      <c r="CF89" s="5">
        <f t="shared" ca="1" si="280"/>
        <v>7.1367917362920048E-3</v>
      </c>
      <c r="CG89" s="5">
        <f t="shared" ca="1" si="281"/>
        <v>6.8391303396928326E-3</v>
      </c>
      <c r="CH89" s="5">
        <f t="shared" ca="1" si="282"/>
        <v>5.9502942380019004E-3</v>
      </c>
      <c r="CI89" s="5">
        <f t="shared" ca="1" si="283"/>
        <v>7.0104079221035903E-3</v>
      </c>
      <c r="CJ89" s="5">
        <f t="shared" ca="1" si="284"/>
        <v>7.1347709554379895E-3</v>
      </c>
      <c r="CK89" s="5">
        <f t="shared" ca="1" si="285"/>
        <v>7.2295328055610548E-3</v>
      </c>
      <c r="CL89" s="5">
        <f t="shared" ca="1" si="286"/>
        <v>7.2232277271610254E-3</v>
      </c>
      <c r="CM89" s="5">
        <f t="shared" ca="1" si="287"/>
        <v>7.2517109408805121E-3</v>
      </c>
      <c r="CN89" s="5">
        <f t="shared" ca="1" si="288"/>
        <v>6.5982318259892722E-3</v>
      </c>
      <c r="CO89" s="5">
        <f t="shared" ca="1" si="289"/>
        <v>6.8948084172318382E-3</v>
      </c>
      <c r="CP89" s="5">
        <f t="shared" ca="1" si="290"/>
        <v>6.7526827715444961E-3</v>
      </c>
      <c r="CQ89" s="5">
        <f t="shared" ca="1" si="291"/>
        <v>7.0855882894940974E-3</v>
      </c>
      <c r="CR89" s="5">
        <f t="shared" ca="1" si="292"/>
        <v>6.8398923281213489E-3</v>
      </c>
      <c r="CS89" s="5">
        <f t="shared" ca="1" si="293"/>
        <v>6.8817814237560069E-3</v>
      </c>
      <c r="CT89" s="5">
        <f t="shared" ca="1" si="294"/>
        <v>7.3557818159318894E-3</v>
      </c>
      <c r="CU89" s="5">
        <f t="shared" ca="1" si="295"/>
        <v>6.5214716136723517E-3</v>
      </c>
      <c r="CV89" s="5">
        <f t="shared" ca="1" si="296"/>
        <v>6.883444995421803E-3</v>
      </c>
      <c r="CW89" s="5">
        <f t="shared" ca="1" si="297"/>
        <v>6.5957416437917365E-3</v>
      </c>
      <c r="CX89" s="5">
        <f t="shared" ca="1" si="298"/>
        <v>6.5221212121331943E-3</v>
      </c>
      <c r="CY89" s="5">
        <f t="shared" ca="1" si="299"/>
        <v>6.866662087663367E-3</v>
      </c>
      <c r="CZ89" s="5">
        <f t="shared" ca="1" si="300"/>
        <v>5.7906187436555729E-3</v>
      </c>
      <c r="DA89" s="5">
        <f t="shared" ca="1" si="301"/>
        <v>6.9973477730032535E-3</v>
      </c>
      <c r="DB89" s="5">
        <f t="shared" ca="1" si="302"/>
        <v>6.8588915746984691E-3</v>
      </c>
      <c r="DC89" s="5">
        <f t="shared" ca="1" si="303"/>
        <v>7.0623570408319238E-3</v>
      </c>
      <c r="DD89" s="5">
        <f t="shared" ca="1" si="304"/>
        <v>6.8951776953920909E-3</v>
      </c>
      <c r="DE89" s="5">
        <f t="shared" ca="1" si="305"/>
        <v>6.8478301477055267E-3</v>
      </c>
      <c r="DF89" s="5">
        <f t="shared" ca="1" si="306"/>
        <v>6.6144169573968776E-3</v>
      </c>
      <c r="DG89" s="5">
        <f t="shared" ca="1" si="307"/>
        <v>6.8965624267980216E-3</v>
      </c>
      <c r="DH89" s="5">
        <f t="shared" ca="1" si="308"/>
        <v>6.9170481799317052E-3</v>
      </c>
      <c r="DI89" s="5">
        <f t="shared" ca="1" si="309"/>
        <v>6.8473796757946665E-3</v>
      </c>
      <c r="DJ89" s="5">
        <f t="shared" ca="1" si="310"/>
        <v>7.1775640174972476E-3</v>
      </c>
    </row>
    <row r="90" spans="5:114" outlineLevel="1" x14ac:dyDescent="0.2">
      <c r="E90" s="32">
        <v>47209</v>
      </c>
      <c r="F90" s="9">
        <v>3696.3706520831997</v>
      </c>
      <c r="G90" s="5">
        <f t="shared" ca="1" si="208"/>
        <v>-4.2204254797086317E-2</v>
      </c>
      <c r="H90" s="5">
        <f t="shared" ca="1" si="209"/>
        <v>6.4378299454572532E-3</v>
      </c>
      <c r="I90" s="9">
        <f t="shared" ca="1" si="210"/>
        <v>233228.3462443992</v>
      </c>
      <c r="K90" s="6">
        <v>86</v>
      </c>
      <c r="L90" s="5">
        <v>362756.67460260662</v>
      </c>
      <c r="N90" s="32">
        <v>47178</v>
      </c>
      <c r="O90" s="5">
        <f t="shared" ca="1" si="211"/>
        <v>7.0636698776283145E-3</v>
      </c>
      <c r="P90" s="5">
        <f t="shared" ca="1" si="212"/>
        <v>6.7204724216837928E-3</v>
      </c>
      <c r="Q90" s="5">
        <f t="shared" ca="1" si="213"/>
        <v>6.6025123086312747E-3</v>
      </c>
      <c r="R90" s="5">
        <f t="shared" ca="1" si="214"/>
        <v>6.3729840400127118E-3</v>
      </c>
      <c r="S90" s="5">
        <f t="shared" ca="1" si="215"/>
        <v>6.0990165994987584E-3</v>
      </c>
      <c r="T90" s="5">
        <f t="shared" ca="1" si="216"/>
        <v>5.9388237916411721E-3</v>
      </c>
      <c r="U90" s="5">
        <f t="shared" ca="1" si="217"/>
        <v>6.8781977440635286E-3</v>
      </c>
      <c r="V90" s="5">
        <f t="shared" ca="1" si="218"/>
        <v>6.368842102993562E-3</v>
      </c>
      <c r="W90" s="5">
        <f t="shared" ca="1" si="219"/>
        <v>7.1353196302254415E-3</v>
      </c>
      <c r="X90" s="5">
        <f t="shared" ca="1" si="220"/>
        <v>6.840714843286382E-3</v>
      </c>
      <c r="Y90" s="5">
        <f t="shared" ca="1" si="221"/>
        <v>7.2664225230615219E-3</v>
      </c>
      <c r="Z90" s="5">
        <f t="shared" ca="1" si="222"/>
        <v>7.2685018033612431E-3</v>
      </c>
      <c r="AA90" s="5">
        <f t="shared" ca="1" si="223"/>
        <v>6.7069106810006066E-3</v>
      </c>
      <c r="AB90" s="5">
        <f t="shared" ca="1" si="224"/>
        <v>7.0933051734333955E-3</v>
      </c>
      <c r="AC90" s="5">
        <f t="shared" ca="1" si="225"/>
        <v>6.7381313584157663E-3</v>
      </c>
      <c r="AD90" s="5">
        <f t="shared" ca="1" si="226"/>
        <v>6.8080751777470482E-3</v>
      </c>
      <c r="AE90" s="5">
        <f t="shared" ca="1" si="227"/>
        <v>7.411628525635732E-3</v>
      </c>
      <c r="AF90" s="5">
        <f t="shared" ca="1" si="228"/>
        <v>6.8485117152673287E-3</v>
      </c>
      <c r="AG90" s="5">
        <f t="shared" ca="1" si="229"/>
        <v>6.960733385375506E-3</v>
      </c>
      <c r="AH90" s="5">
        <f t="shared" ca="1" si="230"/>
        <v>6.4265061719896458E-3</v>
      </c>
      <c r="AI90" s="5">
        <f t="shared" ca="1" si="231"/>
        <v>7.3163414440133509E-3</v>
      </c>
      <c r="AJ90" s="5">
        <f t="shared" ca="1" si="232"/>
        <v>6.2462056375498795E-3</v>
      </c>
      <c r="AK90" s="5">
        <f t="shared" ca="1" si="233"/>
        <v>7.202173177120642E-3</v>
      </c>
      <c r="AL90" s="5">
        <f t="shared" ca="1" si="234"/>
        <v>6.6682948794379833E-3</v>
      </c>
      <c r="AM90" s="5">
        <f t="shared" ca="1" si="235"/>
        <v>6.7620018814706709E-3</v>
      </c>
      <c r="AN90" s="5">
        <f t="shared" ca="1" si="236"/>
        <v>6.7987029530642987E-3</v>
      </c>
      <c r="AO90" s="5">
        <f t="shared" ca="1" si="237"/>
        <v>7.7399586275408378E-3</v>
      </c>
      <c r="AP90" s="5">
        <f t="shared" ca="1" si="238"/>
        <v>6.8913505452258186E-3</v>
      </c>
      <c r="AQ90" s="5">
        <f t="shared" ca="1" si="239"/>
        <v>6.2235839160664306E-3</v>
      </c>
      <c r="AR90" s="5">
        <f t="shared" ca="1" si="240"/>
        <v>6.6303396669238311E-3</v>
      </c>
      <c r="AS90" s="5">
        <f t="shared" ca="1" si="241"/>
        <v>7.127961800929802E-3</v>
      </c>
      <c r="AT90" s="5">
        <f t="shared" ca="1" si="242"/>
        <v>6.1135680524843543E-3</v>
      </c>
      <c r="AU90" s="5">
        <f t="shared" ca="1" si="243"/>
        <v>6.5907101618027583E-3</v>
      </c>
      <c r="AV90" s="5">
        <f t="shared" ca="1" si="244"/>
        <v>6.3654699036047972E-3</v>
      </c>
      <c r="AW90" s="5">
        <f t="shared" ca="1" si="245"/>
        <v>7.3906077099501286E-3</v>
      </c>
      <c r="AX90" s="5">
        <f t="shared" ca="1" si="246"/>
        <v>6.4202356115579213E-3</v>
      </c>
      <c r="AY90" s="5">
        <f t="shared" ca="1" si="247"/>
        <v>6.6627735312734405E-3</v>
      </c>
      <c r="AZ90" s="5">
        <f t="shared" ca="1" si="248"/>
        <v>7.7070084496183699E-3</v>
      </c>
      <c r="BA90" s="5">
        <f t="shared" ca="1" si="249"/>
        <v>6.8085047897096041E-3</v>
      </c>
      <c r="BB90" s="5">
        <f t="shared" ca="1" si="250"/>
        <v>6.8411134261626245E-3</v>
      </c>
      <c r="BC90" s="5">
        <f t="shared" ca="1" si="251"/>
        <v>6.7763494630296694E-3</v>
      </c>
      <c r="BD90" s="5">
        <f t="shared" ca="1" si="252"/>
        <v>6.6993083975368465E-3</v>
      </c>
      <c r="BE90" s="5">
        <f t="shared" ca="1" si="253"/>
        <v>7.5731096965545022E-3</v>
      </c>
      <c r="BF90" s="5">
        <f t="shared" ca="1" si="254"/>
        <v>7.0061637704652039E-3</v>
      </c>
      <c r="BG90" s="5">
        <f t="shared" ca="1" si="255"/>
        <v>6.9612933196613117E-3</v>
      </c>
      <c r="BH90" s="5">
        <f t="shared" ca="1" si="256"/>
        <v>6.1626254786985475E-3</v>
      </c>
      <c r="BI90" s="5">
        <f t="shared" ca="1" si="257"/>
        <v>7.6095520964032971E-3</v>
      </c>
      <c r="BJ90" s="5">
        <f t="shared" ca="1" si="258"/>
        <v>7.0415672250724315E-3</v>
      </c>
      <c r="BK90" s="5">
        <f t="shared" ca="1" si="259"/>
        <v>7.2408475710380874E-3</v>
      </c>
      <c r="BL90" s="5">
        <f t="shared" ca="1" si="260"/>
        <v>6.8165338343273022E-3</v>
      </c>
      <c r="BM90" s="5">
        <f t="shared" ca="1" si="261"/>
        <v>6.5350877855848344E-3</v>
      </c>
      <c r="BN90" s="5">
        <f t="shared" ca="1" si="262"/>
        <v>6.5957886639541139E-3</v>
      </c>
      <c r="BO90" s="5">
        <f t="shared" ca="1" si="263"/>
        <v>7.1252124323706294E-3</v>
      </c>
      <c r="BP90" s="5">
        <f t="shared" ca="1" si="264"/>
        <v>6.8947696338010778E-3</v>
      </c>
      <c r="BQ90" s="5">
        <f t="shared" ca="1" si="265"/>
        <v>6.2389575182855055E-3</v>
      </c>
      <c r="BR90" s="5">
        <f t="shared" ca="1" si="266"/>
        <v>6.5142147685486379E-3</v>
      </c>
      <c r="BS90" s="5">
        <f t="shared" ca="1" si="267"/>
        <v>6.5341071934189388E-3</v>
      </c>
      <c r="BT90" s="5">
        <f t="shared" ca="1" si="268"/>
        <v>6.6751262991981229E-3</v>
      </c>
      <c r="BU90" s="5">
        <f t="shared" ca="1" si="269"/>
        <v>6.5594391817937097E-3</v>
      </c>
      <c r="BV90" s="5">
        <f t="shared" ca="1" si="270"/>
        <v>6.7242541518116065E-3</v>
      </c>
      <c r="BW90" s="5">
        <f t="shared" ca="1" si="271"/>
        <v>6.9425359114799164E-3</v>
      </c>
      <c r="BX90" s="5">
        <f t="shared" ca="1" si="272"/>
        <v>6.9885668668355199E-3</v>
      </c>
      <c r="BY90" s="5">
        <f t="shared" ca="1" si="273"/>
        <v>6.4188652378689304E-3</v>
      </c>
      <c r="BZ90" s="5">
        <f t="shared" ca="1" si="274"/>
        <v>7.2408650171722376E-3</v>
      </c>
      <c r="CA90" s="5">
        <f t="shared" ca="1" si="275"/>
        <v>6.2593245998886337E-3</v>
      </c>
      <c r="CB90" s="5">
        <f t="shared" ca="1" si="276"/>
        <v>6.8473872279436543E-3</v>
      </c>
      <c r="CC90" s="5">
        <f t="shared" ca="1" si="277"/>
        <v>6.609282623427957E-3</v>
      </c>
      <c r="CD90" s="5">
        <f t="shared" ca="1" si="278"/>
        <v>7.0377236766832165E-3</v>
      </c>
      <c r="CE90" s="5">
        <f t="shared" ca="1" si="279"/>
        <v>6.3596598834977413E-3</v>
      </c>
      <c r="CF90" s="5">
        <f t="shared" ca="1" si="280"/>
        <v>7.1312053029033004E-3</v>
      </c>
      <c r="CG90" s="5">
        <f t="shared" ca="1" si="281"/>
        <v>6.8956006676742111E-3</v>
      </c>
      <c r="CH90" s="5">
        <f t="shared" ca="1" si="282"/>
        <v>5.9264942649829453E-3</v>
      </c>
      <c r="CI90" s="5">
        <f t="shared" ca="1" si="283"/>
        <v>6.9170541999888265E-3</v>
      </c>
      <c r="CJ90" s="5">
        <f t="shared" ca="1" si="284"/>
        <v>7.056340023575516E-3</v>
      </c>
      <c r="CK90" s="5">
        <f t="shared" ca="1" si="285"/>
        <v>7.2339634002624668E-3</v>
      </c>
      <c r="CL90" s="5">
        <f t="shared" ca="1" si="286"/>
        <v>7.2605088675495094E-3</v>
      </c>
      <c r="CM90" s="5">
        <f t="shared" ca="1" si="287"/>
        <v>7.3280103386960584E-3</v>
      </c>
      <c r="CN90" s="5">
        <f t="shared" ca="1" si="288"/>
        <v>6.5507944410017763E-3</v>
      </c>
      <c r="CO90" s="5">
        <f t="shared" ca="1" si="289"/>
        <v>6.9041128592704521E-3</v>
      </c>
      <c r="CP90" s="5">
        <f t="shared" ca="1" si="290"/>
        <v>6.6859837683510507E-3</v>
      </c>
      <c r="CQ90" s="5">
        <f t="shared" ca="1" si="291"/>
        <v>7.0641761233737957E-3</v>
      </c>
      <c r="CR90" s="5">
        <f t="shared" ca="1" si="292"/>
        <v>6.7412590896446644E-3</v>
      </c>
      <c r="CS90" s="5">
        <f t="shared" ca="1" si="293"/>
        <v>6.8240490516075251E-3</v>
      </c>
      <c r="CT90" s="5">
        <f t="shared" ca="1" si="294"/>
        <v>7.3389046565266866E-3</v>
      </c>
      <c r="CU90" s="5">
        <f t="shared" ca="1" si="295"/>
        <v>6.5359338619611117E-3</v>
      </c>
      <c r="CV90" s="5">
        <f t="shared" ca="1" si="296"/>
        <v>6.9667705691943043E-3</v>
      </c>
      <c r="CW90" s="5">
        <f t="shared" ca="1" si="297"/>
        <v>6.6223007228809827E-3</v>
      </c>
      <c r="CX90" s="5">
        <f t="shared" ca="1" si="298"/>
        <v>6.5457677302485067E-3</v>
      </c>
      <c r="CY90" s="5">
        <f t="shared" ca="1" si="299"/>
        <v>6.8073703278523209E-3</v>
      </c>
      <c r="CZ90" s="5">
        <f t="shared" ca="1" si="300"/>
        <v>5.8341156387353198E-3</v>
      </c>
      <c r="DA90" s="5">
        <f t="shared" ca="1" si="301"/>
        <v>7.0106838313898261E-3</v>
      </c>
      <c r="DB90" s="5">
        <f t="shared" ca="1" si="302"/>
        <v>6.8795341262797051E-3</v>
      </c>
      <c r="DC90" s="5">
        <f t="shared" ca="1" si="303"/>
        <v>7.0574833862564954E-3</v>
      </c>
      <c r="DD90" s="5">
        <f t="shared" ca="1" si="304"/>
        <v>6.8518433094884807E-3</v>
      </c>
      <c r="DE90" s="5">
        <f t="shared" ca="1" si="305"/>
        <v>6.8616766260331634E-3</v>
      </c>
      <c r="DF90" s="5">
        <f t="shared" ca="1" si="306"/>
        <v>6.6077572434557579E-3</v>
      </c>
      <c r="DG90" s="5">
        <f t="shared" ca="1" si="307"/>
        <v>6.8957503982638134E-3</v>
      </c>
      <c r="DH90" s="5">
        <f t="shared" ca="1" si="308"/>
        <v>6.9162569362223947E-3</v>
      </c>
      <c r="DI90" s="5">
        <f t="shared" ca="1" si="309"/>
        <v>6.892608114525519E-3</v>
      </c>
      <c r="DJ90" s="5">
        <f t="shared" ca="1" si="310"/>
        <v>7.1946096286214746E-3</v>
      </c>
    </row>
    <row r="91" spans="5:114" outlineLevel="1" x14ac:dyDescent="0.2">
      <c r="E91" s="32">
        <v>47239</v>
      </c>
      <c r="F91" s="9">
        <v>3696.3706520831997</v>
      </c>
      <c r="G91" s="5">
        <f t="shared" ca="1" si="208"/>
        <v>0.13934508209757993</v>
      </c>
      <c r="H91" s="5">
        <f t="shared" ca="1" si="209"/>
        <v>6.4213044912538372E-3</v>
      </c>
      <c r="I91" s="9">
        <f t="shared" ca="1" si="210"/>
        <v>237049.55281283212</v>
      </c>
      <c r="K91" s="6">
        <v>87</v>
      </c>
      <c r="L91" s="5">
        <v>362490.99882426573</v>
      </c>
      <c r="N91" s="32">
        <v>47209</v>
      </c>
      <c r="O91" s="5">
        <f t="shared" ca="1" si="211"/>
        <v>7.16058272150474E-3</v>
      </c>
      <c r="P91" s="5">
        <f t="shared" ca="1" si="212"/>
        <v>6.7819402046009501E-3</v>
      </c>
      <c r="Q91" s="5">
        <f t="shared" ca="1" si="213"/>
        <v>6.600117059356217E-3</v>
      </c>
      <c r="R91" s="5">
        <f t="shared" ca="1" si="214"/>
        <v>6.3839616509931965E-3</v>
      </c>
      <c r="S91" s="5">
        <f t="shared" ca="1" si="215"/>
        <v>6.076271778433201E-3</v>
      </c>
      <c r="T91" s="5">
        <f t="shared" ca="1" si="216"/>
        <v>5.9484384945868198E-3</v>
      </c>
      <c r="U91" s="5">
        <f t="shared" ca="1" si="217"/>
        <v>6.9073962279665342E-3</v>
      </c>
      <c r="V91" s="5">
        <f t="shared" ca="1" si="218"/>
        <v>6.4271303233349938E-3</v>
      </c>
      <c r="W91" s="5">
        <f t="shared" ca="1" si="219"/>
        <v>7.1696399113932198E-3</v>
      </c>
      <c r="X91" s="5">
        <f t="shared" ca="1" si="220"/>
        <v>6.778897425507838E-3</v>
      </c>
      <c r="Y91" s="5">
        <f t="shared" ca="1" si="221"/>
        <v>7.2388313571664911E-3</v>
      </c>
      <c r="Z91" s="5">
        <f t="shared" ca="1" si="222"/>
        <v>7.2946005801623774E-3</v>
      </c>
      <c r="AA91" s="5">
        <f t="shared" ca="1" si="223"/>
        <v>6.64018023917532E-3</v>
      </c>
      <c r="AB91" s="5">
        <f t="shared" ca="1" si="224"/>
        <v>7.0236995352280177E-3</v>
      </c>
      <c r="AC91" s="5">
        <f t="shared" ca="1" si="225"/>
        <v>6.7608004230456202E-3</v>
      </c>
      <c r="AD91" s="5">
        <f t="shared" ca="1" si="226"/>
        <v>6.8351786887054468E-3</v>
      </c>
      <c r="AE91" s="5">
        <f t="shared" ca="1" si="227"/>
        <v>7.4543617786078488E-3</v>
      </c>
      <c r="AF91" s="5">
        <f t="shared" ca="1" si="228"/>
        <v>6.8598831398039729E-3</v>
      </c>
      <c r="AG91" s="5">
        <f t="shared" ca="1" si="229"/>
        <v>6.9639912053187387E-3</v>
      </c>
      <c r="AH91" s="5">
        <f t="shared" ca="1" si="230"/>
        <v>6.455938542906302E-3</v>
      </c>
      <c r="AI91" s="5">
        <f t="shared" ca="1" si="231"/>
        <v>7.373332990665055E-3</v>
      </c>
      <c r="AJ91" s="5">
        <f t="shared" ca="1" si="232"/>
        <v>6.2334407274202619E-3</v>
      </c>
      <c r="AK91" s="5">
        <f t="shared" ca="1" si="233"/>
        <v>7.2584792737468368E-3</v>
      </c>
      <c r="AL91" s="5">
        <f t="shared" ca="1" si="234"/>
        <v>6.6266806290670409E-3</v>
      </c>
      <c r="AM91" s="5">
        <f t="shared" ca="1" si="235"/>
        <v>6.7522633842540839E-3</v>
      </c>
      <c r="AN91" s="5">
        <f t="shared" ca="1" si="236"/>
        <v>6.8339128809984905E-3</v>
      </c>
      <c r="AO91" s="5">
        <f t="shared" ca="1" si="237"/>
        <v>7.7074323890379895E-3</v>
      </c>
      <c r="AP91" s="5">
        <f t="shared" ca="1" si="238"/>
        <v>6.8729762578286597E-3</v>
      </c>
      <c r="AQ91" s="5">
        <f t="shared" ca="1" si="239"/>
        <v>6.2259764813875637E-3</v>
      </c>
      <c r="AR91" s="5">
        <f t="shared" ca="1" si="240"/>
        <v>6.6036886835319835E-3</v>
      </c>
      <c r="AS91" s="5">
        <f t="shared" ca="1" si="241"/>
        <v>7.016225878126647E-3</v>
      </c>
      <c r="AT91" s="5">
        <f t="shared" ca="1" si="242"/>
        <v>6.1543294558142171E-3</v>
      </c>
      <c r="AU91" s="5">
        <f t="shared" ca="1" si="243"/>
        <v>6.6292161860087174E-3</v>
      </c>
      <c r="AV91" s="5">
        <f t="shared" ca="1" si="244"/>
        <v>6.3890505907037709E-3</v>
      </c>
      <c r="AW91" s="5">
        <f t="shared" ca="1" si="245"/>
        <v>7.433112153019541E-3</v>
      </c>
      <c r="AX91" s="5">
        <f t="shared" ca="1" si="246"/>
        <v>6.3970809212947483E-3</v>
      </c>
      <c r="AY91" s="5">
        <f t="shared" ca="1" si="247"/>
        <v>6.7141024725427901E-3</v>
      </c>
      <c r="AZ91" s="5">
        <f t="shared" ca="1" si="248"/>
        <v>7.668171928764715E-3</v>
      </c>
      <c r="BA91" s="5">
        <f t="shared" ca="1" si="249"/>
        <v>6.825311703190875E-3</v>
      </c>
      <c r="BB91" s="5">
        <f t="shared" ca="1" si="250"/>
        <v>6.828202134576895E-3</v>
      </c>
      <c r="BC91" s="5">
        <f t="shared" ca="1" si="251"/>
        <v>6.8123279730660556E-3</v>
      </c>
      <c r="BD91" s="5">
        <f t="shared" ca="1" si="252"/>
        <v>6.5350081371964401E-3</v>
      </c>
      <c r="BE91" s="5">
        <f t="shared" ca="1" si="253"/>
        <v>7.586446013700625E-3</v>
      </c>
      <c r="BF91" s="5">
        <f t="shared" ca="1" si="254"/>
        <v>7.0206344949578581E-3</v>
      </c>
      <c r="BG91" s="5">
        <f t="shared" ca="1" si="255"/>
        <v>6.9799740285584515E-3</v>
      </c>
      <c r="BH91" s="5">
        <f t="shared" ca="1" si="256"/>
        <v>6.146168601076387E-3</v>
      </c>
      <c r="BI91" s="5">
        <f t="shared" ca="1" si="257"/>
        <v>7.5861448733804066E-3</v>
      </c>
      <c r="BJ91" s="5">
        <f t="shared" ca="1" si="258"/>
        <v>7.0052804283958709E-3</v>
      </c>
      <c r="BK91" s="5">
        <f t="shared" ca="1" si="259"/>
        <v>7.2059749864915685E-3</v>
      </c>
      <c r="BL91" s="5">
        <f t="shared" ca="1" si="260"/>
        <v>6.8525500794429147E-3</v>
      </c>
      <c r="BM91" s="5">
        <f t="shared" ca="1" si="261"/>
        <v>6.5943027191940175E-3</v>
      </c>
      <c r="BN91" s="5">
        <f t="shared" ca="1" si="262"/>
        <v>6.5684058639770794E-3</v>
      </c>
      <c r="BO91" s="5">
        <f t="shared" ca="1" si="263"/>
        <v>7.1258558528112291E-3</v>
      </c>
      <c r="BP91" s="5">
        <f t="shared" ca="1" si="264"/>
        <v>6.8798950512733818E-3</v>
      </c>
      <c r="BQ91" s="5">
        <f t="shared" ca="1" si="265"/>
        <v>6.2665928562590503E-3</v>
      </c>
      <c r="BR91" s="5">
        <f t="shared" ca="1" si="266"/>
        <v>6.5002347111760127E-3</v>
      </c>
      <c r="BS91" s="5">
        <f t="shared" ca="1" si="267"/>
        <v>6.5296876588711462E-3</v>
      </c>
      <c r="BT91" s="5">
        <f t="shared" ca="1" si="268"/>
        <v>6.7504182788930799E-3</v>
      </c>
      <c r="BU91" s="5">
        <f t="shared" ca="1" si="269"/>
        <v>6.580555515867832E-3</v>
      </c>
      <c r="BV91" s="5">
        <f t="shared" ca="1" si="270"/>
        <v>6.7215805918806153E-3</v>
      </c>
      <c r="BW91" s="5">
        <f t="shared" ca="1" si="271"/>
        <v>6.8990237496305085E-3</v>
      </c>
      <c r="BX91" s="5">
        <f t="shared" ca="1" si="272"/>
        <v>7.0723435707842914E-3</v>
      </c>
      <c r="BY91" s="5">
        <f t="shared" ca="1" si="273"/>
        <v>6.4208807008157322E-3</v>
      </c>
      <c r="BZ91" s="5">
        <f t="shared" ca="1" si="274"/>
        <v>7.2358851840188115E-3</v>
      </c>
      <c r="CA91" s="5">
        <f t="shared" ca="1" si="275"/>
        <v>6.3250672243336256E-3</v>
      </c>
      <c r="CB91" s="5">
        <f t="shared" ca="1" si="276"/>
        <v>6.8380349267172695E-3</v>
      </c>
      <c r="CC91" s="5">
        <f t="shared" ca="1" si="277"/>
        <v>6.6295659019222353E-3</v>
      </c>
      <c r="CD91" s="5">
        <f t="shared" ca="1" si="278"/>
        <v>7.080513476384399E-3</v>
      </c>
      <c r="CE91" s="5">
        <f t="shared" ca="1" si="279"/>
        <v>6.3779323023309053E-3</v>
      </c>
      <c r="CF91" s="5">
        <f t="shared" ca="1" si="280"/>
        <v>7.1486557066385526E-3</v>
      </c>
      <c r="CG91" s="5">
        <f t="shared" ca="1" si="281"/>
        <v>6.9073523009064598E-3</v>
      </c>
      <c r="CH91" s="5">
        <f t="shared" ca="1" si="282"/>
        <v>5.9472592695877695E-3</v>
      </c>
      <c r="CI91" s="5">
        <f t="shared" ca="1" si="283"/>
        <v>6.9676186728511204E-3</v>
      </c>
      <c r="CJ91" s="5">
        <f t="shared" ca="1" si="284"/>
        <v>7.0682417061078686E-3</v>
      </c>
      <c r="CK91" s="5">
        <f t="shared" ca="1" si="285"/>
        <v>7.225512088043627E-3</v>
      </c>
      <c r="CL91" s="5">
        <f t="shared" ca="1" si="286"/>
        <v>7.2564254659546216E-3</v>
      </c>
      <c r="CM91" s="5">
        <f t="shared" ca="1" si="287"/>
        <v>7.3532041346944009E-3</v>
      </c>
      <c r="CN91" s="5">
        <f t="shared" ca="1" si="288"/>
        <v>6.5735212877412229E-3</v>
      </c>
      <c r="CO91" s="5">
        <f t="shared" ca="1" si="289"/>
        <v>6.8876226778499996E-3</v>
      </c>
      <c r="CP91" s="5">
        <f t="shared" ca="1" si="290"/>
        <v>6.683338313399693E-3</v>
      </c>
      <c r="CQ91" s="5">
        <f t="shared" ca="1" si="291"/>
        <v>7.0948376283141911E-3</v>
      </c>
      <c r="CR91" s="5">
        <f t="shared" ca="1" si="292"/>
        <v>6.7739795567407701E-3</v>
      </c>
      <c r="CS91" s="5">
        <f t="shared" ca="1" si="293"/>
        <v>6.8473847430187687E-3</v>
      </c>
      <c r="CT91" s="5">
        <f t="shared" ca="1" si="294"/>
        <v>7.375798018472773E-3</v>
      </c>
      <c r="CU91" s="5">
        <f t="shared" ca="1" si="295"/>
        <v>6.4826856480615846E-3</v>
      </c>
      <c r="CV91" s="5">
        <f t="shared" ca="1" si="296"/>
        <v>6.9547377440420475E-3</v>
      </c>
      <c r="CW91" s="5">
        <f t="shared" ca="1" si="297"/>
        <v>6.6778659161126691E-3</v>
      </c>
      <c r="CX91" s="5">
        <f t="shared" ca="1" si="298"/>
        <v>6.6315814032913856E-3</v>
      </c>
      <c r="CY91" s="5">
        <f t="shared" ca="1" si="299"/>
        <v>6.8056578432334975E-3</v>
      </c>
      <c r="CZ91" s="5">
        <f t="shared" ca="1" si="300"/>
        <v>5.8812966388525007E-3</v>
      </c>
      <c r="DA91" s="5">
        <f t="shared" ca="1" si="301"/>
        <v>7.0074821388281874E-3</v>
      </c>
      <c r="DB91" s="5">
        <f t="shared" ca="1" si="302"/>
        <v>6.8798900781546629E-3</v>
      </c>
      <c r="DC91" s="5">
        <f t="shared" ca="1" si="303"/>
        <v>7.0180207388351378E-3</v>
      </c>
      <c r="DD91" s="5">
        <f t="shared" ca="1" si="304"/>
        <v>6.8645838328445638E-3</v>
      </c>
      <c r="DE91" s="5">
        <f t="shared" ca="1" si="305"/>
        <v>6.8417757723016476E-3</v>
      </c>
      <c r="DF91" s="5">
        <f t="shared" ca="1" si="306"/>
        <v>6.6400270186116354E-3</v>
      </c>
      <c r="DG91" s="5">
        <f t="shared" ca="1" si="307"/>
        <v>6.8893501729655037E-3</v>
      </c>
      <c r="DH91" s="5">
        <f t="shared" ca="1" si="308"/>
        <v>6.8853085882857341E-3</v>
      </c>
      <c r="DI91" s="5">
        <f t="shared" ca="1" si="309"/>
        <v>6.895236972888262E-3</v>
      </c>
      <c r="DJ91" s="5">
        <f t="shared" ca="1" si="310"/>
        <v>7.2080462538128675E-3</v>
      </c>
    </row>
    <row r="92" spans="5:114" outlineLevel="1" x14ac:dyDescent="0.2">
      <c r="E92" s="32">
        <v>47270</v>
      </c>
      <c r="F92" s="9">
        <v>3696.3706520831997</v>
      </c>
      <c r="G92" s="5">
        <f t="shared" ca="1" si="208"/>
        <v>5.2310942594660188E-2</v>
      </c>
      <c r="H92" s="5">
        <f t="shared" ca="1" si="209"/>
        <v>6.4990959146560036E-3</v>
      </c>
      <c r="I92" s="9">
        <f t="shared" ca="1" si="210"/>
        <v>240874.34221870598</v>
      </c>
      <c r="K92" s="6">
        <v>88</v>
      </c>
      <c r="L92" s="5">
        <v>362074.47103051032</v>
      </c>
      <c r="N92" s="32">
        <v>47239</v>
      </c>
      <c r="O92" s="5">
        <f t="shared" ca="1" si="211"/>
        <v>7.1394753414939548E-3</v>
      </c>
      <c r="P92" s="5">
        <f t="shared" ca="1" si="212"/>
        <v>6.7600466931802428E-3</v>
      </c>
      <c r="Q92" s="5">
        <f t="shared" ca="1" si="213"/>
        <v>6.6601866867007945E-3</v>
      </c>
      <c r="R92" s="5">
        <f t="shared" ca="1" si="214"/>
        <v>6.3708934258791764E-3</v>
      </c>
      <c r="S92" s="5">
        <f t="shared" ca="1" si="215"/>
        <v>6.1472357296739662E-3</v>
      </c>
      <c r="T92" s="5">
        <f t="shared" ca="1" si="216"/>
        <v>5.9449551598538862E-3</v>
      </c>
      <c r="U92" s="5">
        <f t="shared" ca="1" si="217"/>
        <v>6.9041286768541038E-3</v>
      </c>
      <c r="V92" s="5">
        <f t="shared" ca="1" si="218"/>
        <v>6.4927067264288658E-3</v>
      </c>
      <c r="W92" s="5">
        <f t="shared" ca="1" si="219"/>
        <v>7.2727952669301181E-3</v>
      </c>
      <c r="X92" s="5">
        <f t="shared" ca="1" si="220"/>
        <v>6.7435446450679866E-3</v>
      </c>
      <c r="Y92" s="5">
        <f t="shared" ca="1" si="221"/>
        <v>7.2115079435215983E-3</v>
      </c>
      <c r="Z92" s="5">
        <f t="shared" ca="1" si="222"/>
        <v>7.34867296805754E-3</v>
      </c>
      <c r="AA92" s="5">
        <f t="shared" ca="1" si="223"/>
        <v>6.6432205098123486E-3</v>
      </c>
      <c r="AB92" s="5">
        <f t="shared" ca="1" si="224"/>
        <v>7.010757218847777E-3</v>
      </c>
      <c r="AC92" s="5">
        <f t="shared" ca="1" si="225"/>
        <v>6.7343805908617492E-3</v>
      </c>
      <c r="AD92" s="5">
        <f t="shared" ca="1" si="226"/>
        <v>6.8293259417534476E-3</v>
      </c>
      <c r="AE92" s="5">
        <f t="shared" ca="1" si="227"/>
        <v>7.4208002022240743E-3</v>
      </c>
      <c r="AF92" s="5">
        <f t="shared" ca="1" si="228"/>
        <v>6.8762506173373934E-3</v>
      </c>
      <c r="AG92" s="5">
        <f t="shared" ca="1" si="229"/>
        <v>6.9390444478843356E-3</v>
      </c>
      <c r="AH92" s="5">
        <f t="shared" ca="1" si="230"/>
        <v>6.5055609568163714E-3</v>
      </c>
      <c r="AI92" s="5">
        <f t="shared" ca="1" si="231"/>
        <v>7.4202796721182518E-3</v>
      </c>
      <c r="AJ92" s="5">
        <f t="shared" ca="1" si="232"/>
        <v>6.2447648082146227E-3</v>
      </c>
      <c r="AK92" s="5">
        <f t="shared" ca="1" si="233"/>
        <v>7.2192981692578064E-3</v>
      </c>
      <c r="AL92" s="5">
        <f t="shared" ca="1" si="234"/>
        <v>6.6010688241401978E-3</v>
      </c>
      <c r="AM92" s="5">
        <f t="shared" ca="1" si="235"/>
        <v>6.776974989099049E-3</v>
      </c>
      <c r="AN92" s="5">
        <f t="shared" ca="1" si="236"/>
        <v>6.8342439074205825E-3</v>
      </c>
      <c r="AO92" s="5">
        <f t="shared" ca="1" si="237"/>
        <v>7.7750578897305949E-3</v>
      </c>
      <c r="AP92" s="5">
        <f t="shared" ca="1" si="238"/>
        <v>6.9010478095469941E-3</v>
      </c>
      <c r="AQ92" s="5">
        <f t="shared" ca="1" si="239"/>
        <v>6.19760740404845E-3</v>
      </c>
      <c r="AR92" s="5">
        <f t="shared" ca="1" si="240"/>
        <v>6.6743594680386993E-3</v>
      </c>
      <c r="AS92" s="5">
        <f t="shared" ca="1" si="241"/>
        <v>7.0167148929588859E-3</v>
      </c>
      <c r="AT92" s="5">
        <f t="shared" ca="1" si="242"/>
        <v>6.1473702946853144E-3</v>
      </c>
      <c r="AU92" s="5">
        <f t="shared" ca="1" si="243"/>
        <v>6.6088632241965524E-3</v>
      </c>
      <c r="AV92" s="5">
        <f t="shared" ca="1" si="244"/>
        <v>6.4169554319363793E-3</v>
      </c>
      <c r="AW92" s="5">
        <f t="shared" ca="1" si="245"/>
        <v>7.4647625998570622E-3</v>
      </c>
      <c r="AX92" s="5">
        <f t="shared" ca="1" si="246"/>
        <v>6.3756369323434512E-3</v>
      </c>
      <c r="AY92" s="5">
        <f t="shared" ca="1" si="247"/>
        <v>6.6328410724436904E-3</v>
      </c>
      <c r="AZ92" s="5">
        <f t="shared" ca="1" si="248"/>
        <v>7.6379355743074482E-3</v>
      </c>
      <c r="BA92" s="5">
        <f t="shared" ca="1" si="249"/>
        <v>6.8848171914058648E-3</v>
      </c>
      <c r="BB92" s="5">
        <f t="shared" ca="1" si="250"/>
        <v>6.7876168561275896E-3</v>
      </c>
      <c r="BC92" s="5">
        <f t="shared" ca="1" si="251"/>
        <v>6.8150986658383709E-3</v>
      </c>
      <c r="BD92" s="5">
        <f t="shared" ca="1" si="252"/>
        <v>6.5651383360161878E-3</v>
      </c>
      <c r="BE92" s="5">
        <f t="shared" ca="1" si="253"/>
        <v>7.577698751019683E-3</v>
      </c>
      <c r="BF92" s="5">
        <f t="shared" ca="1" si="254"/>
        <v>7.036952638812247E-3</v>
      </c>
      <c r="BG92" s="5">
        <f t="shared" ca="1" si="255"/>
        <v>6.9452671962847894E-3</v>
      </c>
      <c r="BH92" s="5">
        <f t="shared" ca="1" si="256"/>
        <v>6.0548888890595981E-3</v>
      </c>
      <c r="BI92" s="5">
        <f t="shared" ca="1" si="257"/>
        <v>7.594988806286191E-3</v>
      </c>
      <c r="BJ92" s="5">
        <f t="shared" ca="1" si="258"/>
        <v>6.9777307548124709E-3</v>
      </c>
      <c r="BK92" s="5">
        <f t="shared" ca="1" si="259"/>
        <v>7.2822489197193734E-3</v>
      </c>
      <c r="BL92" s="5">
        <f t="shared" ca="1" si="260"/>
        <v>6.8564316837959648E-3</v>
      </c>
      <c r="BM92" s="5">
        <f t="shared" ca="1" si="261"/>
        <v>6.606447296331224E-3</v>
      </c>
      <c r="BN92" s="5">
        <f t="shared" ca="1" si="262"/>
        <v>6.6208816362789856E-3</v>
      </c>
      <c r="BO92" s="5">
        <f t="shared" ca="1" si="263"/>
        <v>7.1025527883199517E-3</v>
      </c>
      <c r="BP92" s="5">
        <f t="shared" ca="1" si="264"/>
        <v>6.8877581686598655E-3</v>
      </c>
      <c r="BQ92" s="5">
        <f t="shared" ca="1" si="265"/>
        <v>6.2144588231881764E-3</v>
      </c>
      <c r="BR92" s="5">
        <f t="shared" ca="1" si="266"/>
        <v>6.4713823259255785E-3</v>
      </c>
      <c r="BS92" s="5">
        <f t="shared" ca="1" si="267"/>
        <v>6.4976813824776962E-3</v>
      </c>
      <c r="BT92" s="5">
        <f t="shared" ca="1" si="268"/>
        <v>6.7770724730752798E-3</v>
      </c>
      <c r="BU92" s="5">
        <f t="shared" ca="1" si="269"/>
        <v>6.5890493047732939E-3</v>
      </c>
      <c r="BV92" s="5">
        <f t="shared" ca="1" si="270"/>
        <v>6.7345667509203519E-3</v>
      </c>
      <c r="BW92" s="5">
        <f t="shared" ca="1" si="271"/>
        <v>6.8595816791600338E-3</v>
      </c>
      <c r="BX92" s="5">
        <f t="shared" ca="1" si="272"/>
        <v>7.0750701818597167E-3</v>
      </c>
      <c r="BY92" s="5">
        <f t="shared" ca="1" si="273"/>
        <v>6.3349121808030373E-3</v>
      </c>
      <c r="BZ92" s="5">
        <f t="shared" ca="1" si="274"/>
        <v>7.1698093334542825E-3</v>
      </c>
      <c r="CA92" s="5">
        <f t="shared" ca="1" si="275"/>
        <v>6.237266539232041E-3</v>
      </c>
      <c r="CB92" s="5">
        <f t="shared" ca="1" si="276"/>
        <v>6.8407613651383621E-3</v>
      </c>
      <c r="CC92" s="5">
        <f t="shared" ca="1" si="277"/>
        <v>6.6811057226221571E-3</v>
      </c>
      <c r="CD92" s="5">
        <f t="shared" ca="1" si="278"/>
        <v>7.0641684958561001E-3</v>
      </c>
      <c r="CE92" s="5">
        <f t="shared" ca="1" si="279"/>
        <v>6.3306897703486109E-3</v>
      </c>
      <c r="CF92" s="5">
        <f t="shared" ca="1" si="280"/>
        <v>7.133077322671065E-3</v>
      </c>
      <c r="CG92" s="5">
        <f t="shared" ca="1" si="281"/>
        <v>6.8822961636028617E-3</v>
      </c>
      <c r="CH92" s="5">
        <f t="shared" ca="1" si="282"/>
        <v>5.9173216641226203E-3</v>
      </c>
      <c r="CI92" s="5">
        <f t="shared" ca="1" si="283"/>
        <v>6.9908869647846515E-3</v>
      </c>
      <c r="CJ92" s="5">
        <f t="shared" ca="1" si="284"/>
        <v>7.0815083181808448E-3</v>
      </c>
      <c r="CK92" s="5">
        <f t="shared" ca="1" si="285"/>
        <v>7.2074821281199524E-3</v>
      </c>
      <c r="CL92" s="5">
        <f t="shared" ca="1" si="286"/>
        <v>7.3163598696337224E-3</v>
      </c>
      <c r="CM92" s="5">
        <f t="shared" ca="1" si="287"/>
        <v>7.2831678966041157E-3</v>
      </c>
      <c r="CN92" s="5">
        <f t="shared" ca="1" si="288"/>
        <v>6.589202021494228E-3</v>
      </c>
      <c r="CO92" s="5">
        <f t="shared" ca="1" si="289"/>
        <v>6.8698220608364152E-3</v>
      </c>
      <c r="CP92" s="5">
        <f t="shared" ca="1" si="290"/>
        <v>6.7507687555500443E-3</v>
      </c>
      <c r="CQ92" s="5">
        <f t="shared" ca="1" si="291"/>
        <v>7.1886189939719776E-3</v>
      </c>
      <c r="CR92" s="5">
        <f t="shared" ca="1" si="292"/>
        <v>6.7986498889831253E-3</v>
      </c>
      <c r="CS92" s="5">
        <f t="shared" ca="1" si="293"/>
        <v>6.8823038916395393E-3</v>
      </c>
      <c r="CT92" s="5">
        <f t="shared" ca="1" si="294"/>
        <v>7.3465935224231328E-3</v>
      </c>
      <c r="CU92" s="5">
        <f t="shared" ca="1" si="295"/>
        <v>6.5385322607441993E-3</v>
      </c>
      <c r="CV92" s="5">
        <f t="shared" ca="1" si="296"/>
        <v>7.0027994459620204E-3</v>
      </c>
      <c r="CW92" s="5">
        <f t="shared" ca="1" si="297"/>
        <v>6.7002277461543315E-3</v>
      </c>
      <c r="CX92" s="5">
        <f t="shared" ca="1" si="298"/>
        <v>6.6255253034513536E-3</v>
      </c>
      <c r="CY92" s="5">
        <f t="shared" ca="1" si="299"/>
        <v>6.7812703976514602E-3</v>
      </c>
      <c r="CZ92" s="5">
        <f t="shared" ca="1" si="300"/>
        <v>5.8363717422383679E-3</v>
      </c>
      <c r="DA92" s="5">
        <f t="shared" ca="1" si="301"/>
        <v>7.0003121425609438E-3</v>
      </c>
      <c r="DB92" s="5">
        <f t="shared" ca="1" si="302"/>
        <v>6.8651632717193923E-3</v>
      </c>
      <c r="DC92" s="5">
        <f t="shared" ca="1" si="303"/>
        <v>7.035777650345504E-3</v>
      </c>
      <c r="DD92" s="5">
        <f t="shared" ca="1" si="304"/>
        <v>6.8467901379725919E-3</v>
      </c>
      <c r="DE92" s="5">
        <f t="shared" ca="1" si="305"/>
        <v>6.8415803425379293E-3</v>
      </c>
      <c r="DF92" s="5">
        <f t="shared" ca="1" si="306"/>
        <v>6.625469536120975E-3</v>
      </c>
      <c r="DG92" s="5">
        <f t="shared" ca="1" si="307"/>
        <v>6.753518294333895E-3</v>
      </c>
      <c r="DH92" s="5">
        <f t="shared" ca="1" si="308"/>
        <v>6.8633070091794557E-3</v>
      </c>
      <c r="DI92" s="5">
        <f t="shared" ca="1" si="309"/>
        <v>6.8669020652567716E-3</v>
      </c>
      <c r="DJ92" s="5">
        <f t="shared" ca="1" si="310"/>
        <v>7.181879766707042E-3</v>
      </c>
    </row>
    <row r="93" spans="5:114" outlineLevel="1" x14ac:dyDescent="0.2">
      <c r="E93" s="32">
        <v>47300</v>
      </c>
      <c r="F93" s="9">
        <v>3696.3706520831997</v>
      </c>
      <c r="G93" s="5">
        <f t="shared" ca="1" si="208"/>
        <v>1.9114724929367895E-2</v>
      </c>
      <c r="H93" s="5">
        <f t="shared" ca="1" si="209"/>
        <v>6.5315931402499857E-3</v>
      </c>
      <c r="I93" s="9">
        <f t="shared" ca="1" si="210"/>
        <v>244701.85632497983</v>
      </c>
      <c r="K93" s="6">
        <v>89</v>
      </c>
      <c r="L93" s="5">
        <v>362407.765309871</v>
      </c>
      <c r="N93" s="32">
        <v>47270</v>
      </c>
      <c r="O93" s="5">
        <f t="shared" ca="1" si="211"/>
        <v>7.1856375677602675E-3</v>
      </c>
      <c r="P93" s="5">
        <f t="shared" ca="1" si="212"/>
        <v>6.7570152645448902E-3</v>
      </c>
      <c r="Q93" s="5">
        <f t="shared" ca="1" si="213"/>
        <v>6.7006247874146566E-3</v>
      </c>
      <c r="R93" s="5">
        <f t="shared" ca="1" si="214"/>
        <v>6.4394535965334116E-3</v>
      </c>
      <c r="S93" s="5">
        <f t="shared" ca="1" si="215"/>
        <v>6.1132374620622978E-3</v>
      </c>
      <c r="T93" s="5">
        <f t="shared" ca="1" si="216"/>
        <v>5.9423985648024268E-3</v>
      </c>
      <c r="U93" s="5">
        <f t="shared" ca="1" si="217"/>
        <v>6.9138878407139417E-3</v>
      </c>
      <c r="V93" s="5">
        <f t="shared" ca="1" si="218"/>
        <v>6.5941169077970386E-3</v>
      </c>
      <c r="W93" s="5">
        <f t="shared" ca="1" si="219"/>
        <v>7.3336626544920789E-3</v>
      </c>
      <c r="X93" s="5">
        <f t="shared" ca="1" si="220"/>
        <v>6.6660860871426003E-3</v>
      </c>
      <c r="Y93" s="5">
        <f t="shared" ca="1" si="221"/>
        <v>7.2848017470478347E-3</v>
      </c>
      <c r="Z93" s="5">
        <f t="shared" ca="1" si="222"/>
        <v>7.3288688468668159E-3</v>
      </c>
      <c r="AA93" s="5">
        <f t="shared" ca="1" si="223"/>
        <v>6.625673283419827E-3</v>
      </c>
      <c r="AB93" s="5">
        <f t="shared" ca="1" si="224"/>
        <v>7.0466184430066133E-3</v>
      </c>
      <c r="AC93" s="5">
        <f t="shared" ca="1" si="225"/>
        <v>6.7832920350079599E-3</v>
      </c>
      <c r="AD93" s="5">
        <f t="shared" ca="1" si="226"/>
        <v>6.9039879705907895E-3</v>
      </c>
      <c r="AE93" s="5">
        <f t="shared" ca="1" si="227"/>
        <v>7.3979881976622783E-3</v>
      </c>
      <c r="AF93" s="5">
        <f t="shared" ca="1" si="228"/>
        <v>6.8375220986070743E-3</v>
      </c>
      <c r="AG93" s="5">
        <f t="shared" ca="1" si="229"/>
        <v>6.9773487201748082E-3</v>
      </c>
      <c r="AH93" s="5">
        <f t="shared" ca="1" si="230"/>
        <v>6.5855043919939371E-3</v>
      </c>
      <c r="AI93" s="5">
        <f t="shared" ca="1" si="231"/>
        <v>7.4463594364557913E-3</v>
      </c>
      <c r="AJ93" s="5">
        <f t="shared" ca="1" si="232"/>
        <v>6.1889509034016551E-3</v>
      </c>
      <c r="AK93" s="5">
        <f t="shared" ca="1" si="233"/>
        <v>7.2200977390033672E-3</v>
      </c>
      <c r="AL93" s="5">
        <f t="shared" ca="1" si="234"/>
        <v>6.5381109373812219E-3</v>
      </c>
      <c r="AM93" s="5">
        <f t="shared" ca="1" si="235"/>
        <v>6.8030759560794045E-3</v>
      </c>
      <c r="AN93" s="5">
        <f t="shared" ca="1" si="236"/>
        <v>6.7979665416072971E-3</v>
      </c>
      <c r="AO93" s="5">
        <f t="shared" ca="1" si="237"/>
        <v>7.8480199615976361E-3</v>
      </c>
      <c r="AP93" s="5">
        <f t="shared" ca="1" si="238"/>
        <v>6.8457276475996608E-3</v>
      </c>
      <c r="AQ93" s="5">
        <f t="shared" ca="1" si="239"/>
        <v>6.167923474272907E-3</v>
      </c>
      <c r="AR93" s="5">
        <f t="shared" ca="1" si="240"/>
        <v>6.6693622033715269E-3</v>
      </c>
      <c r="AS93" s="5">
        <f t="shared" ca="1" si="241"/>
        <v>6.9851371044392834E-3</v>
      </c>
      <c r="AT93" s="5">
        <f t="shared" ca="1" si="242"/>
        <v>6.1929878082951422E-3</v>
      </c>
      <c r="AU93" s="5">
        <f t="shared" ca="1" si="243"/>
        <v>6.5665815247983759E-3</v>
      </c>
      <c r="AV93" s="5">
        <f t="shared" ca="1" si="244"/>
        <v>6.3776429425161521E-3</v>
      </c>
      <c r="AW93" s="5">
        <f t="shared" ca="1" si="245"/>
        <v>7.4334721507513428E-3</v>
      </c>
      <c r="AX93" s="5">
        <f t="shared" ca="1" si="246"/>
        <v>6.3691060236219657E-3</v>
      </c>
      <c r="AY93" s="5">
        <f t="shared" ca="1" si="247"/>
        <v>6.6191403705681447E-3</v>
      </c>
      <c r="AZ93" s="5">
        <f t="shared" ca="1" si="248"/>
        <v>7.6865122479689617E-3</v>
      </c>
      <c r="BA93" s="5">
        <f t="shared" ca="1" si="249"/>
        <v>6.8148796418423538E-3</v>
      </c>
      <c r="BB93" s="5">
        <f t="shared" ca="1" si="250"/>
        <v>6.835019226622433E-3</v>
      </c>
      <c r="BC93" s="5">
        <f t="shared" ca="1" si="251"/>
        <v>6.9305944018234131E-3</v>
      </c>
      <c r="BD93" s="5">
        <f t="shared" ca="1" si="252"/>
        <v>6.5462903108156967E-3</v>
      </c>
      <c r="BE93" s="5">
        <f t="shared" ca="1" si="253"/>
        <v>7.6232771700230359E-3</v>
      </c>
      <c r="BF93" s="5">
        <f t="shared" ca="1" si="254"/>
        <v>7.0114647009493812E-3</v>
      </c>
      <c r="BG93" s="5">
        <f t="shared" ca="1" si="255"/>
        <v>6.9788503685384142E-3</v>
      </c>
      <c r="BH93" s="5">
        <f t="shared" ca="1" si="256"/>
        <v>6.0601382552715362E-3</v>
      </c>
      <c r="BI93" s="5">
        <f t="shared" ca="1" si="257"/>
        <v>7.6849867501959709E-3</v>
      </c>
      <c r="BJ93" s="5">
        <f t="shared" ca="1" si="258"/>
        <v>7.0497056922679893E-3</v>
      </c>
      <c r="BK93" s="5">
        <f t="shared" ca="1" si="259"/>
        <v>7.3645984019529683E-3</v>
      </c>
      <c r="BL93" s="5">
        <f t="shared" ca="1" si="260"/>
        <v>6.9819207708713407E-3</v>
      </c>
      <c r="BM93" s="5">
        <f t="shared" ca="1" si="261"/>
        <v>6.7089996384001706E-3</v>
      </c>
      <c r="BN93" s="5">
        <f t="shared" ca="1" si="262"/>
        <v>6.6266446357887698E-3</v>
      </c>
      <c r="BO93" s="5">
        <f t="shared" ca="1" si="263"/>
        <v>7.1543038997518762E-3</v>
      </c>
      <c r="BP93" s="5">
        <f t="shared" ca="1" si="264"/>
        <v>6.9603187920680154E-3</v>
      </c>
      <c r="BQ93" s="5">
        <f t="shared" ca="1" si="265"/>
        <v>6.2373480703620228E-3</v>
      </c>
      <c r="BR93" s="5">
        <f t="shared" ca="1" si="266"/>
        <v>6.5281704457898961E-3</v>
      </c>
      <c r="BS93" s="5">
        <f t="shared" ca="1" si="267"/>
        <v>6.6148541963402087E-3</v>
      </c>
      <c r="BT93" s="5">
        <f t="shared" ca="1" si="268"/>
        <v>6.7990217446567327E-3</v>
      </c>
      <c r="BU93" s="5">
        <f t="shared" ca="1" si="269"/>
        <v>6.5921781105297379E-3</v>
      </c>
      <c r="BV93" s="5">
        <f t="shared" ca="1" si="270"/>
        <v>6.7727228865115639E-3</v>
      </c>
      <c r="BW93" s="5">
        <f t="shared" ca="1" si="271"/>
        <v>6.8484747966206065E-3</v>
      </c>
      <c r="BX93" s="5">
        <f t="shared" ca="1" si="272"/>
        <v>7.0698029086773365E-3</v>
      </c>
      <c r="BY93" s="5">
        <f t="shared" ca="1" si="273"/>
        <v>6.3546246788203867E-3</v>
      </c>
      <c r="BZ93" s="5">
        <f t="shared" ca="1" si="274"/>
        <v>7.1527721151733144E-3</v>
      </c>
      <c r="CA93" s="5">
        <f t="shared" ca="1" si="275"/>
        <v>6.3797052978599748E-3</v>
      </c>
      <c r="CB93" s="5">
        <f t="shared" ca="1" si="276"/>
        <v>6.8480408830885083E-3</v>
      </c>
      <c r="CC93" s="5">
        <f t="shared" ca="1" si="277"/>
        <v>6.6865653888368475E-3</v>
      </c>
      <c r="CD93" s="5">
        <f t="shared" ca="1" si="278"/>
        <v>7.0338056587040485E-3</v>
      </c>
      <c r="CE93" s="5">
        <f t="shared" ca="1" si="279"/>
        <v>6.4339372529633159E-3</v>
      </c>
      <c r="CF93" s="5">
        <f t="shared" ca="1" si="280"/>
        <v>7.1390893860444832E-3</v>
      </c>
      <c r="CG93" s="5">
        <f t="shared" ca="1" si="281"/>
        <v>6.8771739844800533E-3</v>
      </c>
      <c r="CH93" s="5">
        <f t="shared" ca="1" si="282"/>
        <v>5.9844441740230341E-3</v>
      </c>
      <c r="CI93" s="5">
        <f t="shared" ca="1" si="283"/>
        <v>6.9997222028517778E-3</v>
      </c>
      <c r="CJ93" s="5">
        <f t="shared" ca="1" si="284"/>
        <v>7.0886332796196543E-3</v>
      </c>
      <c r="CK93" s="5">
        <f t="shared" ca="1" si="285"/>
        <v>7.2281053149413329E-3</v>
      </c>
      <c r="CL93" s="5">
        <f t="shared" ca="1" si="286"/>
        <v>7.3182824610885074E-3</v>
      </c>
      <c r="CM93" s="5">
        <f t="shared" ca="1" si="287"/>
        <v>7.4020938072865278E-3</v>
      </c>
      <c r="CN93" s="5">
        <f t="shared" ca="1" si="288"/>
        <v>6.6278558023405197E-3</v>
      </c>
      <c r="CO93" s="5">
        <f t="shared" ca="1" si="289"/>
        <v>6.8777446321446915E-3</v>
      </c>
      <c r="CP93" s="5">
        <f t="shared" ca="1" si="290"/>
        <v>6.7731961624132569E-3</v>
      </c>
      <c r="CQ93" s="5">
        <f t="shared" ca="1" si="291"/>
        <v>7.2129735693239293E-3</v>
      </c>
      <c r="CR93" s="5">
        <f t="shared" ca="1" si="292"/>
        <v>6.7997809880085665E-3</v>
      </c>
      <c r="CS93" s="5">
        <f t="shared" ca="1" si="293"/>
        <v>6.9277526698751949E-3</v>
      </c>
      <c r="CT93" s="5">
        <f t="shared" ca="1" si="294"/>
        <v>7.3076134914789133E-3</v>
      </c>
      <c r="CU93" s="5">
        <f t="shared" ca="1" si="295"/>
        <v>6.5298918979261713E-3</v>
      </c>
      <c r="CV93" s="5">
        <f t="shared" ca="1" si="296"/>
        <v>6.9340809848215459E-3</v>
      </c>
      <c r="CW93" s="5">
        <f t="shared" ca="1" si="297"/>
        <v>6.6336325313711706E-3</v>
      </c>
      <c r="CX93" s="5">
        <f t="shared" ca="1" si="298"/>
        <v>6.670054043614166E-3</v>
      </c>
      <c r="CY93" s="5">
        <f t="shared" ca="1" si="299"/>
        <v>6.6944989788973817E-3</v>
      </c>
      <c r="CZ93" s="5">
        <f t="shared" ca="1" si="300"/>
        <v>5.9021082515314073E-3</v>
      </c>
      <c r="DA93" s="5">
        <f t="shared" ca="1" si="301"/>
        <v>7.0080586424710635E-3</v>
      </c>
      <c r="DB93" s="5">
        <f t="shared" ca="1" si="302"/>
        <v>6.8830358967138221E-3</v>
      </c>
      <c r="DC93" s="5">
        <f t="shared" ca="1" si="303"/>
        <v>7.0002920317985273E-3</v>
      </c>
      <c r="DD93" s="5">
        <f t="shared" ca="1" si="304"/>
        <v>6.8011093100095012E-3</v>
      </c>
      <c r="DE93" s="5">
        <f t="shared" ca="1" si="305"/>
        <v>6.7885501997199445E-3</v>
      </c>
      <c r="DF93" s="5">
        <f t="shared" ca="1" si="306"/>
        <v>6.6137605584218623E-3</v>
      </c>
      <c r="DG93" s="5">
        <f t="shared" ca="1" si="307"/>
        <v>6.8089178324782272E-3</v>
      </c>
      <c r="DH93" s="5">
        <f t="shared" ca="1" si="308"/>
        <v>6.812503864635373E-3</v>
      </c>
      <c r="DI93" s="5">
        <f t="shared" ca="1" si="309"/>
        <v>6.8446110361595454E-3</v>
      </c>
      <c r="DJ93" s="5">
        <f t="shared" ca="1" si="310"/>
        <v>7.0508080631945594E-3</v>
      </c>
    </row>
    <row r="94" spans="5:114" outlineLevel="1" x14ac:dyDescent="0.2">
      <c r="E94" s="32">
        <v>47331</v>
      </c>
      <c r="F94" s="9">
        <v>3696.3706520831997</v>
      </c>
      <c r="G94" s="5">
        <f t="shared" ca="1" si="208"/>
        <v>-0.15838780570954131</v>
      </c>
      <c r="H94" s="5">
        <f t="shared" ca="1" si="209"/>
        <v>6.5466623909322848E-3</v>
      </c>
      <c r="I94" s="9">
        <f t="shared" ca="1" si="210"/>
        <v>248531.76176903385</v>
      </c>
      <c r="K94" s="6">
        <v>90</v>
      </c>
      <c r="L94" s="5">
        <v>363197.46944844263</v>
      </c>
      <c r="N94" s="32">
        <v>47300</v>
      </c>
      <c r="O94" s="5">
        <f t="shared" ca="1" si="211"/>
        <v>7.185236524017858E-3</v>
      </c>
      <c r="P94" s="5">
        <f t="shared" ca="1" si="212"/>
        <v>6.7814162517779043E-3</v>
      </c>
      <c r="Q94" s="5">
        <f t="shared" ca="1" si="213"/>
        <v>6.6932958512098337E-3</v>
      </c>
      <c r="R94" s="5">
        <f t="shared" ca="1" si="214"/>
        <v>6.4397557777500832E-3</v>
      </c>
      <c r="S94" s="5">
        <f t="shared" ca="1" si="215"/>
        <v>6.1048872472550912E-3</v>
      </c>
      <c r="T94" s="5">
        <f t="shared" ca="1" si="216"/>
        <v>5.9215598012643681E-3</v>
      </c>
      <c r="U94" s="5">
        <f t="shared" ca="1" si="217"/>
        <v>6.869493490461333E-3</v>
      </c>
      <c r="V94" s="5">
        <f t="shared" ca="1" si="218"/>
        <v>6.6524951404105803E-3</v>
      </c>
      <c r="W94" s="5">
        <f t="shared" ca="1" si="219"/>
        <v>7.3793196474218068E-3</v>
      </c>
      <c r="X94" s="5">
        <f t="shared" ca="1" si="220"/>
        <v>6.6164468809052617E-3</v>
      </c>
      <c r="Y94" s="5">
        <f t="shared" ca="1" si="221"/>
        <v>7.2261089708263223E-3</v>
      </c>
      <c r="Z94" s="5">
        <f t="shared" ca="1" si="222"/>
        <v>7.3290509346178589E-3</v>
      </c>
      <c r="AA94" s="5">
        <f t="shared" ca="1" si="223"/>
        <v>6.6473984787901374E-3</v>
      </c>
      <c r="AB94" s="5">
        <f t="shared" ca="1" si="224"/>
        <v>7.0953727183409535E-3</v>
      </c>
      <c r="AC94" s="5">
        <f t="shared" ca="1" si="225"/>
        <v>6.7498925278242786E-3</v>
      </c>
      <c r="AD94" s="5">
        <f t="shared" ca="1" si="226"/>
        <v>6.8550482453352112E-3</v>
      </c>
      <c r="AE94" s="5">
        <f t="shared" ca="1" si="227"/>
        <v>7.4140114687482493E-3</v>
      </c>
      <c r="AF94" s="5">
        <f t="shared" ca="1" si="228"/>
        <v>6.8244767002470638E-3</v>
      </c>
      <c r="AG94" s="5">
        <f t="shared" ca="1" si="229"/>
        <v>6.9723316420733971E-3</v>
      </c>
      <c r="AH94" s="5">
        <f t="shared" ca="1" si="230"/>
        <v>6.6120439750015671E-3</v>
      </c>
      <c r="AI94" s="5">
        <f t="shared" ca="1" si="231"/>
        <v>7.4029426241270565E-3</v>
      </c>
      <c r="AJ94" s="5">
        <f t="shared" ca="1" si="232"/>
        <v>6.2552637262317532E-3</v>
      </c>
      <c r="AK94" s="5">
        <f t="shared" ca="1" si="233"/>
        <v>7.2097800693115537E-3</v>
      </c>
      <c r="AL94" s="5">
        <f t="shared" ca="1" si="234"/>
        <v>6.45505829490336E-3</v>
      </c>
      <c r="AM94" s="5">
        <f t="shared" ca="1" si="235"/>
        <v>6.8502690307758489E-3</v>
      </c>
      <c r="AN94" s="5">
        <f t="shared" ca="1" si="236"/>
        <v>6.7463511624674339E-3</v>
      </c>
      <c r="AO94" s="5">
        <f t="shared" ca="1" si="237"/>
        <v>7.8160615154047389E-3</v>
      </c>
      <c r="AP94" s="5">
        <f t="shared" ca="1" si="238"/>
        <v>6.8571272124735589E-3</v>
      </c>
      <c r="AQ94" s="5">
        <f t="shared" ca="1" si="239"/>
        <v>6.166970055598733E-3</v>
      </c>
      <c r="AR94" s="5">
        <f t="shared" ca="1" si="240"/>
        <v>6.6424704218781437E-3</v>
      </c>
      <c r="AS94" s="5">
        <f t="shared" ca="1" si="241"/>
        <v>6.9654854758172359E-3</v>
      </c>
      <c r="AT94" s="5">
        <f t="shared" ca="1" si="242"/>
        <v>6.2131294320093141E-3</v>
      </c>
      <c r="AU94" s="5">
        <f t="shared" ca="1" si="243"/>
        <v>6.6725823680021243E-3</v>
      </c>
      <c r="AV94" s="5">
        <f t="shared" ca="1" si="244"/>
        <v>6.4835484322840631E-3</v>
      </c>
      <c r="AW94" s="5">
        <f t="shared" ca="1" si="245"/>
        <v>7.3965313473825867E-3</v>
      </c>
      <c r="AX94" s="5">
        <f t="shared" ca="1" si="246"/>
        <v>6.3733461394113186E-3</v>
      </c>
      <c r="AY94" s="5">
        <f t="shared" ca="1" si="247"/>
        <v>6.6043240145313526E-3</v>
      </c>
      <c r="AZ94" s="5">
        <f t="shared" ca="1" si="248"/>
        <v>7.729594661885354E-3</v>
      </c>
      <c r="BA94" s="5">
        <f t="shared" ca="1" si="249"/>
        <v>6.7490594666071704E-3</v>
      </c>
      <c r="BB94" s="5">
        <f t="shared" ca="1" si="250"/>
        <v>6.7657842722415595E-3</v>
      </c>
      <c r="BC94" s="5">
        <f t="shared" ca="1" si="251"/>
        <v>6.9620640886662137E-3</v>
      </c>
      <c r="BD94" s="5">
        <f t="shared" ca="1" si="252"/>
        <v>6.5436801117792608E-3</v>
      </c>
      <c r="BE94" s="5">
        <f t="shared" ca="1" si="253"/>
        <v>7.7264939105410506E-3</v>
      </c>
      <c r="BF94" s="5">
        <f t="shared" ca="1" si="254"/>
        <v>6.9756819581730271E-3</v>
      </c>
      <c r="BG94" s="5">
        <f t="shared" ca="1" si="255"/>
        <v>7.0647698371121941E-3</v>
      </c>
      <c r="BH94" s="5">
        <f t="shared" ca="1" si="256"/>
        <v>6.1007647044583882E-3</v>
      </c>
      <c r="BI94" s="5">
        <f t="shared" ca="1" si="257"/>
        <v>7.6725093208696148E-3</v>
      </c>
      <c r="BJ94" s="5">
        <f t="shared" ca="1" si="258"/>
        <v>7.0350251932592076E-3</v>
      </c>
      <c r="BK94" s="5">
        <f t="shared" ca="1" si="259"/>
        <v>7.4551688887690114E-3</v>
      </c>
      <c r="BL94" s="5">
        <f t="shared" ca="1" si="260"/>
        <v>6.952357578229925E-3</v>
      </c>
      <c r="BM94" s="5">
        <f t="shared" ca="1" si="261"/>
        <v>6.6742045455653459E-3</v>
      </c>
      <c r="BN94" s="5">
        <f t="shared" ca="1" si="262"/>
        <v>6.7138343312804771E-3</v>
      </c>
      <c r="BO94" s="5">
        <f t="shared" ca="1" si="263"/>
        <v>7.0295431800749108E-3</v>
      </c>
      <c r="BP94" s="5">
        <f t="shared" ca="1" si="264"/>
        <v>6.9625945726967033E-3</v>
      </c>
      <c r="BQ94" s="5">
        <f t="shared" ca="1" si="265"/>
        <v>6.2934405795487753E-3</v>
      </c>
      <c r="BR94" s="5">
        <f t="shared" ca="1" si="266"/>
        <v>6.5658395819504188E-3</v>
      </c>
      <c r="BS94" s="5">
        <f t="shared" ca="1" si="267"/>
        <v>6.59080273473914E-3</v>
      </c>
      <c r="BT94" s="5">
        <f t="shared" ca="1" si="268"/>
        <v>6.7562510130557019E-3</v>
      </c>
      <c r="BU94" s="5">
        <f t="shared" ca="1" si="269"/>
        <v>6.6350657727825462E-3</v>
      </c>
      <c r="BV94" s="5">
        <f t="shared" ca="1" si="270"/>
        <v>6.8170301040984572E-3</v>
      </c>
      <c r="BW94" s="5">
        <f t="shared" ca="1" si="271"/>
        <v>6.8493932620967276E-3</v>
      </c>
      <c r="BX94" s="5">
        <f t="shared" ca="1" si="272"/>
        <v>7.0881426774479861E-3</v>
      </c>
      <c r="BY94" s="5">
        <f t="shared" ca="1" si="273"/>
        <v>6.4018962627615068E-3</v>
      </c>
      <c r="BZ94" s="5">
        <f t="shared" ca="1" si="274"/>
        <v>7.1267397279495817E-3</v>
      </c>
      <c r="CA94" s="5">
        <f t="shared" ca="1" si="275"/>
        <v>6.4017925438565951E-3</v>
      </c>
      <c r="CB94" s="5">
        <f t="shared" ca="1" si="276"/>
        <v>6.8889729937956353E-3</v>
      </c>
      <c r="CC94" s="5">
        <f t="shared" ca="1" si="277"/>
        <v>6.6490030371353526E-3</v>
      </c>
      <c r="CD94" s="5">
        <f t="shared" ca="1" si="278"/>
        <v>6.9979015442809224E-3</v>
      </c>
      <c r="CE94" s="5">
        <f t="shared" ca="1" si="279"/>
        <v>6.4528866464923108E-3</v>
      </c>
      <c r="CF94" s="5">
        <f t="shared" ca="1" si="280"/>
        <v>7.1351441684869002E-3</v>
      </c>
      <c r="CG94" s="5">
        <f t="shared" ca="1" si="281"/>
        <v>6.8557020632887674E-3</v>
      </c>
      <c r="CH94" s="5">
        <f t="shared" ca="1" si="282"/>
        <v>5.9797794038674171E-3</v>
      </c>
      <c r="CI94" s="5">
        <f t="shared" ca="1" si="283"/>
        <v>7.013830659505697E-3</v>
      </c>
      <c r="CJ94" s="5">
        <f t="shared" ca="1" si="284"/>
        <v>7.1313761404495322E-3</v>
      </c>
      <c r="CK94" s="5">
        <f t="shared" ca="1" si="285"/>
        <v>7.2803328821405867E-3</v>
      </c>
      <c r="CL94" s="5">
        <f t="shared" ca="1" si="286"/>
        <v>7.3893014169118731E-3</v>
      </c>
      <c r="CM94" s="5">
        <f t="shared" ca="1" si="287"/>
        <v>7.3389447214261654E-3</v>
      </c>
      <c r="CN94" s="5">
        <f t="shared" ca="1" si="288"/>
        <v>6.6650387512243534E-3</v>
      </c>
      <c r="CO94" s="5">
        <f t="shared" ca="1" si="289"/>
        <v>6.9145792031801339E-3</v>
      </c>
      <c r="CP94" s="5">
        <f t="shared" ca="1" si="290"/>
        <v>6.7663369567939691E-3</v>
      </c>
      <c r="CQ94" s="5">
        <f t="shared" ca="1" si="291"/>
        <v>7.1579904817794145E-3</v>
      </c>
      <c r="CR94" s="5">
        <f t="shared" ca="1" si="292"/>
        <v>6.794796615776871E-3</v>
      </c>
      <c r="CS94" s="5">
        <f t="shared" ca="1" si="293"/>
        <v>6.9053050867966094E-3</v>
      </c>
      <c r="CT94" s="5">
        <f t="shared" ca="1" si="294"/>
        <v>7.3684422980015481E-3</v>
      </c>
      <c r="CU94" s="5">
        <f t="shared" ca="1" si="295"/>
        <v>6.4666110880512778E-3</v>
      </c>
      <c r="CV94" s="5">
        <f t="shared" ca="1" si="296"/>
        <v>6.9892852235662615E-3</v>
      </c>
      <c r="CW94" s="5">
        <f t="shared" ca="1" si="297"/>
        <v>6.6662170655470074E-3</v>
      </c>
      <c r="CX94" s="5">
        <f t="shared" ca="1" si="298"/>
        <v>6.6630870867481476E-3</v>
      </c>
      <c r="CY94" s="5">
        <f t="shared" ca="1" si="299"/>
        <v>6.7416656872461176E-3</v>
      </c>
      <c r="CZ94" s="5">
        <f t="shared" ca="1" si="300"/>
        <v>5.9008158532377151E-3</v>
      </c>
      <c r="DA94" s="5">
        <f t="shared" ca="1" si="301"/>
        <v>7.0015594718363799E-3</v>
      </c>
      <c r="DB94" s="5">
        <f t="shared" ca="1" si="302"/>
        <v>6.9044532516506643E-3</v>
      </c>
      <c r="DC94" s="5">
        <f t="shared" ca="1" si="303"/>
        <v>7.0459662592431901E-3</v>
      </c>
      <c r="DD94" s="5">
        <f t="shared" ca="1" si="304"/>
        <v>6.8212076713575348E-3</v>
      </c>
      <c r="DE94" s="5">
        <f t="shared" ca="1" si="305"/>
        <v>6.7771612868228843E-3</v>
      </c>
      <c r="DF94" s="5">
        <f t="shared" ca="1" si="306"/>
        <v>6.6093262003499766E-3</v>
      </c>
      <c r="DG94" s="5">
        <f t="shared" ca="1" si="307"/>
        <v>6.7659949756727136E-3</v>
      </c>
      <c r="DH94" s="5">
        <f t="shared" ca="1" si="308"/>
        <v>6.9001172023519432E-3</v>
      </c>
      <c r="DI94" s="5">
        <f t="shared" ca="1" si="309"/>
        <v>6.8343375064627288E-3</v>
      </c>
      <c r="DJ94" s="5">
        <f t="shared" ca="1" si="310"/>
        <v>7.0283110086239772E-3</v>
      </c>
    </row>
    <row r="95" spans="5:114" outlineLevel="1" x14ac:dyDescent="0.2">
      <c r="E95" s="32">
        <v>47362</v>
      </c>
      <c r="F95" s="9">
        <v>3696.3706520831997</v>
      </c>
      <c r="G95" s="5">
        <f t="shared" ca="1" si="208"/>
        <v>3.9427015615965122E-2</v>
      </c>
      <c r="H95" s="5">
        <f t="shared" ca="1" si="209"/>
        <v>6.4686652736873872E-3</v>
      </c>
      <c r="I95" s="9">
        <f t="shared" ca="1" si="210"/>
        <v>252362.14093494482</v>
      </c>
      <c r="K95" s="6">
        <v>91</v>
      </c>
      <c r="L95" s="5">
        <v>362404.31355050509</v>
      </c>
      <c r="N95" s="32">
        <v>47331</v>
      </c>
      <c r="O95" s="5">
        <f t="shared" ca="1" si="211"/>
        <v>7.215133043269561E-3</v>
      </c>
      <c r="P95" s="5">
        <f t="shared" ca="1" si="212"/>
        <v>6.8275206615441546E-3</v>
      </c>
      <c r="Q95" s="5">
        <f t="shared" ca="1" si="213"/>
        <v>6.6628366119390742E-3</v>
      </c>
      <c r="R95" s="5">
        <f t="shared" ca="1" si="214"/>
        <v>6.4634121429877822E-3</v>
      </c>
      <c r="S95" s="5">
        <f t="shared" ca="1" si="215"/>
        <v>6.0475449265080207E-3</v>
      </c>
      <c r="T95" s="5">
        <f t="shared" ca="1" si="216"/>
        <v>5.9957390187641785E-3</v>
      </c>
      <c r="U95" s="5">
        <f t="shared" ca="1" si="217"/>
        <v>6.8806839799678034E-3</v>
      </c>
      <c r="V95" s="5">
        <f t="shared" ca="1" si="218"/>
        <v>6.65633438698686E-3</v>
      </c>
      <c r="W95" s="5">
        <f t="shared" ca="1" si="219"/>
        <v>7.3287042421079519E-3</v>
      </c>
      <c r="X95" s="5">
        <f t="shared" ca="1" si="220"/>
        <v>6.5492730908429915E-3</v>
      </c>
      <c r="Y95" s="5">
        <f t="shared" ca="1" si="221"/>
        <v>7.2124459240843677E-3</v>
      </c>
      <c r="Z95" s="5">
        <f t="shared" ca="1" si="222"/>
        <v>7.3003922148071427E-3</v>
      </c>
      <c r="AA95" s="5">
        <f t="shared" ca="1" si="223"/>
        <v>6.6763916768139663E-3</v>
      </c>
      <c r="AB95" s="5">
        <f t="shared" ca="1" si="224"/>
        <v>7.0761506118955835E-3</v>
      </c>
      <c r="AC95" s="5">
        <f t="shared" ca="1" si="225"/>
        <v>6.7523322738030902E-3</v>
      </c>
      <c r="AD95" s="5">
        <f t="shared" ca="1" si="226"/>
        <v>6.9247379930261E-3</v>
      </c>
      <c r="AE95" s="5">
        <f t="shared" ca="1" si="227"/>
        <v>7.372683567377203E-3</v>
      </c>
      <c r="AF95" s="5">
        <f t="shared" ca="1" si="228"/>
        <v>6.7972428878695212E-3</v>
      </c>
      <c r="AG95" s="5">
        <f t="shared" ca="1" si="229"/>
        <v>7.0971348108994116E-3</v>
      </c>
      <c r="AH95" s="5">
        <f t="shared" ca="1" si="230"/>
        <v>6.5691730280989982E-3</v>
      </c>
      <c r="AI95" s="5">
        <f t="shared" ca="1" si="231"/>
        <v>7.3896971018604643E-3</v>
      </c>
      <c r="AJ95" s="5">
        <f t="shared" ca="1" si="232"/>
        <v>6.1971191158814547E-3</v>
      </c>
      <c r="AK95" s="5">
        <f t="shared" ca="1" si="233"/>
        <v>7.2313743384322983E-3</v>
      </c>
      <c r="AL95" s="5">
        <f t="shared" ca="1" si="234"/>
        <v>6.4841138102946089E-3</v>
      </c>
      <c r="AM95" s="5">
        <f t="shared" ca="1" si="235"/>
        <v>6.8135704488778192E-3</v>
      </c>
      <c r="AN95" s="5">
        <f t="shared" ca="1" si="236"/>
        <v>6.7531174828485514E-3</v>
      </c>
      <c r="AO95" s="5">
        <f t="shared" ca="1" si="237"/>
        <v>7.7790415996315384E-3</v>
      </c>
      <c r="AP95" s="5">
        <f t="shared" ca="1" si="238"/>
        <v>6.8932044646123677E-3</v>
      </c>
      <c r="AQ95" s="5">
        <f t="shared" ca="1" si="239"/>
        <v>6.1693575620254812E-3</v>
      </c>
      <c r="AR95" s="5">
        <f t="shared" ca="1" si="240"/>
        <v>6.6818351170375174E-3</v>
      </c>
      <c r="AS95" s="5">
        <f t="shared" ca="1" si="241"/>
        <v>6.9332286635683544E-3</v>
      </c>
      <c r="AT95" s="5">
        <f t="shared" ca="1" si="242"/>
        <v>6.1830875516306893E-3</v>
      </c>
      <c r="AU95" s="5">
        <f t="shared" ca="1" si="243"/>
        <v>6.6547205874098823E-3</v>
      </c>
      <c r="AV95" s="5">
        <f t="shared" ca="1" si="244"/>
        <v>6.4948107273338409E-3</v>
      </c>
      <c r="AW95" s="5">
        <f t="shared" ca="1" si="245"/>
        <v>7.4025521213154314E-3</v>
      </c>
      <c r="AX95" s="5">
        <f t="shared" ca="1" si="246"/>
        <v>6.400779092139079E-3</v>
      </c>
      <c r="AY95" s="5">
        <f t="shared" ca="1" si="247"/>
        <v>6.6863422151923696E-3</v>
      </c>
      <c r="AZ95" s="5">
        <f t="shared" ca="1" si="248"/>
        <v>7.7248736125563452E-3</v>
      </c>
      <c r="BA95" s="5">
        <f t="shared" ca="1" si="249"/>
        <v>6.7055800834940737E-3</v>
      </c>
      <c r="BB95" s="5">
        <f t="shared" ca="1" si="250"/>
        <v>6.7521991818327506E-3</v>
      </c>
      <c r="BC95" s="5">
        <f t="shared" ca="1" si="251"/>
        <v>7.0010302683336688E-3</v>
      </c>
      <c r="BD95" s="5">
        <f t="shared" ca="1" si="252"/>
        <v>6.5802374146087233E-3</v>
      </c>
      <c r="BE95" s="5">
        <f t="shared" ca="1" si="253"/>
        <v>7.713007756441511E-3</v>
      </c>
      <c r="BF95" s="5">
        <f t="shared" ca="1" si="254"/>
        <v>7.0001159272777514E-3</v>
      </c>
      <c r="BG95" s="5">
        <f t="shared" ca="1" si="255"/>
        <v>7.0170106883288685E-3</v>
      </c>
      <c r="BH95" s="5">
        <f t="shared" ca="1" si="256"/>
        <v>6.1097781543678334E-3</v>
      </c>
      <c r="BI95" s="5">
        <f t="shared" ca="1" si="257"/>
        <v>7.6079662608435636E-3</v>
      </c>
      <c r="BJ95" s="5">
        <f t="shared" ca="1" si="258"/>
        <v>7.0611206309182193E-3</v>
      </c>
      <c r="BK95" s="5">
        <f t="shared" ca="1" si="259"/>
        <v>7.4996582525627678E-3</v>
      </c>
      <c r="BL95" s="5">
        <f t="shared" ca="1" si="260"/>
        <v>6.9620455066107803E-3</v>
      </c>
      <c r="BM95" s="5">
        <f t="shared" ca="1" si="261"/>
        <v>6.6168868073815139E-3</v>
      </c>
      <c r="BN95" s="5">
        <f t="shared" ca="1" si="262"/>
        <v>6.7143350848538168E-3</v>
      </c>
      <c r="BO95" s="5">
        <f t="shared" ca="1" si="263"/>
        <v>7.0756684960511388E-3</v>
      </c>
      <c r="BP95" s="5">
        <f t="shared" ca="1" si="264"/>
        <v>6.8695080236845637E-3</v>
      </c>
      <c r="BQ95" s="5">
        <f t="shared" ca="1" si="265"/>
        <v>6.2676156557533143E-3</v>
      </c>
      <c r="BR95" s="5">
        <f t="shared" ca="1" si="266"/>
        <v>6.5877058677410892E-3</v>
      </c>
      <c r="BS95" s="5">
        <f t="shared" ca="1" si="267"/>
        <v>6.6716278551947911E-3</v>
      </c>
      <c r="BT95" s="5">
        <f t="shared" ca="1" si="268"/>
        <v>6.7637851510177708E-3</v>
      </c>
      <c r="BU95" s="5">
        <f t="shared" ca="1" si="269"/>
        <v>6.6017374276861789E-3</v>
      </c>
      <c r="BV95" s="5">
        <f t="shared" ca="1" si="270"/>
        <v>6.7913486096012219E-3</v>
      </c>
      <c r="BW95" s="5">
        <f t="shared" ca="1" si="271"/>
        <v>6.8744331891219916E-3</v>
      </c>
      <c r="BX95" s="5">
        <f t="shared" ca="1" si="272"/>
        <v>7.0623138962336565E-3</v>
      </c>
      <c r="BY95" s="5">
        <f t="shared" ca="1" si="273"/>
        <v>6.4385044601878733E-3</v>
      </c>
      <c r="BZ95" s="5">
        <f t="shared" ca="1" si="274"/>
        <v>7.1742463729902598E-3</v>
      </c>
      <c r="CA95" s="5">
        <f t="shared" ca="1" si="275"/>
        <v>6.4584657181172645E-3</v>
      </c>
      <c r="CB95" s="5">
        <f t="shared" ca="1" si="276"/>
        <v>6.8873694585675146E-3</v>
      </c>
      <c r="CC95" s="5">
        <f t="shared" ca="1" si="277"/>
        <v>6.6386614067500769E-3</v>
      </c>
      <c r="CD95" s="5">
        <f t="shared" ca="1" si="278"/>
        <v>6.9541263374103164E-3</v>
      </c>
      <c r="CE95" s="5">
        <f t="shared" ca="1" si="279"/>
        <v>6.4869715725539177E-3</v>
      </c>
      <c r="CF95" s="5">
        <f t="shared" ca="1" si="280"/>
        <v>7.1251330265656044E-3</v>
      </c>
      <c r="CG95" s="5">
        <f t="shared" ca="1" si="281"/>
        <v>6.8679755966067849E-3</v>
      </c>
      <c r="CH95" s="5">
        <f t="shared" ca="1" si="282"/>
        <v>6.0146143594213821E-3</v>
      </c>
      <c r="CI95" s="5">
        <f t="shared" ca="1" si="283"/>
        <v>7.0276058181189451E-3</v>
      </c>
      <c r="CJ95" s="5">
        <f t="shared" ca="1" si="284"/>
        <v>7.130538598210525E-3</v>
      </c>
      <c r="CK95" s="5">
        <f t="shared" ca="1" si="285"/>
        <v>7.1809597144101307E-3</v>
      </c>
      <c r="CL95" s="5">
        <f t="shared" ca="1" si="286"/>
        <v>7.3168708869649855E-3</v>
      </c>
      <c r="CM95" s="5">
        <f t="shared" ca="1" si="287"/>
        <v>7.27229821436042E-3</v>
      </c>
      <c r="CN95" s="5">
        <f t="shared" ca="1" si="288"/>
        <v>6.7528101247237892E-3</v>
      </c>
      <c r="CO95" s="5">
        <f t="shared" ca="1" si="289"/>
        <v>6.9394767084814965E-3</v>
      </c>
      <c r="CP95" s="5">
        <f t="shared" ca="1" si="290"/>
        <v>6.7157974694238998E-3</v>
      </c>
      <c r="CQ95" s="5">
        <f t="shared" ca="1" si="291"/>
        <v>7.1857512316238119E-3</v>
      </c>
      <c r="CR95" s="5">
        <f t="shared" ca="1" si="292"/>
        <v>6.7650762905724325E-3</v>
      </c>
      <c r="CS95" s="5">
        <f t="shared" ca="1" si="293"/>
        <v>6.8059329400312783E-3</v>
      </c>
      <c r="CT95" s="5">
        <f t="shared" ca="1" si="294"/>
        <v>7.3931722790973094E-3</v>
      </c>
      <c r="CU95" s="5">
        <f t="shared" ca="1" si="295"/>
        <v>6.4481049698738493E-3</v>
      </c>
      <c r="CV95" s="5">
        <f t="shared" ca="1" si="296"/>
        <v>7.0004257332918918E-3</v>
      </c>
      <c r="CW95" s="5">
        <f t="shared" ca="1" si="297"/>
        <v>6.6576548823491111E-3</v>
      </c>
      <c r="CX95" s="5">
        <f t="shared" ca="1" si="298"/>
        <v>6.6087170088718269E-3</v>
      </c>
      <c r="CY95" s="5">
        <f t="shared" ca="1" si="299"/>
        <v>6.7052193017144452E-3</v>
      </c>
      <c r="CZ95" s="5">
        <f t="shared" ca="1" si="300"/>
        <v>5.9465290887232361E-3</v>
      </c>
      <c r="DA95" s="5">
        <f t="shared" ca="1" si="301"/>
        <v>6.9630036943146428E-3</v>
      </c>
      <c r="DB95" s="5">
        <f t="shared" ca="1" si="302"/>
        <v>6.9932330270091325E-3</v>
      </c>
      <c r="DC95" s="5">
        <f t="shared" ca="1" si="303"/>
        <v>7.0490975930428308E-3</v>
      </c>
      <c r="DD95" s="5">
        <f t="shared" ca="1" si="304"/>
        <v>6.7738939112508469E-3</v>
      </c>
      <c r="DE95" s="5">
        <f t="shared" ca="1" si="305"/>
        <v>6.8053448626322639E-3</v>
      </c>
      <c r="DF95" s="5">
        <f t="shared" ca="1" si="306"/>
        <v>6.6189627626163988E-3</v>
      </c>
      <c r="DG95" s="5">
        <f t="shared" ca="1" si="307"/>
        <v>6.7155563762031556E-3</v>
      </c>
      <c r="DH95" s="5">
        <f t="shared" ca="1" si="308"/>
        <v>6.9912483730117129E-3</v>
      </c>
      <c r="DI95" s="5">
        <f t="shared" ca="1" si="309"/>
        <v>6.9413782715682755E-3</v>
      </c>
      <c r="DJ95" s="5">
        <f t="shared" ca="1" si="310"/>
        <v>6.9955264173172989E-3</v>
      </c>
    </row>
    <row r="96" spans="5:114" outlineLevel="1" x14ac:dyDescent="0.2">
      <c r="E96" s="32">
        <v>47392</v>
      </c>
      <c r="F96" s="9">
        <v>3696.3706520831997</v>
      </c>
      <c r="G96" s="5">
        <f t="shared" ca="1" si="208"/>
        <v>-0.1659453562911411</v>
      </c>
      <c r="H96" s="5">
        <f t="shared" ca="1" si="209"/>
        <v>6.4944985274509766E-3</v>
      </c>
      <c r="I96" s="9">
        <f t="shared" ca="1" si="210"/>
        <v>256195.12901565424</v>
      </c>
      <c r="K96" s="6">
        <v>92</v>
      </c>
      <c r="L96" s="5">
        <v>362513.73434296926</v>
      </c>
      <c r="N96" s="32">
        <v>47362</v>
      </c>
      <c r="O96" s="5">
        <f t="shared" ca="1" si="211"/>
        <v>7.1318391469972989E-3</v>
      </c>
      <c r="P96" s="5">
        <f t="shared" ca="1" si="212"/>
        <v>6.8456288166251524E-3</v>
      </c>
      <c r="Q96" s="5">
        <f t="shared" ca="1" si="213"/>
        <v>6.6208519042378301E-3</v>
      </c>
      <c r="R96" s="5">
        <f t="shared" ca="1" si="214"/>
        <v>6.3671716437130738E-3</v>
      </c>
      <c r="S96" s="5">
        <f t="shared" ca="1" si="215"/>
        <v>6.0696765594710766E-3</v>
      </c>
      <c r="T96" s="5">
        <f t="shared" ca="1" si="216"/>
        <v>6.0028035872191406E-3</v>
      </c>
      <c r="U96" s="5">
        <f t="shared" ca="1" si="217"/>
        <v>6.9444773931638133E-3</v>
      </c>
      <c r="V96" s="5">
        <f t="shared" ca="1" si="218"/>
        <v>6.6189680949684066E-3</v>
      </c>
      <c r="W96" s="5">
        <f t="shared" ca="1" si="219"/>
        <v>7.2586967618340041E-3</v>
      </c>
      <c r="X96" s="5">
        <f t="shared" ca="1" si="220"/>
        <v>6.6172463265670931E-3</v>
      </c>
      <c r="Y96" s="5">
        <f t="shared" ca="1" si="221"/>
        <v>7.1426829496909301E-3</v>
      </c>
      <c r="Z96" s="5">
        <f t="shared" ca="1" si="222"/>
        <v>7.2437096443818986E-3</v>
      </c>
      <c r="AA96" s="5">
        <f t="shared" ca="1" si="223"/>
        <v>6.6430669571382345E-3</v>
      </c>
      <c r="AB96" s="5">
        <f t="shared" ca="1" si="224"/>
        <v>7.1046666888011671E-3</v>
      </c>
      <c r="AC96" s="5">
        <f t="shared" ca="1" si="225"/>
        <v>6.754643008392811E-3</v>
      </c>
      <c r="AD96" s="5">
        <f t="shared" ca="1" si="226"/>
        <v>6.9257066195154973E-3</v>
      </c>
      <c r="AE96" s="5">
        <f t="shared" ca="1" si="227"/>
        <v>7.4174829993034989E-3</v>
      </c>
      <c r="AF96" s="5">
        <f t="shared" ca="1" si="228"/>
        <v>6.7782488639164095E-3</v>
      </c>
      <c r="AG96" s="5">
        <f t="shared" ca="1" si="229"/>
        <v>7.0605726996057277E-3</v>
      </c>
      <c r="AH96" s="5">
        <f t="shared" ca="1" si="230"/>
        <v>6.5315908776996442E-3</v>
      </c>
      <c r="AI96" s="5">
        <f t="shared" ca="1" si="231"/>
        <v>7.434610339021464E-3</v>
      </c>
      <c r="AJ96" s="5">
        <f t="shared" ca="1" si="232"/>
        <v>6.1864138621269106E-3</v>
      </c>
      <c r="AK96" s="5">
        <f t="shared" ca="1" si="233"/>
        <v>7.2782774140871384E-3</v>
      </c>
      <c r="AL96" s="5">
        <f t="shared" ca="1" si="234"/>
        <v>6.509069332740018E-3</v>
      </c>
      <c r="AM96" s="5">
        <f t="shared" ca="1" si="235"/>
        <v>6.7940543340111433E-3</v>
      </c>
      <c r="AN96" s="5">
        <f t="shared" ca="1" si="236"/>
        <v>6.7148611395152075E-3</v>
      </c>
      <c r="AO96" s="5">
        <f t="shared" ca="1" si="237"/>
        <v>7.752058665062898E-3</v>
      </c>
      <c r="AP96" s="5">
        <f t="shared" ca="1" si="238"/>
        <v>6.8307579967438652E-3</v>
      </c>
      <c r="AQ96" s="5">
        <f t="shared" ca="1" si="239"/>
        <v>6.1724799425463351E-3</v>
      </c>
      <c r="AR96" s="5">
        <f t="shared" ca="1" si="240"/>
        <v>6.7015994290963894E-3</v>
      </c>
      <c r="AS96" s="5">
        <f t="shared" ca="1" si="241"/>
        <v>6.9255950006092805E-3</v>
      </c>
      <c r="AT96" s="5">
        <f t="shared" ca="1" si="242"/>
        <v>6.1463825047954881E-3</v>
      </c>
      <c r="AU96" s="5">
        <f t="shared" ca="1" si="243"/>
        <v>6.6437171545117371E-3</v>
      </c>
      <c r="AV96" s="5">
        <f t="shared" ca="1" si="244"/>
        <v>6.467838381072866E-3</v>
      </c>
      <c r="AW96" s="5">
        <f t="shared" ca="1" si="245"/>
        <v>7.4164219853041381E-3</v>
      </c>
      <c r="AX96" s="5">
        <f t="shared" ca="1" si="246"/>
        <v>6.3669332175193133E-3</v>
      </c>
      <c r="AY96" s="5">
        <f t="shared" ca="1" si="247"/>
        <v>6.6923590457187224E-3</v>
      </c>
      <c r="AZ96" s="5">
        <f t="shared" ca="1" si="248"/>
        <v>7.7511845019782614E-3</v>
      </c>
      <c r="BA96" s="5">
        <f t="shared" ca="1" si="249"/>
        <v>6.7173642580577635E-3</v>
      </c>
      <c r="BB96" s="5">
        <f t="shared" ca="1" si="250"/>
        <v>6.7598129837944101E-3</v>
      </c>
      <c r="BC96" s="5">
        <f t="shared" ca="1" si="251"/>
        <v>7.0069514579824167E-3</v>
      </c>
      <c r="BD96" s="5">
        <f t="shared" ca="1" si="252"/>
        <v>6.5481375807635214E-3</v>
      </c>
      <c r="BE96" s="5">
        <f t="shared" ca="1" si="253"/>
        <v>7.7322531351936528E-3</v>
      </c>
      <c r="BF96" s="5">
        <f t="shared" ca="1" si="254"/>
        <v>6.9090902404079701E-3</v>
      </c>
      <c r="BG96" s="5">
        <f t="shared" ca="1" si="255"/>
        <v>7.0335490717156795E-3</v>
      </c>
      <c r="BH96" s="5">
        <f t="shared" ca="1" si="256"/>
        <v>6.0673184445658957E-3</v>
      </c>
      <c r="BI96" s="5">
        <f t="shared" ca="1" si="257"/>
        <v>7.638892235368993E-3</v>
      </c>
      <c r="BJ96" s="5">
        <f t="shared" ca="1" si="258"/>
        <v>7.1166362594790511E-3</v>
      </c>
      <c r="BK96" s="5">
        <f t="shared" ca="1" si="259"/>
        <v>7.4989325409400859E-3</v>
      </c>
      <c r="BL96" s="5">
        <f t="shared" ca="1" si="260"/>
        <v>6.9365798540474699E-3</v>
      </c>
      <c r="BM96" s="5">
        <f t="shared" ca="1" si="261"/>
        <v>6.6118365980469811E-3</v>
      </c>
      <c r="BN96" s="5">
        <f t="shared" ca="1" si="262"/>
        <v>6.6716207004281014E-3</v>
      </c>
      <c r="BO96" s="5">
        <f t="shared" ca="1" si="263"/>
        <v>7.1683521145421399E-3</v>
      </c>
      <c r="BP96" s="5">
        <f t="shared" ca="1" si="264"/>
        <v>6.764861828302552E-3</v>
      </c>
      <c r="BQ96" s="5">
        <f t="shared" ca="1" si="265"/>
        <v>6.1918740657773905E-3</v>
      </c>
      <c r="BR96" s="5">
        <f t="shared" ca="1" si="266"/>
        <v>6.639813658925138E-3</v>
      </c>
      <c r="BS96" s="5">
        <f t="shared" ca="1" si="267"/>
        <v>6.6779544781484347E-3</v>
      </c>
      <c r="BT96" s="5">
        <f t="shared" ca="1" si="268"/>
        <v>6.7588604811549781E-3</v>
      </c>
      <c r="BU96" s="5">
        <f t="shared" ca="1" si="269"/>
        <v>6.6029509873712948E-3</v>
      </c>
      <c r="BV96" s="5">
        <f t="shared" ca="1" si="270"/>
        <v>6.7874912022237287E-3</v>
      </c>
      <c r="BW96" s="5">
        <f t="shared" ca="1" si="271"/>
        <v>6.9003900687908864E-3</v>
      </c>
      <c r="BX96" s="5">
        <f t="shared" ca="1" si="272"/>
        <v>7.0924077798594706E-3</v>
      </c>
      <c r="BY96" s="5">
        <f t="shared" ca="1" si="273"/>
        <v>6.4333826467532808E-3</v>
      </c>
      <c r="BZ96" s="5">
        <f t="shared" ca="1" si="274"/>
        <v>7.1300605498319132E-3</v>
      </c>
      <c r="CA96" s="5">
        <f t="shared" ca="1" si="275"/>
        <v>6.4313199447082019E-3</v>
      </c>
      <c r="CB96" s="5">
        <f t="shared" ca="1" si="276"/>
        <v>6.9108568940908967E-3</v>
      </c>
      <c r="CC96" s="5">
        <f t="shared" ca="1" si="277"/>
        <v>6.6473438891767852E-3</v>
      </c>
      <c r="CD96" s="5">
        <f t="shared" ca="1" si="278"/>
        <v>6.9190703242429296E-3</v>
      </c>
      <c r="CE96" s="5">
        <f t="shared" ca="1" si="279"/>
        <v>6.4172568171254902E-3</v>
      </c>
      <c r="CF96" s="5">
        <f t="shared" ca="1" si="280"/>
        <v>7.1437171426135589E-3</v>
      </c>
      <c r="CG96" s="5">
        <f t="shared" ca="1" si="281"/>
        <v>6.9196001336984236E-3</v>
      </c>
      <c r="CH96" s="5">
        <f t="shared" ca="1" si="282"/>
        <v>6.0811061881178904E-3</v>
      </c>
      <c r="CI96" s="5">
        <f t="shared" ca="1" si="283"/>
        <v>7.0768917379185215E-3</v>
      </c>
      <c r="CJ96" s="5">
        <f t="shared" ca="1" si="284"/>
        <v>7.1536827834584099E-3</v>
      </c>
      <c r="CK96" s="5">
        <f t="shared" ca="1" si="285"/>
        <v>7.1406867116188032E-3</v>
      </c>
      <c r="CL96" s="5">
        <f t="shared" ca="1" si="286"/>
        <v>7.3099716854709241E-3</v>
      </c>
      <c r="CM96" s="5">
        <f t="shared" ca="1" si="287"/>
        <v>7.3085730855238715E-3</v>
      </c>
      <c r="CN96" s="5">
        <f t="shared" ca="1" si="288"/>
        <v>6.7147453987887349E-3</v>
      </c>
      <c r="CO96" s="5">
        <f t="shared" ca="1" si="289"/>
        <v>7.0306662739960677E-3</v>
      </c>
      <c r="CP96" s="5">
        <f t="shared" ca="1" si="290"/>
        <v>6.6560074280666908E-3</v>
      </c>
      <c r="CQ96" s="5">
        <f t="shared" ca="1" si="291"/>
        <v>7.2467225623991487E-3</v>
      </c>
      <c r="CR96" s="5">
        <f t="shared" ca="1" si="292"/>
        <v>6.6857877540591739E-3</v>
      </c>
      <c r="CS96" s="5">
        <f t="shared" ca="1" si="293"/>
        <v>6.8095978495385096E-3</v>
      </c>
      <c r="CT96" s="5">
        <f t="shared" ca="1" si="294"/>
        <v>7.4470081047325401E-3</v>
      </c>
      <c r="CU96" s="5">
        <f t="shared" ca="1" si="295"/>
        <v>6.4137771914510068E-3</v>
      </c>
      <c r="CV96" s="5">
        <f t="shared" ca="1" si="296"/>
        <v>7.0260362458705863E-3</v>
      </c>
      <c r="CW96" s="5">
        <f t="shared" ca="1" si="297"/>
        <v>6.6762270636737857E-3</v>
      </c>
      <c r="CX96" s="5">
        <f t="shared" ca="1" si="298"/>
        <v>6.6428830457129365E-3</v>
      </c>
      <c r="CY96" s="5">
        <f t="shared" ca="1" si="299"/>
        <v>6.6856974419332608E-3</v>
      </c>
      <c r="CZ96" s="5">
        <f t="shared" ca="1" si="300"/>
        <v>5.9636513990194082E-3</v>
      </c>
      <c r="DA96" s="5">
        <f t="shared" ca="1" si="301"/>
        <v>6.9855199667823277E-3</v>
      </c>
      <c r="DB96" s="5">
        <f t="shared" ca="1" si="302"/>
        <v>7.0353152588426811E-3</v>
      </c>
      <c r="DC96" s="5">
        <f t="shared" ca="1" si="303"/>
        <v>7.1115058738504596E-3</v>
      </c>
      <c r="DD96" s="5">
        <f t="shared" ca="1" si="304"/>
        <v>6.7856190719278201E-3</v>
      </c>
      <c r="DE96" s="5">
        <f t="shared" ca="1" si="305"/>
        <v>6.7716290282680992E-3</v>
      </c>
      <c r="DF96" s="5">
        <f t="shared" ca="1" si="306"/>
        <v>6.568945086893113E-3</v>
      </c>
      <c r="DG96" s="5">
        <f t="shared" ca="1" si="307"/>
        <v>6.7049626936887133E-3</v>
      </c>
      <c r="DH96" s="5">
        <f t="shared" ca="1" si="308"/>
        <v>7.1246029188429261E-3</v>
      </c>
      <c r="DI96" s="5">
        <f t="shared" ca="1" si="309"/>
        <v>6.9899480192626611E-3</v>
      </c>
      <c r="DJ96" s="5">
        <f t="shared" ca="1" si="310"/>
        <v>7.028352092670876E-3</v>
      </c>
    </row>
    <row r="97" spans="5:114" outlineLevel="1" x14ac:dyDescent="0.2">
      <c r="E97" s="32">
        <v>47423</v>
      </c>
      <c r="F97" s="9">
        <v>3696.3706520831997</v>
      </c>
      <c r="G97" s="5">
        <f t="shared" ca="1" si="208"/>
        <v>0.12865327758659151</v>
      </c>
      <c r="H97" s="5">
        <f t="shared" ca="1" si="209"/>
        <v>6.4130794201419858E-3</v>
      </c>
      <c r="I97" s="9">
        <f t="shared" ca="1" si="210"/>
        <v>260028.45290242924</v>
      </c>
      <c r="K97" s="6">
        <v>93</v>
      </c>
      <c r="L97" s="5">
        <v>362314.22011084697</v>
      </c>
      <c r="N97" s="32">
        <v>47392</v>
      </c>
      <c r="O97" s="5">
        <f t="shared" ca="1" si="211"/>
        <v>7.1591730503846006E-3</v>
      </c>
      <c r="P97" s="5">
        <f t="shared" ca="1" si="212"/>
        <v>6.83846673392049E-3</v>
      </c>
      <c r="Q97" s="5">
        <f t="shared" ca="1" si="213"/>
        <v>6.6796355206705125E-3</v>
      </c>
      <c r="R97" s="5">
        <f t="shared" ca="1" si="214"/>
        <v>6.3996728896141735E-3</v>
      </c>
      <c r="S97" s="5">
        <f t="shared" ca="1" si="215"/>
        <v>6.080696576234979E-3</v>
      </c>
      <c r="T97" s="5">
        <f t="shared" ca="1" si="216"/>
        <v>6.0062760118826889E-3</v>
      </c>
      <c r="U97" s="5">
        <f t="shared" ca="1" si="217"/>
        <v>6.937443486695654E-3</v>
      </c>
      <c r="V97" s="5">
        <f t="shared" ca="1" si="218"/>
        <v>6.605403105117146E-3</v>
      </c>
      <c r="W97" s="5">
        <f t="shared" ca="1" si="219"/>
        <v>7.1594250591946445E-3</v>
      </c>
      <c r="X97" s="5">
        <f t="shared" ca="1" si="220"/>
        <v>6.6897017056926659E-3</v>
      </c>
      <c r="Y97" s="5">
        <f t="shared" ca="1" si="221"/>
        <v>7.1967672745856187E-3</v>
      </c>
      <c r="Z97" s="5">
        <f t="shared" ca="1" si="222"/>
        <v>7.1791997929113779E-3</v>
      </c>
      <c r="AA97" s="5">
        <f t="shared" ca="1" si="223"/>
        <v>6.6097533709901833E-3</v>
      </c>
      <c r="AB97" s="5">
        <f t="shared" ca="1" si="224"/>
        <v>7.1085230143451703E-3</v>
      </c>
      <c r="AC97" s="5">
        <f t="shared" ca="1" si="225"/>
        <v>6.7494383763929732E-3</v>
      </c>
      <c r="AD97" s="5">
        <f t="shared" ca="1" si="226"/>
        <v>6.8909900339883482E-3</v>
      </c>
      <c r="AE97" s="5">
        <f t="shared" ca="1" si="227"/>
        <v>7.4113696791205759E-3</v>
      </c>
      <c r="AF97" s="5">
        <f t="shared" ca="1" si="228"/>
        <v>6.7893293164299926E-3</v>
      </c>
      <c r="AG97" s="5">
        <f t="shared" ca="1" si="229"/>
        <v>7.1217470765851101E-3</v>
      </c>
      <c r="AH97" s="5">
        <f t="shared" ca="1" si="230"/>
        <v>6.6187926818077787E-3</v>
      </c>
      <c r="AI97" s="5">
        <f t="shared" ca="1" si="231"/>
        <v>7.4089064546088825E-3</v>
      </c>
      <c r="AJ97" s="5">
        <f t="shared" ca="1" si="232"/>
        <v>6.2153325387512039E-3</v>
      </c>
      <c r="AK97" s="5">
        <f t="shared" ca="1" si="233"/>
        <v>7.1555324808761263E-3</v>
      </c>
      <c r="AL97" s="5">
        <f t="shared" ca="1" si="234"/>
        <v>6.5185781400809665E-3</v>
      </c>
      <c r="AM97" s="5">
        <f t="shared" ca="1" si="235"/>
        <v>6.7887478790902506E-3</v>
      </c>
      <c r="AN97" s="5">
        <f t="shared" ca="1" si="236"/>
        <v>6.682124846598218E-3</v>
      </c>
      <c r="AO97" s="5">
        <f t="shared" ca="1" si="237"/>
        <v>7.7768850018143324E-3</v>
      </c>
      <c r="AP97" s="5">
        <f t="shared" ca="1" si="238"/>
        <v>6.8834232498756866E-3</v>
      </c>
      <c r="AQ97" s="5">
        <f t="shared" ca="1" si="239"/>
        <v>6.1260509296203729E-3</v>
      </c>
      <c r="AR97" s="5">
        <f t="shared" ca="1" si="240"/>
        <v>6.7282379912146093E-3</v>
      </c>
      <c r="AS97" s="5">
        <f t="shared" ca="1" si="241"/>
        <v>6.9405448325128693E-3</v>
      </c>
      <c r="AT97" s="5">
        <f t="shared" ca="1" si="242"/>
        <v>6.1914405048104212E-3</v>
      </c>
      <c r="AU97" s="5">
        <f t="shared" ca="1" si="243"/>
        <v>6.6228262281237595E-3</v>
      </c>
      <c r="AV97" s="5">
        <f t="shared" ca="1" si="244"/>
        <v>6.5136913634290328E-3</v>
      </c>
      <c r="AW97" s="5">
        <f t="shared" ca="1" si="245"/>
        <v>7.404401448330095E-3</v>
      </c>
      <c r="AX97" s="5">
        <f t="shared" ca="1" si="246"/>
        <v>6.44983325714572E-3</v>
      </c>
      <c r="AY97" s="5">
        <f t="shared" ca="1" si="247"/>
        <v>6.7583904792701179E-3</v>
      </c>
      <c r="AZ97" s="5">
        <f t="shared" ca="1" si="248"/>
        <v>7.8014922232004487E-3</v>
      </c>
      <c r="BA97" s="5">
        <f t="shared" ca="1" si="249"/>
        <v>6.7310882763323195E-3</v>
      </c>
      <c r="BB97" s="5">
        <f t="shared" ca="1" si="250"/>
        <v>6.708514576358085E-3</v>
      </c>
      <c r="BC97" s="5">
        <f t="shared" ca="1" si="251"/>
        <v>7.0269420880849573E-3</v>
      </c>
      <c r="BD97" s="5">
        <f t="shared" ca="1" si="252"/>
        <v>6.5554698560760126E-3</v>
      </c>
      <c r="BE97" s="5">
        <f t="shared" ca="1" si="253"/>
        <v>7.7913381402110633E-3</v>
      </c>
      <c r="BF97" s="5">
        <f t="shared" ca="1" si="254"/>
        <v>6.8766739863511603E-3</v>
      </c>
      <c r="BG97" s="5">
        <f t="shared" ca="1" si="255"/>
        <v>7.0213162065070577E-3</v>
      </c>
      <c r="BH97" s="5">
        <f t="shared" ca="1" si="256"/>
        <v>6.1160037700011211E-3</v>
      </c>
      <c r="BI97" s="5">
        <f t="shared" ca="1" si="257"/>
        <v>7.6209678015397514E-3</v>
      </c>
      <c r="BJ97" s="5">
        <f t="shared" ca="1" si="258"/>
        <v>7.1822994918464764E-3</v>
      </c>
      <c r="BK97" s="5">
        <f t="shared" ca="1" si="259"/>
        <v>7.5904425465721324E-3</v>
      </c>
      <c r="BL97" s="5">
        <f t="shared" ca="1" si="260"/>
        <v>6.9681219848518874E-3</v>
      </c>
      <c r="BM97" s="5">
        <f t="shared" ca="1" si="261"/>
        <v>6.604744318681236E-3</v>
      </c>
      <c r="BN97" s="5">
        <f t="shared" ca="1" si="262"/>
        <v>6.6883305610787227E-3</v>
      </c>
      <c r="BO97" s="5">
        <f t="shared" ca="1" si="263"/>
        <v>7.1889123783110158E-3</v>
      </c>
      <c r="BP97" s="5">
        <f t="shared" ca="1" si="264"/>
        <v>6.775510887740136E-3</v>
      </c>
      <c r="BQ97" s="5">
        <f t="shared" ca="1" si="265"/>
        <v>6.1813654353449271E-3</v>
      </c>
      <c r="BR97" s="5">
        <f t="shared" ca="1" si="266"/>
        <v>6.7228476488244392E-3</v>
      </c>
      <c r="BS97" s="5">
        <f t="shared" ca="1" si="267"/>
        <v>6.735453714695477E-3</v>
      </c>
      <c r="BT97" s="5">
        <f t="shared" ca="1" si="268"/>
        <v>6.7700555932214516E-3</v>
      </c>
      <c r="BU97" s="5">
        <f t="shared" ca="1" si="269"/>
        <v>6.6104068393013108E-3</v>
      </c>
      <c r="BV97" s="5">
        <f t="shared" ca="1" si="270"/>
        <v>6.835308764725068E-3</v>
      </c>
      <c r="BW97" s="5">
        <f t="shared" ca="1" si="271"/>
        <v>7.021773600437555E-3</v>
      </c>
      <c r="BX97" s="5">
        <f t="shared" ca="1" si="272"/>
        <v>7.1750295191511382E-3</v>
      </c>
      <c r="BY97" s="5">
        <f t="shared" ca="1" si="273"/>
        <v>6.4844458153379466E-3</v>
      </c>
      <c r="BZ97" s="5">
        <f t="shared" ca="1" si="274"/>
        <v>7.1503792321434279E-3</v>
      </c>
      <c r="CA97" s="5">
        <f t="shared" ca="1" si="275"/>
        <v>6.3918283209993517E-3</v>
      </c>
      <c r="CB97" s="5">
        <f t="shared" ca="1" si="276"/>
        <v>6.901316962114803E-3</v>
      </c>
      <c r="CC97" s="5">
        <f t="shared" ca="1" si="277"/>
        <v>6.6023821902878622E-3</v>
      </c>
      <c r="CD97" s="5">
        <f t="shared" ca="1" si="278"/>
        <v>6.9404520254120784E-3</v>
      </c>
      <c r="CE97" s="5">
        <f t="shared" ca="1" si="279"/>
        <v>6.4577980525525698E-3</v>
      </c>
      <c r="CF97" s="5">
        <f t="shared" ca="1" si="280"/>
        <v>7.1567464250012766E-3</v>
      </c>
      <c r="CG97" s="5">
        <f t="shared" ca="1" si="281"/>
        <v>6.8613900093824542E-3</v>
      </c>
      <c r="CH97" s="5">
        <f t="shared" ca="1" si="282"/>
        <v>6.0623341424435066E-3</v>
      </c>
      <c r="CI97" s="5">
        <f t="shared" ca="1" si="283"/>
        <v>7.0990896265071962E-3</v>
      </c>
      <c r="CJ97" s="5">
        <f t="shared" ca="1" si="284"/>
        <v>7.1694028066060346E-3</v>
      </c>
      <c r="CK97" s="5">
        <f t="shared" ca="1" si="285"/>
        <v>7.1177854690662292E-3</v>
      </c>
      <c r="CL97" s="5">
        <f t="shared" ca="1" si="286"/>
        <v>7.3241357170854187E-3</v>
      </c>
      <c r="CM97" s="5">
        <f t="shared" ca="1" si="287"/>
        <v>7.3219514180641217E-3</v>
      </c>
      <c r="CN97" s="5">
        <f t="shared" ca="1" si="288"/>
        <v>6.7308375033967036E-3</v>
      </c>
      <c r="CO97" s="5">
        <f t="shared" ca="1" si="289"/>
        <v>7.0360386747490896E-3</v>
      </c>
      <c r="CP97" s="5">
        <f t="shared" ca="1" si="290"/>
        <v>6.6348631871255611E-3</v>
      </c>
      <c r="CQ97" s="5">
        <f t="shared" ca="1" si="291"/>
        <v>7.3270996484181969E-3</v>
      </c>
      <c r="CR97" s="5">
        <f t="shared" ca="1" si="292"/>
        <v>6.603073210073313E-3</v>
      </c>
      <c r="CS97" s="5">
        <f t="shared" ca="1" si="293"/>
        <v>6.8160009763887676E-3</v>
      </c>
      <c r="CT97" s="5">
        <f t="shared" ca="1" si="294"/>
        <v>7.4263569352281322E-3</v>
      </c>
      <c r="CU97" s="5">
        <f t="shared" ca="1" si="295"/>
        <v>6.420702327788911E-3</v>
      </c>
      <c r="CV97" s="5">
        <f t="shared" ca="1" si="296"/>
        <v>6.9640619281531547E-3</v>
      </c>
      <c r="CW97" s="5">
        <f t="shared" ca="1" si="297"/>
        <v>6.7558953367289655E-3</v>
      </c>
      <c r="CX97" s="5">
        <f t="shared" ca="1" si="298"/>
        <v>6.6288402011766469E-3</v>
      </c>
      <c r="CY97" s="5">
        <f t="shared" ca="1" si="299"/>
        <v>6.7567919038944921E-3</v>
      </c>
      <c r="CZ97" s="5">
        <f t="shared" ca="1" si="300"/>
        <v>5.9095812844439308E-3</v>
      </c>
      <c r="DA97" s="5">
        <f t="shared" ca="1" si="301"/>
        <v>6.9846060847852534E-3</v>
      </c>
      <c r="DB97" s="5">
        <f t="shared" ca="1" si="302"/>
        <v>7.0958390628585392E-3</v>
      </c>
      <c r="DC97" s="5">
        <f t="shared" ca="1" si="303"/>
        <v>7.1092045567820198E-3</v>
      </c>
      <c r="DD97" s="5">
        <f t="shared" ca="1" si="304"/>
        <v>6.7815839101778436E-3</v>
      </c>
      <c r="DE97" s="5">
        <f t="shared" ca="1" si="305"/>
        <v>6.7467313374528102E-3</v>
      </c>
      <c r="DF97" s="5">
        <f t="shared" ca="1" si="306"/>
        <v>6.5948011347228674E-3</v>
      </c>
      <c r="DG97" s="5">
        <f t="shared" ca="1" si="307"/>
        <v>6.7209344819935809E-3</v>
      </c>
      <c r="DH97" s="5">
        <f t="shared" ca="1" si="308"/>
        <v>7.1949937044245675E-3</v>
      </c>
      <c r="DI97" s="5">
        <f t="shared" ca="1" si="309"/>
        <v>6.9804685437011146E-3</v>
      </c>
      <c r="DJ97" s="5">
        <f t="shared" ca="1" si="310"/>
        <v>6.9961047315655186E-3</v>
      </c>
    </row>
    <row r="98" spans="5:114" outlineLevel="1" x14ac:dyDescent="0.2">
      <c r="E98" s="32">
        <v>47453</v>
      </c>
      <c r="F98" s="9">
        <v>3696.3706520831997</v>
      </c>
      <c r="G98" s="5">
        <f t="shared" ca="1" si="208"/>
        <v>0.10293393887421387</v>
      </c>
      <c r="H98" s="5">
        <f t="shared" ca="1" si="209"/>
        <v>6.4853089778728031E-3</v>
      </c>
      <c r="I98" s="9">
        <f t="shared" ca="1" si="210"/>
        <v>263865.39194065926</v>
      </c>
      <c r="K98" s="6">
        <v>94</v>
      </c>
      <c r="L98" s="5">
        <v>362193.41552142391</v>
      </c>
      <c r="N98" s="32">
        <v>47423</v>
      </c>
      <c r="O98" s="5">
        <f t="shared" ca="1" si="211"/>
        <v>7.1726203117902249E-3</v>
      </c>
      <c r="P98" s="5">
        <f t="shared" ca="1" si="212"/>
        <v>6.9120020993783306E-3</v>
      </c>
      <c r="Q98" s="5">
        <f t="shared" ca="1" si="213"/>
        <v>6.6924932556971213E-3</v>
      </c>
      <c r="R98" s="5">
        <f t="shared" ca="1" si="214"/>
        <v>6.3993066717695519E-3</v>
      </c>
      <c r="S98" s="5">
        <f t="shared" ca="1" si="215"/>
        <v>6.1106633586043482E-3</v>
      </c>
      <c r="T98" s="5">
        <f t="shared" ca="1" si="216"/>
        <v>5.9682673207640058E-3</v>
      </c>
      <c r="U98" s="5">
        <f t="shared" ca="1" si="217"/>
        <v>6.8841679241075067E-3</v>
      </c>
      <c r="V98" s="5">
        <f t="shared" ca="1" si="218"/>
        <v>6.5243133184715446E-3</v>
      </c>
      <c r="W98" s="5">
        <f t="shared" ca="1" si="219"/>
        <v>7.205563793585194E-3</v>
      </c>
      <c r="X98" s="5">
        <f t="shared" ca="1" si="220"/>
        <v>6.7265927015698656E-3</v>
      </c>
      <c r="Y98" s="5">
        <f t="shared" ca="1" si="221"/>
        <v>7.1323184126906676E-3</v>
      </c>
      <c r="Z98" s="5">
        <f t="shared" ca="1" si="222"/>
        <v>7.2335782696672304E-3</v>
      </c>
      <c r="AA98" s="5">
        <f t="shared" ca="1" si="223"/>
        <v>6.6794646142252613E-3</v>
      </c>
      <c r="AB98" s="5">
        <f t="shared" ca="1" si="224"/>
        <v>7.098746948894296E-3</v>
      </c>
      <c r="AC98" s="5">
        <f t="shared" ca="1" si="225"/>
        <v>6.7449894500765158E-3</v>
      </c>
      <c r="AD98" s="5">
        <f t="shared" ca="1" si="226"/>
        <v>6.9215673857186671E-3</v>
      </c>
      <c r="AE98" s="5">
        <f t="shared" ca="1" si="227"/>
        <v>7.4016637030527204E-3</v>
      </c>
      <c r="AF98" s="5">
        <f t="shared" ca="1" si="228"/>
        <v>6.8056918107457917E-3</v>
      </c>
      <c r="AG98" s="5">
        <f t="shared" ca="1" si="229"/>
        <v>7.1320921486155535E-3</v>
      </c>
      <c r="AH98" s="5">
        <f t="shared" ca="1" si="230"/>
        <v>6.6227912021506012E-3</v>
      </c>
      <c r="AI98" s="5">
        <f t="shared" ca="1" si="231"/>
        <v>7.4360852456830757E-3</v>
      </c>
      <c r="AJ98" s="5">
        <f t="shared" ca="1" si="232"/>
        <v>6.1411336976925452E-3</v>
      </c>
      <c r="AK98" s="5">
        <f t="shared" ca="1" si="233"/>
        <v>7.1636041272308505E-3</v>
      </c>
      <c r="AL98" s="5">
        <f t="shared" ca="1" si="234"/>
        <v>6.4584700646824625E-3</v>
      </c>
      <c r="AM98" s="5">
        <f t="shared" ca="1" si="235"/>
        <v>6.7223778099538686E-3</v>
      </c>
      <c r="AN98" s="5">
        <f t="shared" ca="1" si="236"/>
        <v>6.7153538583092235E-3</v>
      </c>
      <c r="AO98" s="5">
        <f t="shared" ca="1" si="237"/>
        <v>7.848530130054817E-3</v>
      </c>
      <c r="AP98" s="5">
        <f t="shared" ca="1" si="238"/>
        <v>6.8375173267714758E-3</v>
      </c>
      <c r="AQ98" s="5">
        <f t="shared" ca="1" si="239"/>
        <v>6.1852540242656904E-3</v>
      </c>
      <c r="AR98" s="5">
        <f t="shared" ca="1" si="240"/>
        <v>6.8213390661805819E-3</v>
      </c>
      <c r="AS98" s="5">
        <f t="shared" ca="1" si="241"/>
        <v>6.9814091280785131E-3</v>
      </c>
      <c r="AT98" s="5">
        <f t="shared" ca="1" si="242"/>
        <v>6.1352058129184612E-3</v>
      </c>
      <c r="AU98" s="5">
        <f t="shared" ca="1" si="243"/>
        <v>6.5624046337212083E-3</v>
      </c>
      <c r="AV98" s="5">
        <f t="shared" ca="1" si="244"/>
        <v>6.4774693751400072E-3</v>
      </c>
      <c r="AW98" s="5">
        <f t="shared" ca="1" si="245"/>
        <v>7.3635748402558522E-3</v>
      </c>
      <c r="AX98" s="5">
        <f t="shared" ca="1" si="246"/>
        <v>6.4392368260809459E-3</v>
      </c>
      <c r="AY98" s="5">
        <f t="shared" ca="1" si="247"/>
        <v>6.725925584623582E-3</v>
      </c>
      <c r="AZ98" s="5">
        <f t="shared" ca="1" si="248"/>
        <v>7.7239604407648163E-3</v>
      </c>
      <c r="BA98" s="5">
        <f t="shared" ca="1" si="249"/>
        <v>6.7688231851500578E-3</v>
      </c>
      <c r="BB98" s="5">
        <f t="shared" ca="1" si="250"/>
        <v>6.7762345980284756E-3</v>
      </c>
      <c r="BC98" s="5">
        <f t="shared" ca="1" si="251"/>
        <v>7.1030612647852301E-3</v>
      </c>
      <c r="BD98" s="5">
        <f t="shared" ca="1" si="252"/>
        <v>6.4915800889988259E-3</v>
      </c>
      <c r="BE98" s="5">
        <f t="shared" ca="1" si="253"/>
        <v>7.7521722733209135E-3</v>
      </c>
      <c r="BF98" s="5">
        <f t="shared" ca="1" si="254"/>
        <v>6.8868466619043389E-3</v>
      </c>
      <c r="BG98" s="5">
        <f t="shared" ca="1" si="255"/>
        <v>7.0075868620709993E-3</v>
      </c>
      <c r="BH98" s="5">
        <f t="shared" ca="1" si="256"/>
        <v>6.1688426367785499E-3</v>
      </c>
      <c r="BI98" s="5">
        <f t="shared" ca="1" si="257"/>
        <v>7.4682005828443808E-3</v>
      </c>
      <c r="BJ98" s="5">
        <f t="shared" ca="1" si="258"/>
        <v>7.1610307812047941E-3</v>
      </c>
      <c r="BK98" s="5">
        <f t="shared" ca="1" si="259"/>
        <v>7.538498135359597E-3</v>
      </c>
      <c r="BL98" s="5">
        <f t="shared" ca="1" si="260"/>
        <v>6.9693496821947665E-3</v>
      </c>
      <c r="BM98" s="5">
        <f t="shared" ca="1" si="261"/>
        <v>6.6218345560091207E-3</v>
      </c>
      <c r="BN98" s="5">
        <f t="shared" ca="1" si="262"/>
        <v>6.7060811182657774E-3</v>
      </c>
      <c r="BO98" s="5">
        <f t="shared" ca="1" si="263"/>
        <v>7.1494418055914905E-3</v>
      </c>
      <c r="BP98" s="5">
        <f t="shared" ca="1" si="264"/>
        <v>6.7589707744023153E-3</v>
      </c>
      <c r="BQ98" s="5">
        <f t="shared" ca="1" si="265"/>
        <v>6.1712539855036915E-3</v>
      </c>
      <c r="BR98" s="5">
        <f t="shared" ca="1" si="266"/>
        <v>6.8337892971973126E-3</v>
      </c>
      <c r="BS98" s="5">
        <f t="shared" ca="1" si="267"/>
        <v>6.7344816879291326E-3</v>
      </c>
      <c r="BT98" s="5">
        <f t="shared" ca="1" si="268"/>
        <v>6.7698513501464426E-3</v>
      </c>
      <c r="BU98" s="5">
        <f t="shared" ca="1" si="269"/>
        <v>6.5933768588351174E-3</v>
      </c>
      <c r="BV98" s="5">
        <f t="shared" ca="1" si="270"/>
        <v>6.8020843469732599E-3</v>
      </c>
      <c r="BW98" s="5">
        <f t="shared" ca="1" si="271"/>
        <v>7.0251123698466724E-3</v>
      </c>
      <c r="BX98" s="5">
        <f t="shared" ca="1" si="272"/>
        <v>7.2217036358615452E-3</v>
      </c>
      <c r="BY98" s="5">
        <f t="shared" ca="1" si="273"/>
        <v>6.4759925907209564E-3</v>
      </c>
      <c r="BZ98" s="5">
        <f t="shared" ca="1" si="274"/>
        <v>7.1195095862786432E-3</v>
      </c>
      <c r="CA98" s="5">
        <f t="shared" ca="1" si="275"/>
        <v>6.3793659064392688E-3</v>
      </c>
      <c r="CB98" s="5">
        <f t="shared" ca="1" si="276"/>
        <v>6.960767299184897E-3</v>
      </c>
      <c r="CC98" s="5">
        <f t="shared" ca="1" si="277"/>
        <v>6.5942099570318064E-3</v>
      </c>
      <c r="CD98" s="5">
        <f t="shared" ca="1" si="278"/>
        <v>6.9895093231938247E-3</v>
      </c>
      <c r="CE98" s="5">
        <f t="shared" ca="1" si="279"/>
        <v>6.4319117671376783E-3</v>
      </c>
      <c r="CF98" s="5">
        <f t="shared" ca="1" si="280"/>
        <v>7.1018053960464249E-3</v>
      </c>
      <c r="CG98" s="5">
        <f t="shared" ca="1" si="281"/>
        <v>6.8420590760162638E-3</v>
      </c>
      <c r="CH98" s="5">
        <f t="shared" ca="1" si="282"/>
        <v>6.0322073363379969E-3</v>
      </c>
      <c r="CI98" s="5">
        <f t="shared" ca="1" si="283"/>
        <v>7.1075584352779239E-3</v>
      </c>
      <c r="CJ98" s="5">
        <f t="shared" ca="1" si="284"/>
        <v>7.1467128790615991E-3</v>
      </c>
      <c r="CK98" s="5">
        <f t="shared" ca="1" si="285"/>
        <v>7.1375346020477303E-3</v>
      </c>
      <c r="CL98" s="5">
        <f t="shared" ca="1" si="286"/>
        <v>7.3281003863301742E-3</v>
      </c>
      <c r="CM98" s="5">
        <f t="shared" ca="1" si="287"/>
        <v>7.2833659793295315E-3</v>
      </c>
      <c r="CN98" s="5">
        <f t="shared" ca="1" si="288"/>
        <v>6.7406417948886804E-3</v>
      </c>
      <c r="CO98" s="5">
        <f t="shared" ca="1" si="289"/>
        <v>7.0295448652525506E-3</v>
      </c>
      <c r="CP98" s="5">
        <f t="shared" ca="1" si="290"/>
        <v>6.6161316535802081E-3</v>
      </c>
      <c r="CQ98" s="5">
        <f t="shared" ca="1" si="291"/>
        <v>7.4034379117922577E-3</v>
      </c>
      <c r="CR98" s="5">
        <f t="shared" ca="1" si="292"/>
        <v>6.6321414741555198E-3</v>
      </c>
      <c r="CS98" s="5">
        <f t="shared" ca="1" si="293"/>
        <v>6.8569651046871943E-3</v>
      </c>
      <c r="CT98" s="5">
        <f t="shared" ca="1" si="294"/>
        <v>7.4323195708997924E-3</v>
      </c>
      <c r="CU98" s="5">
        <f t="shared" ca="1" si="295"/>
        <v>6.4705417208393758E-3</v>
      </c>
      <c r="CV98" s="5">
        <f t="shared" ca="1" si="296"/>
        <v>7.08045145957661E-3</v>
      </c>
      <c r="CW98" s="5">
        <f t="shared" ca="1" si="297"/>
        <v>6.7298612173740122E-3</v>
      </c>
      <c r="CX98" s="5">
        <f t="shared" ca="1" si="298"/>
        <v>6.6375686428766607E-3</v>
      </c>
      <c r="CY98" s="5">
        <f t="shared" ca="1" si="299"/>
        <v>6.7438624041778394E-3</v>
      </c>
      <c r="CZ98" s="5">
        <f t="shared" ca="1" si="300"/>
        <v>5.8885884864580094E-3</v>
      </c>
      <c r="DA98" s="5">
        <f t="shared" ca="1" si="301"/>
        <v>6.9402410243058843E-3</v>
      </c>
      <c r="DB98" s="5">
        <f t="shared" ca="1" si="302"/>
        <v>7.0110443862811522E-3</v>
      </c>
      <c r="DC98" s="5">
        <f t="shared" ca="1" si="303"/>
        <v>7.0917635227339655E-3</v>
      </c>
      <c r="DD98" s="5">
        <f t="shared" ca="1" si="304"/>
        <v>6.742846000425482E-3</v>
      </c>
      <c r="DE98" s="5">
        <f t="shared" ca="1" si="305"/>
        <v>6.7093266437940552E-3</v>
      </c>
      <c r="DF98" s="5">
        <f t="shared" ca="1" si="306"/>
        <v>6.5953655204390206E-3</v>
      </c>
      <c r="DG98" s="5">
        <f t="shared" ca="1" si="307"/>
        <v>6.7052107052373265E-3</v>
      </c>
      <c r="DH98" s="5">
        <f t="shared" ca="1" si="308"/>
        <v>7.1740989489274855E-3</v>
      </c>
      <c r="DI98" s="5">
        <f t="shared" ca="1" si="309"/>
        <v>6.9797524647841908E-3</v>
      </c>
      <c r="DJ98" s="5">
        <f t="shared" ca="1" si="310"/>
        <v>6.9628407018369606E-3</v>
      </c>
    </row>
    <row r="99" spans="5:114" outlineLevel="1" x14ac:dyDescent="0.2">
      <c r="E99" s="32">
        <v>47484</v>
      </c>
      <c r="F99" s="9">
        <v>3696.3706520831997</v>
      </c>
      <c r="G99" s="5">
        <f t="shared" ca="1" si="208"/>
        <v>-5.4103448823614009E-2</v>
      </c>
      <c r="H99" s="5">
        <f t="shared" ca="1" si="209"/>
        <v>6.5442328797273765E-3</v>
      </c>
      <c r="I99" s="9">
        <f t="shared" ca="1" si="210"/>
        <v>267705.70155240811</v>
      </c>
      <c r="K99" s="6">
        <v>95</v>
      </c>
      <c r="L99" s="5">
        <v>362305.42240396392</v>
      </c>
      <c r="N99" s="32">
        <v>47453</v>
      </c>
      <c r="O99" s="5">
        <f t="shared" ca="1" si="211"/>
        <v>7.1339933039697842E-3</v>
      </c>
      <c r="P99" s="5">
        <f t="shared" ca="1" si="212"/>
        <v>6.9251227504300138E-3</v>
      </c>
      <c r="Q99" s="5">
        <f t="shared" ca="1" si="213"/>
        <v>6.7053518515370145E-3</v>
      </c>
      <c r="R99" s="5">
        <f t="shared" ca="1" si="214"/>
        <v>6.3784012186021187E-3</v>
      </c>
      <c r="S99" s="5">
        <f t="shared" ca="1" si="215"/>
        <v>6.088969357120705E-3</v>
      </c>
      <c r="T99" s="5">
        <f t="shared" ca="1" si="216"/>
        <v>5.9552937337022851E-3</v>
      </c>
      <c r="U99" s="5">
        <f t="shared" ca="1" si="217"/>
        <v>6.9102913589895593E-3</v>
      </c>
      <c r="V99" s="5">
        <f t="shared" ca="1" si="218"/>
        <v>6.4600147475569114E-3</v>
      </c>
      <c r="W99" s="5">
        <f t="shared" ca="1" si="219"/>
        <v>7.1764316551594619E-3</v>
      </c>
      <c r="X99" s="5">
        <f t="shared" ca="1" si="220"/>
        <v>6.7123909543514325E-3</v>
      </c>
      <c r="Y99" s="5">
        <f t="shared" ca="1" si="221"/>
        <v>7.2441752842638376E-3</v>
      </c>
      <c r="Z99" s="5">
        <f t="shared" ca="1" si="222"/>
        <v>7.2547006742286584E-3</v>
      </c>
      <c r="AA99" s="5">
        <f t="shared" ca="1" si="223"/>
        <v>6.7126497422956392E-3</v>
      </c>
      <c r="AB99" s="5">
        <f t="shared" ca="1" si="224"/>
        <v>7.0927919302870325E-3</v>
      </c>
      <c r="AC99" s="5">
        <f t="shared" ca="1" si="225"/>
        <v>6.7285255698775765E-3</v>
      </c>
      <c r="AD99" s="5">
        <f t="shared" ca="1" si="226"/>
        <v>6.9408250751050813E-3</v>
      </c>
      <c r="AE99" s="5">
        <f t="shared" ca="1" si="227"/>
        <v>7.4119973869438676E-3</v>
      </c>
      <c r="AF99" s="5">
        <f t="shared" ca="1" si="228"/>
        <v>6.7901691956565235E-3</v>
      </c>
      <c r="AG99" s="5">
        <f t="shared" ca="1" si="229"/>
        <v>7.0778504684260272E-3</v>
      </c>
      <c r="AH99" s="5">
        <f t="shared" ca="1" si="230"/>
        <v>6.547458854419012E-3</v>
      </c>
      <c r="AI99" s="5">
        <f t="shared" ca="1" si="231"/>
        <v>7.4567611009517523E-3</v>
      </c>
      <c r="AJ99" s="5">
        <f t="shared" ca="1" si="232"/>
        <v>6.1457791266746426E-3</v>
      </c>
      <c r="AK99" s="5">
        <f t="shared" ca="1" si="233"/>
        <v>7.1059733200986549E-3</v>
      </c>
      <c r="AL99" s="5">
        <f t="shared" ca="1" si="234"/>
        <v>6.5331185477633096E-3</v>
      </c>
      <c r="AM99" s="5">
        <f t="shared" ca="1" si="235"/>
        <v>6.721304450745199E-3</v>
      </c>
      <c r="AN99" s="5">
        <f t="shared" ca="1" si="236"/>
        <v>6.7015579724873063E-3</v>
      </c>
      <c r="AO99" s="5">
        <f t="shared" ca="1" si="237"/>
        <v>7.8875376779874891E-3</v>
      </c>
      <c r="AP99" s="5">
        <f t="shared" ca="1" si="238"/>
        <v>6.8757124038610565E-3</v>
      </c>
      <c r="AQ99" s="5">
        <f t="shared" ca="1" si="239"/>
        <v>6.2298286744511856E-3</v>
      </c>
      <c r="AR99" s="5">
        <f t="shared" ca="1" si="240"/>
        <v>6.7642158071069582E-3</v>
      </c>
      <c r="AS99" s="5">
        <f t="shared" ca="1" si="241"/>
        <v>6.9357269212943972E-3</v>
      </c>
      <c r="AT99" s="5">
        <f t="shared" ca="1" si="242"/>
        <v>6.0833848703422165E-3</v>
      </c>
      <c r="AU99" s="5">
        <f t="shared" ca="1" si="243"/>
        <v>6.5304204994949553E-3</v>
      </c>
      <c r="AV99" s="5">
        <f t="shared" ca="1" si="244"/>
        <v>6.4634210142923932E-3</v>
      </c>
      <c r="AW99" s="5">
        <f t="shared" ca="1" si="245"/>
        <v>7.399478238113385E-3</v>
      </c>
      <c r="AX99" s="5">
        <f t="shared" ca="1" si="246"/>
        <v>6.4459307703015507E-3</v>
      </c>
      <c r="AY99" s="5">
        <f t="shared" ca="1" si="247"/>
        <v>6.8075971319184019E-3</v>
      </c>
      <c r="AZ99" s="5">
        <f t="shared" ca="1" si="248"/>
        <v>7.7056665279441544E-3</v>
      </c>
      <c r="BA99" s="5">
        <f t="shared" ca="1" si="249"/>
        <v>6.7319661835951415E-3</v>
      </c>
      <c r="BB99" s="5">
        <f t="shared" ca="1" si="250"/>
        <v>6.6574627494893441E-3</v>
      </c>
      <c r="BC99" s="5">
        <f t="shared" ca="1" si="251"/>
        <v>7.1200083324519893E-3</v>
      </c>
      <c r="BD99" s="5">
        <f t="shared" ca="1" si="252"/>
        <v>6.5267663865279154E-3</v>
      </c>
      <c r="BE99" s="5">
        <f t="shared" ca="1" si="253"/>
        <v>7.7353049164130003E-3</v>
      </c>
      <c r="BF99" s="5">
        <f t="shared" ca="1" si="254"/>
        <v>6.7776307111172274E-3</v>
      </c>
      <c r="BG99" s="5">
        <f t="shared" ca="1" si="255"/>
        <v>7.0080231625097864E-3</v>
      </c>
      <c r="BH99" s="5">
        <f t="shared" ca="1" si="256"/>
        <v>6.2425959195509997E-3</v>
      </c>
      <c r="BI99" s="5">
        <f t="shared" ca="1" si="257"/>
        <v>7.4908538659577721E-3</v>
      </c>
      <c r="BJ99" s="5">
        <f t="shared" ca="1" si="258"/>
        <v>7.0871399019161521E-3</v>
      </c>
      <c r="BK99" s="5">
        <f t="shared" ca="1" si="259"/>
        <v>7.4815570152953976E-3</v>
      </c>
      <c r="BL99" s="5">
        <f t="shared" ca="1" si="260"/>
        <v>6.977329581492336E-3</v>
      </c>
      <c r="BM99" s="5">
        <f t="shared" ca="1" si="261"/>
        <v>6.5856238044270307E-3</v>
      </c>
      <c r="BN99" s="5">
        <f t="shared" ca="1" si="262"/>
        <v>6.6218872792093153E-3</v>
      </c>
      <c r="BO99" s="5">
        <f t="shared" ca="1" si="263"/>
        <v>7.2344539156113169E-3</v>
      </c>
      <c r="BP99" s="5">
        <f t="shared" ca="1" si="264"/>
        <v>6.8059790899623615E-3</v>
      </c>
      <c r="BQ99" s="5">
        <f t="shared" ca="1" si="265"/>
        <v>6.2043235195081156E-3</v>
      </c>
      <c r="BR99" s="5">
        <f t="shared" ca="1" si="266"/>
        <v>6.7909382119691565E-3</v>
      </c>
      <c r="BS99" s="5">
        <f t="shared" ca="1" si="267"/>
        <v>6.7395493352852337E-3</v>
      </c>
      <c r="BT99" s="5">
        <f t="shared" ca="1" si="268"/>
        <v>6.8076271102294932E-3</v>
      </c>
      <c r="BU99" s="5">
        <f t="shared" ca="1" si="269"/>
        <v>6.6211056412562776E-3</v>
      </c>
      <c r="BV99" s="5">
        <f t="shared" ca="1" si="270"/>
        <v>6.733035999325572E-3</v>
      </c>
      <c r="BW99" s="5">
        <f t="shared" ca="1" si="271"/>
        <v>6.9522661986867141E-3</v>
      </c>
      <c r="BX99" s="5">
        <f t="shared" ca="1" si="272"/>
        <v>7.1723013424604791E-3</v>
      </c>
      <c r="BY99" s="5">
        <f t="shared" ca="1" si="273"/>
        <v>6.5414242615278199E-3</v>
      </c>
      <c r="BZ99" s="5">
        <f t="shared" ca="1" si="274"/>
        <v>7.0671085907076277E-3</v>
      </c>
      <c r="CA99" s="5">
        <f t="shared" ca="1" si="275"/>
        <v>6.3477245644747715E-3</v>
      </c>
      <c r="CB99" s="5">
        <f t="shared" ca="1" si="276"/>
        <v>6.947442108415954E-3</v>
      </c>
      <c r="CC99" s="5">
        <f t="shared" ca="1" si="277"/>
        <v>6.586565737169113E-3</v>
      </c>
      <c r="CD99" s="5">
        <f t="shared" ca="1" si="278"/>
        <v>6.9859491950519008E-3</v>
      </c>
      <c r="CE99" s="5">
        <f t="shared" ca="1" si="279"/>
        <v>6.4407654017651977E-3</v>
      </c>
      <c r="CF99" s="5">
        <f t="shared" ca="1" si="280"/>
        <v>7.1056068733110012E-3</v>
      </c>
      <c r="CG99" s="5">
        <f t="shared" ca="1" si="281"/>
        <v>6.7312969895160276E-3</v>
      </c>
      <c r="CH99" s="5">
        <f t="shared" ca="1" si="282"/>
        <v>6.0178511192853458E-3</v>
      </c>
      <c r="CI99" s="5">
        <f t="shared" ca="1" si="283"/>
        <v>7.1404905211270714E-3</v>
      </c>
      <c r="CJ99" s="5">
        <f t="shared" ca="1" si="284"/>
        <v>7.1133179611141822E-3</v>
      </c>
      <c r="CK99" s="5">
        <f t="shared" ca="1" si="285"/>
        <v>7.0895131161510198E-3</v>
      </c>
      <c r="CL99" s="5">
        <f t="shared" ca="1" si="286"/>
        <v>7.3314994864344335E-3</v>
      </c>
      <c r="CM99" s="5">
        <f t="shared" ca="1" si="287"/>
        <v>7.2338140443176848E-3</v>
      </c>
      <c r="CN99" s="5">
        <f t="shared" ca="1" si="288"/>
        <v>6.7052475806930164E-3</v>
      </c>
      <c r="CO99" s="5">
        <f t="shared" ca="1" si="289"/>
        <v>7.1021834946556374E-3</v>
      </c>
      <c r="CP99" s="5">
        <f t="shared" ca="1" si="290"/>
        <v>6.6092353592251008E-3</v>
      </c>
      <c r="CQ99" s="5">
        <f t="shared" ca="1" si="291"/>
        <v>7.4529607588159595E-3</v>
      </c>
      <c r="CR99" s="5">
        <f t="shared" ca="1" si="292"/>
        <v>6.7224974561862164E-3</v>
      </c>
      <c r="CS99" s="5">
        <f t="shared" ca="1" si="293"/>
        <v>6.8309957526873537E-3</v>
      </c>
      <c r="CT99" s="5">
        <f t="shared" ca="1" si="294"/>
        <v>7.4061342449814492E-3</v>
      </c>
      <c r="CU99" s="5">
        <f t="shared" ca="1" si="295"/>
        <v>6.5138495645781901E-3</v>
      </c>
      <c r="CV99" s="5">
        <f t="shared" ca="1" si="296"/>
        <v>7.1532634847825032E-3</v>
      </c>
      <c r="CW99" s="5">
        <f t="shared" ca="1" si="297"/>
        <v>6.8044809635521555E-3</v>
      </c>
      <c r="CX99" s="5">
        <f t="shared" ca="1" si="298"/>
        <v>6.693723720335565E-3</v>
      </c>
      <c r="CY99" s="5">
        <f t="shared" ca="1" si="299"/>
        <v>6.7560115330703111E-3</v>
      </c>
      <c r="CZ99" s="5">
        <f t="shared" ca="1" si="300"/>
        <v>5.9024072796881486E-3</v>
      </c>
      <c r="DA99" s="5">
        <f t="shared" ca="1" si="301"/>
        <v>6.8659442136196807E-3</v>
      </c>
      <c r="DB99" s="5">
        <f t="shared" ca="1" si="302"/>
        <v>6.9788835133605199E-3</v>
      </c>
      <c r="DC99" s="5">
        <f t="shared" ca="1" si="303"/>
        <v>7.0380382837531156E-3</v>
      </c>
      <c r="DD99" s="5">
        <f t="shared" ca="1" si="304"/>
        <v>6.713875911438699E-3</v>
      </c>
      <c r="DE99" s="5">
        <f t="shared" ca="1" si="305"/>
        <v>6.7311401653369273E-3</v>
      </c>
      <c r="DF99" s="5">
        <f t="shared" ca="1" si="306"/>
        <v>6.6763126945423856E-3</v>
      </c>
      <c r="DG99" s="5">
        <f t="shared" ca="1" si="307"/>
        <v>6.7012593341993741E-3</v>
      </c>
      <c r="DH99" s="5">
        <f t="shared" ca="1" si="308"/>
        <v>7.2077483833129542E-3</v>
      </c>
      <c r="DI99" s="5">
        <f t="shared" ca="1" si="309"/>
        <v>6.9787864499939942E-3</v>
      </c>
      <c r="DJ99" s="5">
        <f t="shared" ca="1" si="310"/>
        <v>6.9719000384304945E-3</v>
      </c>
    </row>
    <row r="100" spans="5:114" outlineLevel="1" x14ac:dyDescent="0.2">
      <c r="E100" s="32">
        <v>47515</v>
      </c>
      <c r="F100" s="9">
        <v>3844.2254781665279</v>
      </c>
      <c r="G100" s="5">
        <f t="shared" ref="G100:G123" ca="1" si="311">_xlfn.NORM.INV(RAND(),0,Deltat)</f>
        <v>-1.4982169786195954E-2</v>
      </c>
      <c r="H100" s="5">
        <f t="shared" ca="1" si="209"/>
        <v>6.5209015618177884E-3</v>
      </c>
      <c r="I100" s="9">
        <f t="shared" ca="1" si="210"/>
        <v>271695.44010745938</v>
      </c>
      <c r="K100" s="6">
        <v>96</v>
      </c>
      <c r="L100" s="5">
        <v>363161.79252008832</v>
      </c>
      <c r="N100" s="32">
        <v>47484</v>
      </c>
      <c r="O100" s="5">
        <f t="shared" ca="1" si="211"/>
        <v>7.1992322681638373E-3</v>
      </c>
      <c r="P100" s="5">
        <f t="shared" ca="1" si="212"/>
        <v>6.8297859017600361E-3</v>
      </c>
      <c r="Q100" s="5">
        <f t="shared" ca="1" si="213"/>
        <v>6.6901828921057298E-3</v>
      </c>
      <c r="R100" s="5">
        <f t="shared" ca="1" si="214"/>
        <v>6.4231309711394362E-3</v>
      </c>
      <c r="S100" s="5">
        <f t="shared" ca="1" si="215"/>
        <v>6.1168444097978326E-3</v>
      </c>
      <c r="T100" s="5">
        <f t="shared" ca="1" si="216"/>
        <v>6.0292733227778304E-3</v>
      </c>
      <c r="U100" s="5">
        <f t="shared" ca="1" si="217"/>
        <v>6.9178019469159505E-3</v>
      </c>
      <c r="V100" s="5">
        <f t="shared" ca="1" si="218"/>
        <v>6.4424874623441424E-3</v>
      </c>
      <c r="W100" s="5">
        <f t="shared" ca="1" si="219"/>
        <v>7.1819588770970751E-3</v>
      </c>
      <c r="X100" s="5">
        <f t="shared" ca="1" si="220"/>
        <v>6.6911692864281714E-3</v>
      </c>
      <c r="Y100" s="5">
        <f t="shared" ca="1" si="221"/>
        <v>7.235603622543752E-3</v>
      </c>
      <c r="Z100" s="5">
        <f t="shared" ca="1" si="222"/>
        <v>7.2166944364850175E-3</v>
      </c>
      <c r="AA100" s="5">
        <f t="shared" ca="1" si="223"/>
        <v>6.6964062557482544E-3</v>
      </c>
      <c r="AB100" s="5">
        <f t="shared" ca="1" si="224"/>
        <v>7.0732223543142894E-3</v>
      </c>
      <c r="AC100" s="5">
        <f t="shared" ca="1" si="225"/>
        <v>6.726465347098972E-3</v>
      </c>
      <c r="AD100" s="5">
        <f t="shared" ca="1" si="226"/>
        <v>7.0003570426309296E-3</v>
      </c>
      <c r="AE100" s="5">
        <f t="shared" ca="1" si="227"/>
        <v>7.4414344387983165E-3</v>
      </c>
      <c r="AF100" s="5">
        <f t="shared" ca="1" si="228"/>
        <v>6.7950377214981584E-3</v>
      </c>
      <c r="AG100" s="5">
        <f t="shared" ca="1" si="229"/>
        <v>7.0510818464725924E-3</v>
      </c>
      <c r="AH100" s="5">
        <f t="shared" ca="1" si="230"/>
        <v>6.5130403283597954E-3</v>
      </c>
      <c r="AI100" s="5">
        <f t="shared" ca="1" si="231"/>
        <v>7.4552116045573128E-3</v>
      </c>
      <c r="AJ100" s="5">
        <f t="shared" ca="1" si="232"/>
        <v>6.2164605036490799E-3</v>
      </c>
      <c r="AK100" s="5">
        <f t="shared" ca="1" si="233"/>
        <v>7.1082626225151E-3</v>
      </c>
      <c r="AL100" s="5">
        <f t="shared" ca="1" si="234"/>
        <v>6.5154846243767458E-3</v>
      </c>
      <c r="AM100" s="5">
        <f t="shared" ca="1" si="235"/>
        <v>6.6231933566853699E-3</v>
      </c>
      <c r="AN100" s="5">
        <f t="shared" ca="1" si="236"/>
        <v>6.6894451866586118E-3</v>
      </c>
      <c r="AO100" s="5">
        <f t="shared" ca="1" si="237"/>
        <v>7.8659657858114098E-3</v>
      </c>
      <c r="AP100" s="5">
        <f t="shared" ca="1" si="238"/>
        <v>6.8068099089556083E-3</v>
      </c>
      <c r="AQ100" s="5">
        <f t="shared" ca="1" si="239"/>
        <v>6.2078927505952435E-3</v>
      </c>
      <c r="AR100" s="5">
        <f t="shared" ca="1" si="240"/>
        <v>6.7994427399093796E-3</v>
      </c>
      <c r="AS100" s="5">
        <f t="shared" ca="1" si="241"/>
        <v>6.9074634341990135E-3</v>
      </c>
      <c r="AT100" s="5">
        <f t="shared" ca="1" si="242"/>
        <v>6.0748900467590058E-3</v>
      </c>
      <c r="AU100" s="5">
        <f t="shared" ca="1" si="243"/>
        <v>6.5348667533240475E-3</v>
      </c>
      <c r="AV100" s="5">
        <f t="shared" ca="1" si="244"/>
        <v>6.4855036277331104E-3</v>
      </c>
      <c r="AW100" s="5">
        <f t="shared" ca="1" si="245"/>
        <v>7.3265747335138787E-3</v>
      </c>
      <c r="AX100" s="5">
        <f t="shared" ca="1" si="246"/>
        <v>6.5417779104294735E-3</v>
      </c>
      <c r="AY100" s="5">
        <f t="shared" ca="1" si="247"/>
        <v>6.8171284059111992E-3</v>
      </c>
      <c r="AZ100" s="5">
        <f t="shared" ca="1" si="248"/>
        <v>7.6725594601261687E-3</v>
      </c>
      <c r="BA100" s="5">
        <f t="shared" ca="1" si="249"/>
        <v>6.6663578340738182E-3</v>
      </c>
      <c r="BB100" s="5">
        <f t="shared" ca="1" si="250"/>
        <v>6.580988105672661E-3</v>
      </c>
      <c r="BC100" s="5">
        <f t="shared" ca="1" si="251"/>
        <v>7.0652635661791431E-3</v>
      </c>
      <c r="BD100" s="5">
        <f t="shared" ca="1" si="252"/>
        <v>6.5717311445300146E-3</v>
      </c>
      <c r="BE100" s="5">
        <f t="shared" ca="1" si="253"/>
        <v>7.695547070571504E-3</v>
      </c>
      <c r="BF100" s="5">
        <f t="shared" ca="1" si="254"/>
        <v>6.794764538136564E-3</v>
      </c>
      <c r="BG100" s="5">
        <f t="shared" ca="1" si="255"/>
        <v>6.9881786319569705E-3</v>
      </c>
      <c r="BH100" s="5">
        <f t="shared" ca="1" si="256"/>
        <v>6.2429670037903373E-3</v>
      </c>
      <c r="BI100" s="5">
        <f t="shared" ca="1" si="257"/>
        <v>7.5115331732582202E-3</v>
      </c>
      <c r="BJ100" s="5">
        <f t="shared" ca="1" si="258"/>
        <v>7.160884344104097E-3</v>
      </c>
      <c r="BK100" s="5">
        <f t="shared" ca="1" si="259"/>
        <v>7.4762177766268811E-3</v>
      </c>
      <c r="BL100" s="5">
        <f t="shared" ca="1" si="260"/>
        <v>7.0125483022146851E-3</v>
      </c>
      <c r="BM100" s="5">
        <f t="shared" ca="1" si="261"/>
        <v>6.6558600937902251E-3</v>
      </c>
      <c r="BN100" s="5">
        <f t="shared" ca="1" si="262"/>
        <v>6.6698043767760397E-3</v>
      </c>
      <c r="BO100" s="5">
        <f t="shared" ca="1" si="263"/>
        <v>7.2003199807972283E-3</v>
      </c>
      <c r="BP100" s="5">
        <f t="shared" ca="1" si="264"/>
        <v>6.7326416865267098E-3</v>
      </c>
      <c r="BQ100" s="5">
        <f t="shared" ca="1" si="265"/>
        <v>6.272795786094321E-3</v>
      </c>
      <c r="BR100" s="5">
        <f t="shared" ca="1" si="266"/>
        <v>6.7604542569883732E-3</v>
      </c>
      <c r="BS100" s="5">
        <f t="shared" ca="1" si="267"/>
        <v>6.7713000759158006E-3</v>
      </c>
      <c r="BT100" s="5">
        <f t="shared" ca="1" si="268"/>
        <v>6.882772555501444E-3</v>
      </c>
      <c r="BU100" s="5">
        <f t="shared" ca="1" si="269"/>
        <v>6.6483061895113013E-3</v>
      </c>
      <c r="BV100" s="5">
        <f t="shared" ca="1" si="270"/>
        <v>6.7290010861262781E-3</v>
      </c>
      <c r="BW100" s="5">
        <f t="shared" ca="1" si="271"/>
        <v>6.9447361930154994E-3</v>
      </c>
      <c r="BX100" s="5">
        <f t="shared" ca="1" si="272"/>
        <v>7.1882045647366083E-3</v>
      </c>
      <c r="BY100" s="5">
        <f t="shared" ca="1" si="273"/>
        <v>6.5025123471144355E-3</v>
      </c>
      <c r="BZ100" s="5">
        <f t="shared" ca="1" si="274"/>
        <v>7.1073072368543272E-3</v>
      </c>
      <c r="CA100" s="5">
        <f t="shared" ca="1" si="275"/>
        <v>6.3412608199721453E-3</v>
      </c>
      <c r="CB100" s="5">
        <f t="shared" ca="1" si="276"/>
        <v>6.9764954240201169E-3</v>
      </c>
      <c r="CC100" s="5">
        <f t="shared" ca="1" si="277"/>
        <v>6.5884348424137748E-3</v>
      </c>
      <c r="CD100" s="5">
        <f t="shared" ca="1" si="278"/>
        <v>6.9804435964063846E-3</v>
      </c>
      <c r="CE100" s="5">
        <f t="shared" ca="1" si="279"/>
        <v>6.4607345525146791E-3</v>
      </c>
      <c r="CF100" s="5">
        <f t="shared" ca="1" si="280"/>
        <v>7.0886117990391108E-3</v>
      </c>
      <c r="CG100" s="5">
        <f t="shared" ca="1" si="281"/>
        <v>6.7346609242112587E-3</v>
      </c>
      <c r="CH100" s="5">
        <f t="shared" ca="1" si="282"/>
        <v>6.0069615738932366E-3</v>
      </c>
      <c r="CI100" s="5">
        <f t="shared" ca="1" si="283"/>
        <v>7.1273940750632295E-3</v>
      </c>
      <c r="CJ100" s="5">
        <f t="shared" ca="1" si="284"/>
        <v>7.0997437143453914E-3</v>
      </c>
      <c r="CK100" s="5">
        <f t="shared" ca="1" si="285"/>
        <v>7.0892945571065149E-3</v>
      </c>
      <c r="CL100" s="5">
        <f t="shared" ca="1" si="286"/>
        <v>7.3316899373747912E-3</v>
      </c>
      <c r="CM100" s="5">
        <f t="shared" ca="1" si="287"/>
        <v>7.1535057835433857E-3</v>
      </c>
      <c r="CN100" s="5">
        <f t="shared" ca="1" si="288"/>
        <v>6.7275935349148126E-3</v>
      </c>
      <c r="CO100" s="5">
        <f t="shared" ca="1" si="289"/>
        <v>7.0567390671280213E-3</v>
      </c>
      <c r="CP100" s="5">
        <f t="shared" ca="1" si="290"/>
        <v>6.6008086497496479E-3</v>
      </c>
      <c r="CQ100" s="5">
        <f t="shared" ca="1" si="291"/>
        <v>7.4591004803885802E-3</v>
      </c>
      <c r="CR100" s="5">
        <f t="shared" ca="1" si="292"/>
        <v>6.7583539002495762E-3</v>
      </c>
      <c r="CS100" s="5">
        <f t="shared" ca="1" si="293"/>
        <v>6.8266847006240921E-3</v>
      </c>
      <c r="CT100" s="5">
        <f t="shared" ca="1" si="294"/>
        <v>7.3517574345213048E-3</v>
      </c>
      <c r="CU100" s="5">
        <f t="shared" ca="1" si="295"/>
        <v>6.4911457815307501E-3</v>
      </c>
      <c r="CV100" s="5">
        <f t="shared" ca="1" si="296"/>
        <v>7.2267183747562885E-3</v>
      </c>
      <c r="CW100" s="5">
        <f t="shared" ca="1" si="297"/>
        <v>6.8199812323869952E-3</v>
      </c>
      <c r="CX100" s="5">
        <f t="shared" ca="1" si="298"/>
        <v>6.6509155943243747E-3</v>
      </c>
      <c r="CY100" s="5">
        <f t="shared" ca="1" si="299"/>
        <v>6.7304826800063493E-3</v>
      </c>
      <c r="CZ100" s="5">
        <f t="shared" ca="1" si="300"/>
        <v>5.9743507370296472E-3</v>
      </c>
      <c r="DA100" s="5">
        <f t="shared" ca="1" si="301"/>
        <v>6.9821777003636924E-3</v>
      </c>
      <c r="DB100" s="5">
        <f t="shared" ca="1" si="302"/>
        <v>6.9423896666278547E-3</v>
      </c>
      <c r="DC100" s="5">
        <f t="shared" ca="1" si="303"/>
        <v>6.9957732358911923E-3</v>
      </c>
      <c r="DD100" s="5">
        <f t="shared" ca="1" si="304"/>
        <v>6.7216082014637133E-3</v>
      </c>
      <c r="DE100" s="5">
        <f t="shared" ca="1" si="305"/>
        <v>6.7608888440247586E-3</v>
      </c>
      <c r="DF100" s="5">
        <f t="shared" ca="1" si="306"/>
        <v>6.7789309754488283E-3</v>
      </c>
      <c r="DG100" s="5">
        <f t="shared" ca="1" si="307"/>
        <v>6.7047140976831104E-3</v>
      </c>
      <c r="DH100" s="5">
        <f t="shared" ca="1" si="308"/>
        <v>7.1672680569279433E-3</v>
      </c>
      <c r="DI100" s="5">
        <f t="shared" ca="1" si="309"/>
        <v>6.9516962230964487E-3</v>
      </c>
      <c r="DJ100" s="5">
        <f t="shared" ca="1" si="310"/>
        <v>6.9729911458601837E-3</v>
      </c>
    </row>
    <row r="101" spans="5:114" outlineLevel="1" x14ac:dyDescent="0.2">
      <c r="E101" s="32">
        <v>47543</v>
      </c>
      <c r="F101" s="9">
        <v>3844.2254781665279</v>
      </c>
      <c r="G101" s="5">
        <f t="shared" ca="1" si="311"/>
        <v>-6.0998924142345642E-3</v>
      </c>
      <c r="H101" s="5">
        <f t="shared" ref="H101:H123" ca="1" si="312">H100+Kappa*(Theta-H100)*Deltat+Sigma*SQRT(H100)*G100</f>
        <v>6.518168121200707E-3</v>
      </c>
      <c r="I101" s="9">
        <f t="shared" ref="I101:I122" ca="1" si="313">EXP(H101*Deltat)*I100+F101</f>
        <v>275687.28538714023</v>
      </c>
      <c r="K101" s="6">
        <v>97</v>
      </c>
      <c r="L101" s="5">
        <v>362420.77153177868</v>
      </c>
      <c r="N101" s="32">
        <v>47515</v>
      </c>
      <c r="O101" s="5">
        <f t="shared" ca="1" si="211"/>
        <v>7.1399742783967383E-3</v>
      </c>
      <c r="P101" s="5">
        <f t="shared" ca="1" si="212"/>
        <v>6.8645612505294747E-3</v>
      </c>
      <c r="Q101" s="5">
        <f t="shared" ca="1" si="213"/>
        <v>6.7100361839836269E-3</v>
      </c>
      <c r="R101" s="5">
        <f t="shared" ca="1" si="214"/>
        <v>6.4545296725626476E-3</v>
      </c>
      <c r="S101" s="5">
        <f t="shared" ca="1" si="215"/>
        <v>6.1766329984701386E-3</v>
      </c>
      <c r="T101" s="5">
        <f t="shared" ca="1" si="216"/>
        <v>6.0505446484894311E-3</v>
      </c>
      <c r="U101" s="5">
        <f t="shared" ca="1" si="217"/>
        <v>6.8935022966319336E-3</v>
      </c>
      <c r="V101" s="5">
        <f t="shared" ca="1" si="218"/>
        <v>6.4738359824027571E-3</v>
      </c>
      <c r="W101" s="5">
        <f t="shared" ca="1" si="219"/>
        <v>7.1946799687415313E-3</v>
      </c>
      <c r="X101" s="5">
        <f t="shared" ca="1" si="220"/>
        <v>6.7333342545114897E-3</v>
      </c>
      <c r="Y101" s="5">
        <f t="shared" ca="1" si="221"/>
        <v>7.2643257023259945E-3</v>
      </c>
      <c r="Z101" s="5">
        <f t="shared" ca="1" si="222"/>
        <v>7.2715884791193603E-3</v>
      </c>
      <c r="AA101" s="5">
        <f t="shared" ca="1" si="223"/>
        <v>6.7621112313391374E-3</v>
      </c>
      <c r="AB101" s="5">
        <f t="shared" ca="1" si="224"/>
        <v>7.0403459954372898E-3</v>
      </c>
      <c r="AC101" s="5">
        <f t="shared" ca="1" si="225"/>
        <v>6.697946199328092E-3</v>
      </c>
      <c r="AD101" s="5">
        <f t="shared" ca="1" si="226"/>
        <v>7.0153484465120038E-3</v>
      </c>
      <c r="AE101" s="5">
        <f t="shared" ca="1" si="227"/>
        <v>7.3863055966967347E-3</v>
      </c>
      <c r="AF101" s="5">
        <f t="shared" ca="1" si="228"/>
        <v>6.8063130095973225E-3</v>
      </c>
      <c r="AG101" s="5">
        <f t="shared" ca="1" si="229"/>
        <v>7.0414931157984318E-3</v>
      </c>
      <c r="AH101" s="5">
        <f t="shared" ca="1" si="230"/>
        <v>6.4593983692439651E-3</v>
      </c>
      <c r="AI101" s="5">
        <f t="shared" ca="1" si="231"/>
        <v>7.4333407494892043E-3</v>
      </c>
      <c r="AJ101" s="5">
        <f t="shared" ca="1" si="232"/>
        <v>6.2212284483835669E-3</v>
      </c>
      <c r="AK101" s="5">
        <f t="shared" ca="1" si="233"/>
        <v>7.0671967774180479E-3</v>
      </c>
      <c r="AL101" s="5">
        <f t="shared" ca="1" si="234"/>
        <v>6.4972970445690507E-3</v>
      </c>
      <c r="AM101" s="5">
        <f t="shared" ca="1" si="235"/>
        <v>6.6602508841045113E-3</v>
      </c>
      <c r="AN101" s="5">
        <f t="shared" ca="1" si="236"/>
        <v>6.6860755625082107E-3</v>
      </c>
      <c r="AO101" s="5">
        <f t="shared" ca="1" si="237"/>
        <v>7.8631661235838753E-3</v>
      </c>
      <c r="AP101" s="5">
        <f t="shared" ca="1" si="238"/>
        <v>6.7862217825260919E-3</v>
      </c>
      <c r="AQ101" s="5">
        <f t="shared" ca="1" si="239"/>
        <v>6.2692771413813669E-3</v>
      </c>
      <c r="AR101" s="5">
        <f t="shared" ca="1" si="240"/>
        <v>6.8404634878302317E-3</v>
      </c>
      <c r="AS101" s="5">
        <f t="shared" ca="1" si="241"/>
        <v>6.8608358235808121E-3</v>
      </c>
      <c r="AT101" s="5">
        <f t="shared" ca="1" si="242"/>
        <v>6.0546742575589329E-3</v>
      </c>
      <c r="AU101" s="5">
        <f t="shared" ca="1" si="243"/>
        <v>6.5230645772121048E-3</v>
      </c>
      <c r="AV101" s="5">
        <f t="shared" ca="1" si="244"/>
        <v>6.5461291321687485E-3</v>
      </c>
      <c r="AW101" s="5">
        <f t="shared" ca="1" si="245"/>
        <v>7.3089256323631523E-3</v>
      </c>
      <c r="AX101" s="5">
        <f t="shared" ca="1" si="246"/>
        <v>6.5239573785952944E-3</v>
      </c>
      <c r="AY101" s="5">
        <f t="shared" ca="1" si="247"/>
        <v>6.8690537706604963E-3</v>
      </c>
      <c r="AZ101" s="5">
        <f t="shared" ca="1" si="248"/>
        <v>7.5477274152926724E-3</v>
      </c>
      <c r="BA101" s="5">
        <f t="shared" ca="1" si="249"/>
        <v>6.7110874951611362E-3</v>
      </c>
      <c r="BB101" s="5">
        <f t="shared" ca="1" si="250"/>
        <v>6.5946492215894197E-3</v>
      </c>
      <c r="BC101" s="5">
        <f t="shared" ca="1" si="251"/>
        <v>7.0133025182472228E-3</v>
      </c>
      <c r="BD101" s="5">
        <f t="shared" ca="1" si="252"/>
        <v>6.668861067051903E-3</v>
      </c>
      <c r="BE101" s="5">
        <f t="shared" ca="1" si="253"/>
        <v>7.7098265035874317E-3</v>
      </c>
      <c r="BF101" s="5">
        <f t="shared" ca="1" si="254"/>
        <v>6.7713203383059075E-3</v>
      </c>
      <c r="BG101" s="5">
        <f t="shared" ca="1" si="255"/>
        <v>7.0407019243864779E-3</v>
      </c>
      <c r="BH101" s="5">
        <f t="shared" ca="1" si="256"/>
        <v>6.229849824273704E-3</v>
      </c>
      <c r="BI101" s="5">
        <f t="shared" ca="1" si="257"/>
        <v>7.5491145013785333E-3</v>
      </c>
      <c r="BJ101" s="5">
        <f t="shared" ca="1" si="258"/>
        <v>7.1812293679780004E-3</v>
      </c>
      <c r="BK101" s="5">
        <f t="shared" ca="1" si="259"/>
        <v>7.4938772543462866E-3</v>
      </c>
      <c r="BL101" s="5">
        <f t="shared" ca="1" si="260"/>
        <v>7.0112730010172394E-3</v>
      </c>
      <c r="BM101" s="5">
        <f t="shared" ca="1" si="261"/>
        <v>6.5816307654791217E-3</v>
      </c>
      <c r="BN101" s="5">
        <f t="shared" ca="1" si="262"/>
        <v>6.7117251912181663E-3</v>
      </c>
      <c r="BO101" s="5">
        <f t="shared" ca="1" si="263"/>
        <v>7.2278568373613681E-3</v>
      </c>
      <c r="BP101" s="5">
        <f t="shared" ca="1" si="264"/>
        <v>6.7301056571179903E-3</v>
      </c>
      <c r="BQ101" s="5">
        <f t="shared" ca="1" si="265"/>
        <v>6.2430889229876775E-3</v>
      </c>
      <c r="BR101" s="5">
        <f t="shared" ca="1" si="266"/>
        <v>6.8087387973859723E-3</v>
      </c>
      <c r="BS101" s="5">
        <f t="shared" ca="1" si="267"/>
        <v>6.7914975222985357E-3</v>
      </c>
      <c r="BT101" s="5">
        <f t="shared" ca="1" si="268"/>
        <v>6.8672402767502401E-3</v>
      </c>
      <c r="BU101" s="5">
        <f t="shared" ca="1" si="269"/>
        <v>6.6393850390650084E-3</v>
      </c>
      <c r="BV101" s="5">
        <f t="shared" ca="1" si="270"/>
        <v>6.7124273036119272E-3</v>
      </c>
      <c r="BW101" s="5">
        <f t="shared" ca="1" si="271"/>
        <v>6.895526299467645E-3</v>
      </c>
      <c r="BX101" s="5">
        <f t="shared" ca="1" si="272"/>
        <v>7.2344806695042686E-3</v>
      </c>
      <c r="BY101" s="5">
        <f t="shared" ca="1" si="273"/>
        <v>6.5164226599995307E-3</v>
      </c>
      <c r="BZ101" s="5">
        <f t="shared" ca="1" si="274"/>
        <v>7.1446589677073638E-3</v>
      </c>
      <c r="CA101" s="5">
        <f t="shared" ca="1" si="275"/>
        <v>6.3020272301650016E-3</v>
      </c>
      <c r="CB101" s="5">
        <f t="shared" ca="1" si="276"/>
        <v>6.9285943854995253E-3</v>
      </c>
      <c r="CC101" s="5">
        <f t="shared" ca="1" si="277"/>
        <v>6.6545972733367759E-3</v>
      </c>
      <c r="CD101" s="5">
        <f t="shared" ca="1" si="278"/>
        <v>6.9881865722941205E-3</v>
      </c>
      <c r="CE101" s="5">
        <f t="shared" ca="1" si="279"/>
        <v>6.4821905014484744E-3</v>
      </c>
      <c r="CF101" s="5">
        <f t="shared" ca="1" si="280"/>
        <v>7.0670849784936112E-3</v>
      </c>
      <c r="CG101" s="5">
        <f t="shared" ca="1" si="281"/>
        <v>6.7805584643754512E-3</v>
      </c>
      <c r="CH101" s="5">
        <f t="shared" ca="1" si="282"/>
        <v>5.9522995782341024E-3</v>
      </c>
      <c r="CI101" s="5">
        <f t="shared" ca="1" si="283"/>
        <v>7.2390280424224334E-3</v>
      </c>
      <c r="CJ101" s="5">
        <f t="shared" ca="1" si="284"/>
        <v>7.0746197378023573E-3</v>
      </c>
      <c r="CK101" s="5">
        <f t="shared" ca="1" si="285"/>
        <v>7.1232013323713371E-3</v>
      </c>
      <c r="CL101" s="5">
        <f t="shared" ca="1" si="286"/>
        <v>7.3395011222550854E-3</v>
      </c>
      <c r="CM101" s="5">
        <f t="shared" ca="1" si="287"/>
        <v>7.2106440648826622E-3</v>
      </c>
      <c r="CN101" s="5">
        <f t="shared" ca="1" si="288"/>
        <v>6.7652886435982384E-3</v>
      </c>
      <c r="CO101" s="5">
        <f t="shared" ca="1" si="289"/>
        <v>7.0272068920625456E-3</v>
      </c>
      <c r="CP101" s="5">
        <f t="shared" ca="1" si="290"/>
        <v>6.5492336114454522E-3</v>
      </c>
      <c r="CQ101" s="5">
        <f t="shared" ca="1" si="291"/>
        <v>7.4519527383056219E-3</v>
      </c>
      <c r="CR101" s="5">
        <f t="shared" ca="1" si="292"/>
        <v>6.7531893886472183E-3</v>
      </c>
      <c r="CS101" s="5">
        <f t="shared" ca="1" si="293"/>
        <v>6.7839800675997966E-3</v>
      </c>
      <c r="CT101" s="5">
        <f t="shared" ca="1" si="294"/>
        <v>7.3337188363147383E-3</v>
      </c>
      <c r="CU101" s="5">
        <f t="shared" ca="1" si="295"/>
        <v>6.4433469567278549E-3</v>
      </c>
      <c r="CV101" s="5">
        <f t="shared" ca="1" si="296"/>
        <v>7.0819310531152783E-3</v>
      </c>
      <c r="CW101" s="5">
        <f t="shared" ca="1" si="297"/>
        <v>6.8229313589807487E-3</v>
      </c>
      <c r="CX101" s="5">
        <f t="shared" ca="1" si="298"/>
        <v>6.7000333817678172E-3</v>
      </c>
      <c r="CY101" s="5">
        <f t="shared" ca="1" si="299"/>
        <v>6.7583405417237048E-3</v>
      </c>
      <c r="CZ101" s="5">
        <f t="shared" ca="1" si="300"/>
        <v>6.0008422199481076E-3</v>
      </c>
      <c r="DA101" s="5">
        <f t="shared" ca="1" si="301"/>
        <v>6.9049020418400879E-3</v>
      </c>
      <c r="DB101" s="5">
        <f t="shared" ca="1" si="302"/>
        <v>6.9021477016437231E-3</v>
      </c>
      <c r="DC101" s="5">
        <f t="shared" ca="1" si="303"/>
        <v>6.9705390398731972E-3</v>
      </c>
      <c r="DD101" s="5">
        <f t="shared" ca="1" si="304"/>
        <v>6.6650287250321055E-3</v>
      </c>
      <c r="DE101" s="5">
        <f t="shared" ca="1" si="305"/>
        <v>6.7952779572456263E-3</v>
      </c>
      <c r="DF101" s="5">
        <f t="shared" ca="1" si="306"/>
        <v>6.6908805115505924E-3</v>
      </c>
      <c r="DG101" s="5">
        <f t="shared" ca="1" si="307"/>
        <v>6.6328821102658855E-3</v>
      </c>
      <c r="DH101" s="5">
        <f t="shared" ca="1" si="308"/>
        <v>7.1525156893284146E-3</v>
      </c>
      <c r="DI101" s="5">
        <f t="shared" ca="1" si="309"/>
        <v>6.9559358877733192E-3</v>
      </c>
      <c r="DJ101" s="5">
        <f t="shared" ca="1" si="310"/>
        <v>6.92633445866387E-3</v>
      </c>
    </row>
    <row r="102" spans="5:114" outlineLevel="1" x14ac:dyDescent="0.2">
      <c r="E102" s="32">
        <v>47574</v>
      </c>
      <c r="F102" s="9">
        <v>3844.2254781665279</v>
      </c>
      <c r="G102" s="5">
        <f t="shared" ca="1" si="311"/>
        <v>-1.6851629670606084E-2</v>
      </c>
      <c r="H102" s="5">
        <f t="shared" ca="1" si="312"/>
        <v>6.5200910926233964E-3</v>
      </c>
      <c r="I102" s="9">
        <f t="shared" ca="1" si="313"/>
        <v>279681.34375127353</v>
      </c>
      <c r="K102" s="6">
        <v>98</v>
      </c>
      <c r="L102" s="5">
        <v>362292.03722560842</v>
      </c>
      <c r="N102" s="32">
        <v>47543</v>
      </c>
      <c r="O102" s="5">
        <f t="shared" ref="O102:O124" ca="1" si="314">O101+Kappa*(Theta-O101)*Deltat+Sigma*SQRT(O101)*_xlfn.NORM.INV(RAND(),0,Deltat)</f>
        <v>7.1735326224161202E-3</v>
      </c>
      <c r="P102" s="5">
        <f t="shared" ref="P102:P124" ca="1" si="315">P101+Kappa*(Theta-P101)*Deltat+Sigma*SQRT(P101)*_xlfn.NORM.INV(RAND(),0,Deltat)</f>
        <v>6.8862095308381234E-3</v>
      </c>
      <c r="Q102" s="5">
        <f t="shared" ref="Q102:Q124" ca="1" si="316">Q101+Kappa*(Theta-Q101)*Deltat+Sigma*SQRT(Q101)*_xlfn.NORM.INV(RAND(),0,Deltat)</f>
        <v>6.8120002558976454E-3</v>
      </c>
      <c r="R102" s="5">
        <f t="shared" ref="R102:R124" ca="1" si="317">R101+Kappa*(Theta-R101)*Deltat+Sigma*SQRT(R101)*_xlfn.NORM.INV(RAND(),0,Deltat)</f>
        <v>6.3644461108515226E-3</v>
      </c>
      <c r="S102" s="5">
        <f t="shared" ref="S102:S124" ca="1" si="318">S101+Kappa*(Theta-S101)*Deltat+Sigma*SQRT(S101)*_xlfn.NORM.INV(RAND(),0,Deltat)</f>
        <v>6.2701990357061088E-3</v>
      </c>
      <c r="T102" s="5">
        <f t="shared" ref="T102:T124" ca="1" si="319">T101+Kappa*(Theta-T101)*Deltat+Sigma*SQRT(T101)*_xlfn.NORM.INV(RAND(),0,Deltat)</f>
        <v>6.0821021011061996E-3</v>
      </c>
      <c r="U102" s="5">
        <f t="shared" ref="U102:U124" ca="1" si="320">U101+Kappa*(Theta-U101)*Deltat+Sigma*SQRT(U101)*_xlfn.NORM.INV(RAND(),0,Deltat)</f>
        <v>6.8985928828608507E-3</v>
      </c>
      <c r="V102" s="5">
        <f t="shared" ref="V102:V124" ca="1" si="321">V101+Kappa*(Theta-V101)*Deltat+Sigma*SQRT(V101)*_xlfn.NORM.INV(RAND(),0,Deltat)</f>
        <v>6.4800382294231832E-3</v>
      </c>
      <c r="W102" s="5">
        <f t="shared" ref="W102:W124" ca="1" si="322">W101+Kappa*(Theta-W101)*Deltat+Sigma*SQRT(W101)*_xlfn.NORM.INV(RAND(),0,Deltat)</f>
        <v>7.2140039080913574E-3</v>
      </c>
      <c r="X102" s="5">
        <f t="shared" ref="X102:X124" ca="1" si="323">X101+Kappa*(Theta-X101)*Deltat+Sigma*SQRT(X101)*_xlfn.NORM.INV(RAND(),0,Deltat)</f>
        <v>6.6611624833432899E-3</v>
      </c>
      <c r="Y102" s="5">
        <f t="shared" ref="Y102:Y124" ca="1" si="324">Y101+Kappa*(Theta-Y101)*Deltat+Sigma*SQRT(Y101)*_xlfn.NORM.INV(RAND(),0,Deltat)</f>
        <v>7.3207865004175149E-3</v>
      </c>
      <c r="Z102" s="5">
        <f t="shared" ref="Z102:Z124" ca="1" si="325">Z101+Kappa*(Theta-Z101)*Deltat+Sigma*SQRT(Z101)*_xlfn.NORM.INV(RAND(),0,Deltat)</f>
        <v>7.2904693921918614E-3</v>
      </c>
      <c r="AA102" s="5">
        <f t="shared" ref="AA102:AA124" ca="1" si="326">AA101+Kappa*(Theta-AA101)*Deltat+Sigma*SQRT(AA101)*_xlfn.NORM.INV(RAND(),0,Deltat)</f>
        <v>6.692717862842726E-3</v>
      </c>
      <c r="AB102" s="5">
        <f t="shared" ref="AB102:AB124" ca="1" si="327">AB101+Kappa*(Theta-AB101)*Deltat+Sigma*SQRT(AB101)*_xlfn.NORM.INV(RAND(),0,Deltat)</f>
        <v>7.1016287287575973E-3</v>
      </c>
      <c r="AC102" s="5">
        <f t="shared" ref="AC102:AC124" ca="1" si="328">AC101+Kappa*(Theta-AC101)*Deltat+Sigma*SQRT(AC101)*_xlfn.NORM.INV(RAND(),0,Deltat)</f>
        <v>6.7028653913879018E-3</v>
      </c>
      <c r="AD102" s="5">
        <f t="shared" ref="AD102:AD124" ca="1" si="329">AD101+Kappa*(Theta-AD101)*Deltat+Sigma*SQRT(AD101)*_xlfn.NORM.INV(RAND(),0,Deltat)</f>
        <v>7.0888213695151315E-3</v>
      </c>
      <c r="AE102" s="5">
        <f t="shared" ref="AE102:AE124" ca="1" si="330">AE101+Kappa*(Theta-AE101)*Deltat+Sigma*SQRT(AE101)*_xlfn.NORM.INV(RAND(),0,Deltat)</f>
        <v>7.3882103005446917E-3</v>
      </c>
      <c r="AF102" s="5">
        <f t="shared" ref="AF102:AF124" ca="1" si="331">AF101+Kappa*(Theta-AF101)*Deltat+Sigma*SQRT(AF101)*_xlfn.NORM.INV(RAND(),0,Deltat)</f>
        <v>6.7697213596821029E-3</v>
      </c>
      <c r="AG102" s="5">
        <f t="shared" ref="AG102:AG124" ca="1" si="332">AG101+Kappa*(Theta-AG101)*Deltat+Sigma*SQRT(AG101)*_xlfn.NORM.INV(RAND(),0,Deltat)</f>
        <v>7.0350991026631735E-3</v>
      </c>
      <c r="AH102" s="5">
        <f t="shared" ref="AH102:AH124" ca="1" si="333">AH101+Kappa*(Theta-AH101)*Deltat+Sigma*SQRT(AH101)*_xlfn.NORM.INV(RAND(),0,Deltat)</f>
        <v>6.3892445519512509E-3</v>
      </c>
      <c r="AI102" s="5">
        <f t="shared" ref="AI102:AI124" ca="1" si="334">AI101+Kappa*(Theta-AI101)*Deltat+Sigma*SQRT(AI101)*_xlfn.NORM.INV(RAND(),0,Deltat)</f>
        <v>7.3219990610088707E-3</v>
      </c>
      <c r="AJ102" s="5">
        <f t="shared" ref="AJ102:AJ124" ca="1" si="335">AJ101+Kappa*(Theta-AJ101)*Deltat+Sigma*SQRT(AJ101)*_xlfn.NORM.INV(RAND(),0,Deltat)</f>
        <v>6.1488104202897589E-3</v>
      </c>
      <c r="AK102" s="5">
        <f t="shared" ref="AK102:AK124" ca="1" si="336">AK101+Kappa*(Theta-AK101)*Deltat+Sigma*SQRT(AK101)*_xlfn.NORM.INV(RAND(),0,Deltat)</f>
        <v>7.0329223350634375E-3</v>
      </c>
      <c r="AL102" s="5">
        <f t="shared" ref="AL102:AL124" ca="1" si="337">AL101+Kappa*(Theta-AL101)*Deltat+Sigma*SQRT(AL101)*_xlfn.NORM.INV(RAND(),0,Deltat)</f>
        <v>6.5690794621806776E-3</v>
      </c>
      <c r="AM102" s="5">
        <f t="shared" ref="AM102:AM124" ca="1" si="338">AM101+Kappa*(Theta-AM101)*Deltat+Sigma*SQRT(AM101)*_xlfn.NORM.INV(RAND(),0,Deltat)</f>
        <v>6.6250477011192211E-3</v>
      </c>
      <c r="AN102" s="5">
        <f t="shared" ref="AN102:AN124" ca="1" si="339">AN101+Kappa*(Theta-AN101)*Deltat+Sigma*SQRT(AN101)*_xlfn.NORM.INV(RAND(),0,Deltat)</f>
        <v>6.6908512921209683E-3</v>
      </c>
      <c r="AO102" s="5">
        <f t="shared" ref="AO102:AO124" ca="1" si="340">AO101+Kappa*(Theta-AO101)*Deltat+Sigma*SQRT(AO101)*_xlfn.NORM.INV(RAND(),0,Deltat)</f>
        <v>7.8459109953055231E-3</v>
      </c>
      <c r="AP102" s="5">
        <f t="shared" ref="AP102:AP124" ca="1" si="341">AP101+Kappa*(Theta-AP101)*Deltat+Sigma*SQRT(AP101)*_xlfn.NORM.INV(RAND(),0,Deltat)</f>
        <v>6.8635269300597879E-3</v>
      </c>
      <c r="AQ102" s="5">
        <f t="shared" ref="AQ102:AQ124" ca="1" si="342">AQ101+Kappa*(Theta-AQ101)*Deltat+Sigma*SQRT(AQ101)*_xlfn.NORM.INV(RAND(),0,Deltat)</f>
        <v>6.3083488633946657E-3</v>
      </c>
      <c r="AR102" s="5">
        <f t="shared" ref="AR102:AR124" ca="1" si="343">AR101+Kappa*(Theta-AR101)*Deltat+Sigma*SQRT(AR101)*_xlfn.NORM.INV(RAND(),0,Deltat)</f>
        <v>6.8165101782097798E-3</v>
      </c>
      <c r="AS102" s="5">
        <f t="shared" ref="AS102:AS124" ca="1" si="344">AS101+Kappa*(Theta-AS101)*Deltat+Sigma*SQRT(AS101)*_xlfn.NORM.INV(RAND(),0,Deltat)</f>
        <v>6.8695141649160428E-3</v>
      </c>
      <c r="AT102" s="5">
        <f t="shared" ref="AT102:AT124" ca="1" si="345">AT101+Kappa*(Theta-AT101)*Deltat+Sigma*SQRT(AT101)*_xlfn.NORM.INV(RAND(),0,Deltat)</f>
        <v>6.0625878183289067E-3</v>
      </c>
      <c r="AU102" s="5">
        <f t="shared" ref="AU102:AU124" ca="1" si="346">AU101+Kappa*(Theta-AU101)*Deltat+Sigma*SQRT(AU101)*_xlfn.NORM.INV(RAND(),0,Deltat)</f>
        <v>6.4790118775042713E-3</v>
      </c>
      <c r="AV102" s="5">
        <f t="shared" ref="AV102:AV124" ca="1" si="347">AV101+Kappa*(Theta-AV101)*Deltat+Sigma*SQRT(AV101)*_xlfn.NORM.INV(RAND(),0,Deltat)</f>
        <v>6.5449549685246142E-3</v>
      </c>
      <c r="AW102" s="5">
        <f t="shared" ref="AW102:AW124" ca="1" si="348">AW101+Kappa*(Theta-AW101)*Deltat+Sigma*SQRT(AW101)*_xlfn.NORM.INV(RAND(),0,Deltat)</f>
        <v>7.3077760105742474E-3</v>
      </c>
      <c r="AX102" s="5">
        <f t="shared" ref="AX102:AX124" ca="1" si="349">AX101+Kappa*(Theta-AX101)*Deltat+Sigma*SQRT(AX101)*_xlfn.NORM.INV(RAND(),0,Deltat)</f>
        <v>6.5479115641050752E-3</v>
      </c>
      <c r="AY102" s="5">
        <f t="shared" ref="AY102:AY124" ca="1" si="350">AY101+Kappa*(Theta-AY101)*Deltat+Sigma*SQRT(AY101)*_xlfn.NORM.INV(RAND(),0,Deltat)</f>
        <v>6.8025099065317758E-3</v>
      </c>
      <c r="AZ102" s="5">
        <f t="shared" ref="AZ102:AZ124" ca="1" si="351">AZ101+Kappa*(Theta-AZ101)*Deltat+Sigma*SQRT(AZ101)*_xlfn.NORM.INV(RAND(),0,Deltat)</f>
        <v>7.524923567746364E-3</v>
      </c>
      <c r="BA102" s="5">
        <f t="shared" ref="BA102:BA124" ca="1" si="352">BA101+Kappa*(Theta-BA101)*Deltat+Sigma*SQRT(BA101)*_xlfn.NORM.INV(RAND(),0,Deltat)</f>
        <v>6.710861856459022E-3</v>
      </c>
      <c r="BB102" s="5">
        <f t="shared" ref="BB102:BB124" ca="1" si="353">BB101+Kappa*(Theta-BB101)*Deltat+Sigma*SQRT(BB101)*_xlfn.NORM.INV(RAND(),0,Deltat)</f>
        <v>6.6491593007237722E-3</v>
      </c>
      <c r="BC102" s="5">
        <f t="shared" ref="BC102:BC124" ca="1" si="354">BC101+Kappa*(Theta-BC101)*Deltat+Sigma*SQRT(BC101)*_xlfn.NORM.INV(RAND(),0,Deltat)</f>
        <v>7.0781734652752126E-3</v>
      </c>
      <c r="BD102" s="5">
        <f t="shared" ref="BD102:BD124" ca="1" si="355">BD101+Kappa*(Theta-BD101)*Deltat+Sigma*SQRT(BD101)*_xlfn.NORM.INV(RAND(),0,Deltat)</f>
        <v>6.7577566687542622E-3</v>
      </c>
      <c r="BE102" s="5">
        <f t="shared" ref="BE102:BE124" ca="1" si="356">BE101+Kappa*(Theta-BE101)*Deltat+Sigma*SQRT(BE101)*_xlfn.NORM.INV(RAND(),0,Deltat)</f>
        <v>7.6892081466506104E-3</v>
      </c>
      <c r="BF102" s="5">
        <f t="shared" ref="BF102:BF124" ca="1" si="357">BF101+Kappa*(Theta-BF101)*Deltat+Sigma*SQRT(BF101)*_xlfn.NORM.INV(RAND(),0,Deltat)</f>
        <v>6.7797399981819233E-3</v>
      </c>
      <c r="BG102" s="5">
        <f t="shared" ref="BG102:BG124" ca="1" si="358">BG101+Kappa*(Theta-BG101)*Deltat+Sigma*SQRT(BG101)*_xlfn.NORM.INV(RAND(),0,Deltat)</f>
        <v>6.9848988761703088E-3</v>
      </c>
      <c r="BH102" s="5">
        <f t="shared" ref="BH102:BH124" ca="1" si="359">BH101+Kappa*(Theta-BH101)*Deltat+Sigma*SQRT(BH101)*_xlfn.NORM.INV(RAND(),0,Deltat)</f>
        <v>6.2776854697300394E-3</v>
      </c>
      <c r="BI102" s="5">
        <f t="shared" ref="BI102:BI124" ca="1" si="360">BI101+Kappa*(Theta-BI101)*Deltat+Sigma*SQRT(BI101)*_xlfn.NORM.INV(RAND(),0,Deltat)</f>
        <v>7.5390471506853966E-3</v>
      </c>
      <c r="BJ102" s="5">
        <f t="shared" ref="BJ102:BJ124" ca="1" si="361">BJ101+Kappa*(Theta-BJ101)*Deltat+Sigma*SQRT(BJ101)*_xlfn.NORM.INV(RAND(),0,Deltat)</f>
        <v>7.1897589121321026E-3</v>
      </c>
      <c r="BK102" s="5">
        <f t="shared" ref="BK102:BK124" ca="1" si="362">BK101+Kappa*(Theta-BK101)*Deltat+Sigma*SQRT(BK101)*_xlfn.NORM.INV(RAND(),0,Deltat)</f>
        <v>7.4345505806427447E-3</v>
      </c>
      <c r="BL102" s="5">
        <f t="shared" ref="BL102:BL124" ca="1" si="363">BL101+Kappa*(Theta-BL101)*Deltat+Sigma*SQRT(BL101)*_xlfn.NORM.INV(RAND(),0,Deltat)</f>
        <v>7.0462221119116583E-3</v>
      </c>
      <c r="BM102" s="5">
        <f t="shared" ref="BM102:BM124" ca="1" si="364">BM101+Kappa*(Theta-BM101)*Deltat+Sigma*SQRT(BM101)*_xlfn.NORM.INV(RAND(),0,Deltat)</f>
        <v>6.5822066235616417E-3</v>
      </c>
      <c r="BN102" s="5">
        <f t="shared" ref="BN102:BN124" ca="1" si="365">BN101+Kappa*(Theta-BN101)*Deltat+Sigma*SQRT(BN101)*_xlfn.NORM.INV(RAND(),0,Deltat)</f>
        <v>6.7005157594652621E-3</v>
      </c>
      <c r="BO102" s="5">
        <f t="shared" ref="BO102:BO124" ca="1" si="366">BO101+Kappa*(Theta-BO101)*Deltat+Sigma*SQRT(BO101)*_xlfn.NORM.INV(RAND(),0,Deltat)</f>
        <v>7.1552563837989323E-3</v>
      </c>
      <c r="BP102" s="5">
        <f t="shared" ref="BP102:BP124" ca="1" si="367">BP101+Kappa*(Theta-BP101)*Deltat+Sigma*SQRT(BP101)*_xlfn.NORM.INV(RAND(),0,Deltat)</f>
        <v>6.6902883102703458E-3</v>
      </c>
      <c r="BQ102" s="5">
        <f t="shared" ref="BQ102:BQ124" ca="1" si="368">BQ101+Kappa*(Theta-BQ101)*Deltat+Sigma*SQRT(BQ101)*_xlfn.NORM.INV(RAND(),0,Deltat)</f>
        <v>6.2529381981612907E-3</v>
      </c>
      <c r="BR102" s="5">
        <f t="shared" ref="BR102:BR124" ca="1" si="369">BR101+Kappa*(Theta-BR101)*Deltat+Sigma*SQRT(BR101)*_xlfn.NORM.INV(RAND(),0,Deltat)</f>
        <v>6.8152571622419715E-3</v>
      </c>
      <c r="BS102" s="5">
        <f t="shared" ref="BS102:BS124" ca="1" si="370">BS101+Kappa*(Theta-BS101)*Deltat+Sigma*SQRT(BS101)*_xlfn.NORM.INV(RAND(),0,Deltat)</f>
        <v>6.8256615549345447E-3</v>
      </c>
      <c r="BT102" s="5">
        <f t="shared" ref="BT102:BT124" ca="1" si="371">BT101+Kappa*(Theta-BT101)*Deltat+Sigma*SQRT(BT101)*_xlfn.NORM.INV(RAND(),0,Deltat)</f>
        <v>6.8389024225858127E-3</v>
      </c>
      <c r="BU102" s="5">
        <f t="shared" ref="BU102:BU124" ca="1" si="372">BU101+Kappa*(Theta-BU101)*Deltat+Sigma*SQRT(BU101)*_xlfn.NORM.INV(RAND(),0,Deltat)</f>
        <v>6.6710065269245415E-3</v>
      </c>
      <c r="BV102" s="5">
        <f t="shared" ref="BV102:BV124" ca="1" si="373">BV101+Kappa*(Theta-BV101)*Deltat+Sigma*SQRT(BV101)*_xlfn.NORM.INV(RAND(),0,Deltat)</f>
        <v>6.7096472327878515E-3</v>
      </c>
      <c r="BW102" s="5">
        <f t="shared" ref="BW102:BW124" ca="1" si="374">BW101+Kappa*(Theta-BW101)*Deltat+Sigma*SQRT(BW101)*_xlfn.NORM.INV(RAND(),0,Deltat)</f>
        <v>6.8252364463037658E-3</v>
      </c>
      <c r="BX102" s="5">
        <f t="shared" ref="BX102:BX124" ca="1" si="375">BX101+Kappa*(Theta-BX101)*Deltat+Sigma*SQRT(BX101)*_xlfn.NORM.INV(RAND(),0,Deltat)</f>
        <v>7.2531031454950313E-3</v>
      </c>
      <c r="BY102" s="5">
        <f t="shared" ref="BY102:BY124" ca="1" si="376">BY101+Kappa*(Theta-BY101)*Deltat+Sigma*SQRT(BY101)*_xlfn.NORM.INV(RAND(),0,Deltat)</f>
        <v>6.4742458767348453E-3</v>
      </c>
      <c r="BZ102" s="5">
        <f t="shared" ref="BZ102:BZ124" ca="1" si="377">BZ101+Kappa*(Theta-BZ101)*Deltat+Sigma*SQRT(BZ101)*_xlfn.NORM.INV(RAND(),0,Deltat)</f>
        <v>7.0015357835294155E-3</v>
      </c>
      <c r="CA102" s="5">
        <f t="shared" ref="CA102:CA124" ca="1" si="378">CA101+Kappa*(Theta-CA101)*Deltat+Sigma*SQRT(CA101)*_xlfn.NORM.INV(RAND(),0,Deltat)</f>
        <v>6.2929545977603116E-3</v>
      </c>
      <c r="CB102" s="5">
        <f t="shared" ref="CB102:CB124" ca="1" si="379">CB101+Kappa*(Theta-CB101)*Deltat+Sigma*SQRT(CB101)*_xlfn.NORM.INV(RAND(),0,Deltat)</f>
        <v>6.9131586732887043E-3</v>
      </c>
      <c r="CC102" s="5">
        <f t="shared" ref="CC102:CC124" ca="1" si="380">CC101+Kappa*(Theta-CC101)*Deltat+Sigma*SQRT(CC101)*_xlfn.NORM.INV(RAND(),0,Deltat)</f>
        <v>6.6358497226312188E-3</v>
      </c>
      <c r="CD102" s="5">
        <f t="shared" ref="CD102:CD124" ca="1" si="381">CD101+Kappa*(Theta-CD101)*Deltat+Sigma*SQRT(CD101)*_xlfn.NORM.INV(RAND(),0,Deltat)</f>
        <v>7.0255047192169942E-3</v>
      </c>
      <c r="CE102" s="5">
        <f t="shared" ref="CE102:CE124" ca="1" si="382">CE101+Kappa*(Theta-CE101)*Deltat+Sigma*SQRT(CE101)*_xlfn.NORM.INV(RAND(),0,Deltat)</f>
        <v>6.5234628271695436E-3</v>
      </c>
      <c r="CF102" s="5">
        <f t="shared" ref="CF102:CF124" ca="1" si="383">CF101+Kappa*(Theta-CF101)*Deltat+Sigma*SQRT(CF101)*_xlfn.NORM.INV(RAND(),0,Deltat)</f>
        <v>7.0670233812214611E-3</v>
      </c>
      <c r="CG102" s="5">
        <f t="shared" ref="CG102:CG124" ca="1" si="384">CG101+Kappa*(Theta-CG101)*Deltat+Sigma*SQRT(CG101)*_xlfn.NORM.INV(RAND(),0,Deltat)</f>
        <v>6.7497576014743169E-3</v>
      </c>
      <c r="CH102" s="5">
        <f t="shared" ref="CH102:CH124" ca="1" si="385">CH101+Kappa*(Theta-CH101)*Deltat+Sigma*SQRT(CH101)*_xlfn.NORM.INV(RAND(),0,Deltat)</f>
        <v>5.9683702629021364E-3</v>
      </c>
      <c r="CI102" s="5">
        <f t="shared" ref="CI102:CI124" ca="1" si="386">CI101+Kappa*(Theta-CI101)*Deltat+Sigma*SQRT(CI101)*_xlfn.NORM.INV(RAND(),0,Deltat)</f>
        <v>7.2981288639271946E-3</v>
      </c>
      <c r="CJ102" s="5">
        <f t="shared" ref="CJ102:CJ124" ca="1" si="387">CJ101+Kappa*(Theta-CJ101)*Deltat+Sigma*SQRT(CJ101)*_xlfn.NORM.INV(RAND(),0,Deltat)</f>
        <v>6.9777134754055786E-3</v>
      </c>
      <c r="CK102" s="5">
        <f t="shared" ref="CK102:CK124" ca="1" si="388">CK101+Kappa*(Theta-CK101)*Deltat+Sigma*SQRT(CK101)*_xlfn.NORM.INV(RAND(),0,Deltat)</f>
        <v>7.1551414962516859E-3</v>
      </c>
      <c r="CL102" s="5">
        <f t="shared" ref="CL102:CL124" ca="1" si="389">CL101+Kappa*(Theta-CL101)*Deltat+Sigma*SQRT(CL101)*_xlfn.NORM.INV(RAND(),0,Deltat)</f>
        <v>7.3664181148538795E-3</v>
      </c>
      <c r="CM102" s="5">
        <f t="shared" ref="CM102:CM124" ca="1" si="390">CM101+Kappa*(Theta-CM101)*Deltat+Sigma*SQRT(CM101)*_xlfn.NORM.INV(RAND(),0,Deltat)</f>
        <v>7.1685136210460085E-3</v>
      </c>
      <c r="CN102" s="5">
        <f t="shared" ref="CN102:CN124" ca="1" si="391">CN101+Kappa*(Theta-CN101)*Deltat+Sigma*SQRT(CN101)*_xlfn.NORM.INV(RAND(),0,Deltat)</f>
        <v>6.7635660866232983E-3</v>
      </c>
      <c r="CO102" s="5">
        <f t="shared" ref="CO102:CO124" ca="1" si="392">CO101+Kappa*(Theta-CO101)*Deltat+Sigma*SQRT(CO101)*_xlfn.NORM.INV(RAND(),0,Deltat)</f>
        <v>7.0585338383758363E-3</v>
      </c>
      <c r="CP102" s="5">
        <f t="shared" ref="CP102:CP124" ca="1" si="393">CP101+Kappa*(Theta-CP101)*Deltat+Sigma*SQRT(CP101)*_xlfn.NORM.INV(RAND(),0,Deltat)</f>
        <v>6.4449099335906011E-3</v>
      </c>
      <c r="CQ102" s="5">
        <f t="shared" ref="CQ102:CQ124" ca="1" si="394">CQ101+Kappa*(Theta-CQ101)*Deltat+Sigma*SQRT(CQ101)*_xlfn.NORM.INV(RAND(),0,Deltat)</f>
        <v>7.503136475760965E-3</v>
      </c>
      <c r="CR102" s="5">
        <f t="shared" ref="CR102:CR124" ca="1" si="395">CR101+Kappa*(Theta-CR101)*Deltat+Sigma*SQRT(CR101)*_xlfn.NORM.INV(RAND(),0,Deltat)</f>
        <v>6.8501709251401087E-3</v>
      </c>
      <c r="CS102" s="5">
        <f t="shared" ref="CS102:CS124" ca="1" si="396">CS101+Kappa*(Theta-CS101)*Deltat+Sigma*SQRT(CS101)*_xlfn.NORM.INV(RAND(),0,Deltat)</f>
        <v>6.809198710121628E-3</v>
      </c>
      <c r="CT102" s="5">
        <f t="shared" ref="CT102:CT124" ca="1" si="397">CT101+Kappa*(Theta-CT101)*Deltat+Sigma*SQRT(CT101)*_xlfn.NORM.INV(RAND(),0,Deltat)</f>
        <v>7.3093537960613273E-3</v>
      </c>
      <c r="CU102" s="5">
        <f t="shared" ref="CU102:CU124" ca="1" si="398">CU101+Kappa*(Theta-CU101)*Deltat+Sigma*SQRT(CU101)*_xlfn.NORM.INV(RAND(),0,Deltat)</f>
        <v>6.4312665714275309E-3</v>
      </c>
      <c r="CV102" s="5">
        <f t="shared" ref="CV102:CV124" ca="1" si="399">CV101+Kappa*(Theta-CV101)*Deltat+Sigma*SQRT(CV101)*_xlfn.NORM.INV(RAND(),0,Deltat)</f>
        <v>7.0613566125296316E-3</v>
      </c>
      <c r="CW102" s="5">
        <f t="shared" ref="CW102:CW124" ca="1" si="400">CW101+Kappa*(Theta-CW101)*Deltat+Sigma*SQRT(CW101)*_xlfn.NORM.INV(RAND(),0,Deltat)</f>
        <v>6.8963896245904203E-3</v>
      </c>
      <c r="CX102" s="5">
        <f t="shared" ref="CX102:CX124" ca="1" si="401">CX101+Kappa*(Theta-CX101)*Deltat+Sigma*SQRT(CX101)*_xlfn.NORM.INV(RAND(),0,Deltat)</f>
        <v>6.7644654449282374E-3</v>
      </c>
      <c r="CY102" s="5">
        <f t="shared" ref="CY102:CY124" ca="1" si="402">CY101+Kappa*(Theta-CY101)*Deltat+Sigma*SQRT(CY101)*_xlfn.NORM.INV(RAND(),0,Deltat)</f>
        <v>6.7716857492243973E-3</v>
      </c>
      <c r="CZ102" s="5">
        <f t="shared" ref="CZ102:CZ124" ca="1" si="403">CZ101+Kappa*(Theta-CZ101)*Deltat+Sigma*SQRT(CZ101)*_xlfn.NORM.INV(RAND(),0,Deltat)</f>
        <v>5.9803376205686759E-3</v>
      </c>
      <c r="DA102" s="5">
        <f t="shared" ref="DA102:DA124" ca="1" si="404">DA101+Kappa*(Theta-DA101)*Deltat+Sigma*SQRT(DA101)*_xlfn.NORM.INV(RAND(),0,Deltat)</f>
        <v>6.9182988131643534E-3</v>
      </c>
      <c r="DB102" s="5">
        <f t="shared" ref="DB102:DB124" ca="1" si="405">DB101+Kappa*(Theta-DB101)*Deltat+Sigma*SQRT(DB101)*_xlfn.NORM.INV(RAND(),0,Deltat)</f>
        <v>6.9636832857423682E-3</v>
      </c>
      <c r="DC102" s="5">
        <f t="shared" ref="DC102:DC124" ca="1" si="406">DC101+Kappa*(Theta-DC101)*Deltat+Sigma*SQRT(DC101)*_xlfn.NORM.INV(RAND(),0,Deltat)</f>
        <v>6.9704640837436995E-3</v>
      </c>
      <c r="DD102" s="5">
        <f t="shared" ref="DD102:DD124" ca="1" si="407">DD101+Kappa*(Theta-DD101)*Deltat+Sigma*SQRT(DD101)*_xlfn.NORM.INV(RAND(),0,Deltat)</f>
        <v>6.6543709588570707E-3</v>
      </c>
      <c r="DE102" s="5">
        <f t="shared" ref="DE102:DE124" ca="1" si="408">DE101+Kappa*(Theta-DE101)*Deltat+Sigma*SQRT(DE101)*_xlfn.NORM.INV(RAND(),0,Deltat)</f>
        <v>6.8446550453945178E-3</v>
      </c>
      <c r="DF102" s="5">
        <f t="shared" ref="DF102:DF124" ca="1" si="409">DF101+Kappa*(Theta-DF101)*Deltat+Sigma*SQRT(DF101)*_xlfn.NORM.INV(RAND(),0,Deltat)</f>
        <v>6.7233743388303725E-3</v>
      </c>
      <c r="DG102" s="5">
        <f t="shared" ref="DG102:DG124" ca="1" si="410">DG101+Kappa*(Theta-DG101)*Deltat+Sigma*SQRT(DG101)*_xlfn.NORM.INV(RAND(),0,Deltat)</f>
        <v>6.6502383220995026E-3</v>
      </c>
      <c r="DH102" s="5">
        <f t="shared" ref="DH102:DH124" ca="1" si="411">DH101+Kappa*(Theta-DH101)*Deltat+Sigma*SQRT(DH101)*_xlfn.NORM.INV(RAND(),0,Deltat)</f>
        <v>7.1984242836698152E-3</v>
      </c>
      <c r="DI102" s="5">
        <f t="shared" ref="DI102:DI124" ca="1" si="412">DI101+Kappa*(Theta-DI101)*Deltat+Sigma*SQRT(DI101)*_xlfn.NORM.INV(RAND(),0,Deltat)</f>
        <v>7.0397027379322536E-3</v>
      </c>
      <c r="DJ102" s="5">
        <f t="shared" ref="DJ102:DJ124" ca="1" si="413">DJ101+Kappa*(Theta-DJ101)*Deltat+Sigma*SQRT(DJ101)*_xlfn.NORM.INV(RAND(),0,Deltat)</f>
        <v>6.8896377542069526E-3</v>
      </c>
    </row>
    <row r="103" spans="5:114" outlineLevel="1" x14ac:dyDescent="0.2">
      <c r="E103" s="32">
        <v>47604</v>
      </c>
      <c r="F103" s="9">
        <v>3844.2254781665279</v>
      </c>
      <c r="G103" s="5">
        <f t="shared" ca="1" si="311"/>
        <v>8.221509877827457E-2</v>
      </c>
      <c r="H103" s="5">
        <f t="shared" ca="1" si="312"/>
        <v>6.5163833886622636E-3</v>
      </c>
      <c r="I103" s="9">
        <f t="shared" ca="1" si="313"/>
        <v>283677.4863788514</v>
      </c>
      <c r="K103" s="6">
        <v>99</v>
      </c>
      <c r="L103" s="5">
        <v>362125.47930089233</v>
      </c>
      <c r="N103" s="32">
        <v>47574</v>
      </c>
      <c r="O103" s="5">
        <f t="shared" ca="1" si="314"/>
        <v>7.2125684993184927E-3</v>
      </c>
      <c r="P103" s="5">
        <f t="shared" ca="1" si="315"/>
        <v>6.8756911759808763E-3</v>
      </c>
      <c r="Q103" s="5">
        <f t="shared" ca="1" si="316"/>
        <v>6.793186751425111E-3</v>
      </c>
      <c r="R103" s="5">
        <f t="shared" ca="1" si="317"/>
        <v>6.4340898951669133E-3</v>
      </c>
      <c r="S103" s="5">
        <f t="shared" ca="1" si="318"/>
        <v>6.3171344201503367E-3</v>
      </c>
      <c r="T103" s="5">
        <f t="shared" ca="1" si="319"/>
        <v>6.0935087565768421E-3</v>
      </c>
      <c r="U103" s="5">
        <f t="shared" ca="1" si="320"/>
        <v>6.9592178568165155E-3</v>
      </c>
      <c r="V103" s="5">
        <f t="shared" ca="1" si="321"/>
        <v>6.5044609226735176E-3</v>
      </c>
      <c r="W103" s="5">
        <f t="shared" ca="1" si="322"/>
        <v>7.2054647951993222E-3</v>
      </c>
      <c r="X103" s="5">
        <f t="shared" ca="1" si="323"/>
        <v>6.6059139456421763E-3</v>
      </c>
      <c r="Y103" s="5">
        <f t="shared" ca="1" si="324"/>
        <v>7.3769758568500085E-3</v>
      </c>
      <c r="Z103" s="5">
        <f t="shared" ca="1" si="325"/>
        <v>7.2540945078898049E-3</v>
      </c>
      <c r="AA103" s="5">
        <f t="shared" ca="1" si="326"/>
        <v>6.7490117846280683E-3</v>
      </c>
      <c r="AB103" s="5">
        <f t="shared" ca="1" si="327"/>
        <v>7.1491026302773356E-3</v>
      </c>
      <c r="AC103" s="5">
        <f t="shared" ca="1" si="328"/>
        <v>6.6347508567119271E-3</v>
      </c>
      <c r="AD103" s="5">
        <f t="shared" ca="1" si="329"/>
        <v>7.143692658771828E-3</v>
      </c>
      <c r="AE103" s="5">
        <f t="shared" ca="1" si="330"/>
        <v>7.3916500574119411E-3</v>
      </c>
      <c r="AF103" s="5">
        <f t="shared" ca="1" si="331"/>
        <v>6.8095888476106059E-3</v>
      </c>
      <c r="AG103" s="5">
        <f t="shared" ca="1" si="332"/>
        <v>7.0895229249881009E-3</v>
      </c>
      <c r="AH103" s="5">
        <f t="shared" ca="1" si="333"/>
        <v>6.358613435320396E-3</v>
      </c>
      <c r="AI103" s="5">
        <f t="shared" ca="1" si="334"/>
        <v>7.3804899908986622E-3</v>
      </c>
      <c r="AJ103" s="5">
        <f t="shared" ca="1" si="335"/>
        <v>6.1916727805125483E-3</v>
      </c>
      <c r="AK103" s="5">
        <f t="shared" ca="1" si="336"/>
        <v>7.0794950872283607E-3</v>
      </c>
      <c r="AL103" s="5">
        <f t="shared" ca="1" si="337"/>
        <v>6.6389959526198961E-3</v>
      </c>
      <c r="AM103" s="5">
        <f t="shared" ca="1" si="338"/>
        <v>6.5954472068935665E-3</v>
      </c>
      <c r="AN103" s="5">
        <f t="shared" ca="1" si="339"/>
        <v>6.731253811453849E-3</v>
      </c>
      <c r="AO103" s="5">
        <f t="shared" ca="1" si="340"/>
        <v>7.8968862603780773E-3</v>
      </c>
      <c r="AP103" s="5">
        <f t="shared" ca="1" si="341"/>
        <v>6.8439844413505663E-3</v>
      </c>
      <c r="AQ103" s="5">
        <f t="shared" ca="1" si="342"/>
        <v>6.2166744170398863E-3</v>
      </c>
      <c r="AR103" s="5">
        <f t="shared" ca="1" si="343"/>
        <v>6.8236482616053275E-3</v>
      </c>
      <c r="AS103" s="5">
        <f t="shared" ca="1" si="344"/>
        <v>6.8138376519491402E-3</v>
      </c>
      <c r="AT103" s="5">
        <f t="shared" ca="1" si="345"/>
        <v>6.072202049807976E-3</v>
      </c>
      <c r="AU103" s="5">
        <f t="shared" ca="1" si="346"/>
        <v>6.5319696199702291E-3</v>
      </c>
      <c r="AV103" s="5">
        <f t="shared" ca="1" si="347"/>
        <v>6.5246032923561657E-3</v>
      </c>
      <c r="AW103" s="5">
        <f t="shared" ca="1" si="348"/>
        <v>7.3384540885282823E-3</v>
      </c>
      <c r="AX103" s="5">
        <f t="shared" ca="1" si="349"/>
        <v>6.4871900566946441E-3</v>
      </c>
      <c r="AY103" s="5">
        <f t="shared" ca="1" si="350"/>
        <v>6.8488257490012042E-3</v>
      </c>
      <c r="AZ103" s="5">
        <f t="shared" ca="1" si="351"/>
        <v>7.5374807560376154E-3</v>
      </c>
      <c r="BA103" s="5">
        <f t="shared" ca="1" si="352"/>
        <v>6.7326055685033945E-3</v>
      </c>
      <c r="BB103" s="5">
        <f t="shared" ca="1" si="353"/>
        <v>6.6651136962478635E-3</v>
      </c>
      <c r="BC103" s="5">
        <f t="shared" ca="1" si="354"/>
        <v>7.0409884965373076E-3</v>
      </c>
      <c r="BD103" s="5">
        <f t="shared" ca="1" si="355"/>
        <v>6.847388613856949E-3</v>
      </c>
      <c r="BE103" s="5">
        <f t="shared" ca="1" si="356"/>
        <v>7.7187144979232103E-3</v>
      </c>
      <c r="BF103" s="5">
        <f t="shared" ca="1" si="357"/>
        <v>6.8580702119152371E-3</v>
      </c>
      <c r="BG103" s="5">
        <f t="shared" ca="1" si="358"/>
        <v>6.9957862447836356E-3</v>
      </c>
      <c r="BH103" s="5">
        <f t="shared" ca="1" si="359"/>
        <v>6.3390226855746749E-3</v>
      </c>
      <c r="BI103" s="5">
        <f t="shared" ca="1" si="360"/>
        <v>7.4603612719777281E-3</v>
      </c>
      <c r="BJ103" s="5">
        <f t="shared" ca="1" si="361"/>
        <v>7.2088085730791169E-3</v>
      </c>
      <c r="BK103" s="5">
        <f t="shared" ca="1" si="362"/>
        <v>7.419532044607431E-3</v>
      </c>
      <c r="BL103" s="5">
        <f t="shared" ca="1" si="363"/>
        <v>7.0409354521108938E-3</v>
      </c>
      <c r="BM103" s="5">
        <f t="shared" ca="1" si="364"/>
        <v>6.6072200539222066E-3</v>
      </c>
      <c r="BN103" s="5">
        <f t="shared" ca="1" si="365"/>
        <v>6.6591868236449319E-3</v>
      </c>
      <c r="BO103" s="5">
        <f t="shared" ca="1" si="366"/>
        <v>7.1237058509563524E-3</v>
      </c>
      <c r="BP103" s="5">
        <f t="shared" ca="1" si="367"/>
        <v>6.7422764369271257E-3</v>
      </c>
      <c r="BQ103" s="5">
        <f t="shared" ca="1" si="368"/>
        <v>6.300375353324535E-3</v>
      </c>
      <c r="BR103" s="5">
        <f t="shared" ca="1" si="369"/>
        <v>6.8480044464199171E-3</v>
      </c>
      <c r="BS103" s="5">
        <f t="shared" ca="1" si="370"/>
        <v>6.8442237007527483E-3</v>
      </c>
      <c r="BT103" s="5">
        <f t="shared" ca="1" si="371"/>
        <v>6.8244563551455913E-3</v>
      </c>
      <c r="BU103" s="5">
        <f t="shared" ca="1" si="372"/>
        <v>6.6786862660704145E-3</v>
      </c>
      <c r="BV103" s="5">
        <f t="shared" ca="1" si="373"/>
        <v>6.6845948014213844E-3</v>
      </c>
      <c r="BW103" s="5">
        <f t="shared" ca="1" si="374"/>
        <v>6.8084560983245179E-3</v>
      </c>
      <c r="BX103" s="5">
        <f t="shared" ca="1" si="375"/>
        <v>7.2415307266847145E-3</v>
      </c>
      <c r="BY103" s="5">
        <f t="shared" ca="1" si="376"/>
        <v>6.4530258185264812E-3</v>
      </c>
      <c r="BZ103" s="5">
        <f t="shared" ca="1" si="377"/>
        <v>7.0105050552692382E-3</v>
      </c>
      <c r="CA103" s="5">
        <f t="shared" ca="1" si="378"/>
        <v>6.2864240637518004E-3</v>
      </c>
      <c r="CB103" s="5">
        <f t="shared" ca="1" si="379"/>
        <v>6.9650066673469235E-3</v>
      </c>
      <c r="CC103" s="5">
        <f t="shared" ca="1" si="380"/>
        <v>6.6171592724905233E-3</v>
      </c>
      <c r="CD103" s="5">
        <f t="shared" ca="1" si="381"/>
        <v>7.0784401552294344E-3</v>
      </c>
      <c r="CE103" s="5">
        <f t="shared" ca="1" si="382"/>
        <v>6.5680993303528267E-3</v>
      </c>
      <c r="CF103" s="5">
        <f t="shared" ca="1" si="383"/>
        <v>6.9881716929954506E-3</v>
      </c>
      <c r="CG103" s="5">
        <f t="shared" ca="1" si="384"/>
        <v>6.6803190074779667E-3</v>
      </c>
      <c r="CH103" s="5">
        <f t="shared" ca="1" si="385"/>
        <v>5.9632033434590921E-3</v>
      </c>
      <c r="CI103" s="5">
        <f t="shared" ca="1" si="386"/>
        <v>7.3513099795006805E-3</v>
      </c>
      <c r="CJ103" s="5">
        <f t="shared" ca="1" si="387"/>
        <v>7.0095397035578131E-3</v>
      </c>
      <c r="CK103" s="5">
        <f t="shared" ca="1" si="388"/>
        <v>7.1836357069327622E-3</v>
      </c>
      <c r="CL103" s="5">
        <f t="shared" ca="1" si="389"/>
        <v>7.3794671436922437E-3</v>
      </c>
      <c r="CM103" s="5">
        <f t="shared" ca="1" si="390"/>
        <v>7.136400029395671E-3</v>
      </c>
      <c r="CN103" s="5">
        <f t="shared" ca="1" si="391"/>
        <v>6.7484217872011559E-3</v>
      </c>
      <c r="CO103" s="5">
        <f t="shared" ca="1" si="392"/>
        <v>7.064178938494532E-3</v>
      </c>
      <c r="CP103" s="5">
        <f t="shared" ca="1" si="393"/>
        <v>6.4648965625470492E-3</v>
      </c>
      <c r="CQ103" s="5">
        <f t="shared" ca="1" si="394"/>
        <v>7.5178611966287339E-3</v>
      </c>
      <c r="CR103" s="5">
        <f t="shared" ca="1" si="395"/>
        <v>6.9002039394663517E-3</v>
      </c>
      <c r="CS103" s="5">
        <f t="shared" ca="1" si="396"/>
        <v>6.8146713566377146E-3</v>
      </c>
      <c r="CT103" s="5">
        <f t="shared" ca="1" si="397"/>
        <v>7.3688581136471722E-3</v>
      </c>
      <c r="CU103" s="5">
        <f t="shared" ca="1" si="398"/>
        <v>6.457187659006821E-3</v>
      </c>
      <c r="CV103" s="5">
        <f t="shared" ca="1" si="399"/>
        <v>7.0529648529122236E-3</v>
      </c>
      <c r="CW103" s="5">
        <f t="shared" ca="1" si="400"/>
        <v>6.9178207569057255E-3</v>
      </c>
      <c r="CX103" s="5">
        <f t="shared" ca="1" si="401"/>
        <v>6.8368764801450673E-3</v>
      </c>
      <c r="CY103" s="5">
        <f t="shared" ca="1" si="402"/>
        <v>6.872597110443442E-3</v>
      </c>
      <c r="CZ103" s="5">
        <f t="shared" ca="1" si="403"/>
        <v>6.0106057976889856E-3</v>
      </c>
      <c r="DA103" s="5">
        <f t="shared" ca="1" si="404"/>
        <v>6.8583125933270924E-3</v>
      </c>
      <c r="DB103" s="5">
        <f t="shared" ca="1" si="405"/>
        <v>6.9778523619717205E-3</v>
      </c>
      <c r="DC103" s="5">
        <f t="shared" ca="1" si="406"/>
        <v>6.9562718578393733E-3</v>
      </c>
      <c r="DD103" s="5">
        <f t="shared" ca="1" si="407"/>
        <v>6.7392052294015826E-3</v>
      </c>
      <c r="DE103" s="5">
        <f t="shared" ca="1" si="408"/>
        <v>6.7832081490383084E-3</v>
      </c>
      <c r="DF103" s="5">
        <f t="shared" ca="1" si="409"/>
        <v>6.7200804177177092E-3</v>
      </c>
      <c r="DG103" s="5">
        <f t="shared" ca="1" si="410"/>
        <v>6.6189540706491608E-3</v>
      </c>
      <c r="DH103" s="5">
        <f t="shared" ca="1" si="411"/>
        <v>7.1562503272143063E-3</v>
      </c>
      <c r="DI103" s="5">
        <f t="shared" ca="1" si="412"/>
        <v>7.028065385400334E-3</v>
      </c>
      <c r="DJ103" s="5">
        <f t="shared" ca="1" si="413"/>
        <v>6.9182787593248538E-3</v>
      </c>
    </row>
    <row r="104" spans="5:114" x14ac:dyDescent="0.2">
      <c r="E104" s="32">
        <v>47635</v>
      </c>
      <c r="F104" s="9">
        <v>3844.2254781665279</v>
      </c>
      <c r="G104" s="5">
        <f t="shared" ca="1" si="311"/>
        <v>-4.6379435114146328E-2</v>
      </c>
      <c r="H104" s="5">
        <f t="shared" ca="1" si="312"/>
        <v>6.5644888517497725E-3</v>
      </c>
      <c r="I104" s="9">
        <f t="shared" ca="1" si="313"/>
        <v>287676.9374519111</v>
      </c>
      <c r="K104" s="6">
        <v>100</v>
      </c>
      <c r="L104" s="5">
        <v>362351.10436527466</v>
      </c>
      <c r="N104" s="32">
        <v>47604</v>
      </c>
      <c r="O104" s="5">
        <f t="shared" ca="1" si="314"/>
        <v>7.2270320679796328E-3</v>
      </c>
      <c r="P104" s="5">
        <f t="shared" ca="1" si="315"/>
        <v>6.8802993907018366E-3</v>
      </c>
      <c r="Q104" s="5">
        <f t="shared" ca="1" si="316"/>
        <v>6.8277909335683236E-3</v>
      </c>
      <c r="R104" s="5">
        <f t="shared" ca="1" si="317"/>
        <v>6.3760469603531345E-3</v>
      </c>
      <c r="S104" s="5">
        <f t="shared" ca="1" si="318"/>
        <v>6.3460832646189957E-3</v>
      </c>
      <c r="T104" s="5">
        <f t="shared" ca="1" si="319"/>
        <v>6.0846661982749605E-3</v>
      </c>
      <c r="U104" s="5">
        <f t="shared" ca="1" si="320"/>
        <v>6.9182432117263042E-3</v>
      </c>
      <c r="V104" s="5">
        <f t="shared" ca="1" si="321"/>
        <v>6.4992778711495409E-3</v>
      </c>
      <c r="W104" s="5">
        <f t="shared" ca="1" si="322"/>
        <v>7.1144272985338474E-3</v>
      </c>
      <c r="X104" s="5">
        <f t="shared" ca="1" si="323"/>
        <v>6.6587775362306287E-3</v>
      </c>
      <c r="Y104" s="5">
        <f t="shared" ca="1" si="324"/>
        <v>7.4052533654856241E-3</v>
      </c>
      <c r="Z104" s="5">
        <f t="shared" ca="1" si="325"/>
        <v>7.2485289568569805E-3</v>
      </c>
      <c r="AA104" s="5">
        <f t="shared" ca="1" si="326"/>
        <v>6.80822559214464E-3</v>
      </c>
      <c r="AB104" s="5">
        <f t="shared" ca="1" si="327"/>
        <v>7.1949613566723077E-3</v>
      </c>
      <c r="AC104" s="5">
        <f t="shared" ca="1" si="328"/>
        <v>6.6730773185714274E-3</v>
      </c>
      <c r="AD104" s="5">
        <f t="shared" ca="1" si="329"/>
        <v>7.1605262414635301E-3</v>
      </c>
      <c r="AE104" s="5">
        <f t="shared" ca="1" si="330"/>
        <v>7.4408544775914865E-3</v>
      </c>
      <c r="AF104" s="5">
        <f t="shared" ca="1" si="331"/>
        <v>6.8313810113888387E-3</v>
      </c>
      <c r="AG104" s="5">
        <f t="shared" ca="1" si="332"/>
        <v>7.118017372368471E-3</v>
      </c>
      <c r="AH104" s="5">
        <f t="shared" ca="1" si="333"/>
        <v>6.4119323710560786E-3</v>
      </c>
      <c r="AI104" s="5">
        <f t="shared" ca="1" si="334"/>
        <v>7.3161524648268717E-3</v>
      </c>
      <c r="AJ104" s="5">
        <f t="shared" ca="1" si="335"/>
        <v>6.2110522456333703E-3</v>
      </c>
      <c r="AK104" s="5">
        <f t="shared" ca="1" si="336"/>
        <v>7.1038575418524621E-3</v>
      </c>
      <c r="AL104" s="5">
        <f t="shared" ca="1" si="337"/>
        <v>6.5858456550684282E-3</v>
      </c>
      <c r="AM104" s="5">
        <f t="shared" ca="1" si="338"/>
        <v>6.6414689725442632E-3</v>
      </c>
      <c r="AN104" s="5">
        <f t="shared" ca="1" si="339"/>
        <v>6.7671518437371122E-3</v>
      </c>
      <c r="AO104" s="5">
        <f t="shared" ca="1" si="340"/>
        <v>7.8371864330496911E-3</v>
      </c>
      <c r="AP104" s="5">
        <f t="shared" ca="1" si="341"/>
        <v>6.8460520605910938E-3</v>
      </c>
      <c r="AQ104" s="5">
        <f t="shared" ca="1" si="342"/>
        <v>6.1208206303676122E-3</v>
      </c>
      <c r="AR104" s="5">
        <f t="shared" ca="1" si="343"/>
        <v>6.8128668899313759E-3</v>
      </c>
      <c r="AS104" s="5">
        <f t="shared" ca="1" si="344"/>
        <v>6.8304913158858185E-3</v>
      </c>
      <c r="AT104" s="5">
        <f t="shared" ca="1" si="345"/>
        <v>6.1087224915423143E-3</v>
      </c>
      <c r="AU104" s="5">
        <f t="shared" ca="1" si="346"/>
        <v>6.6339790291150211E-3</v>
      </c>
      <c r="AV104" s="5">
        <f t="shared" ca="1" si="347"/>
        <v>6.48330497452835E-3</v>
      </c>
      <c r="AW104" s="5">
        <f t="shared" ca="1" si="348"/>
        <v>7.2861701552531834E-3</v>
      </c>
      <c r="AX104" s="5">
        <f t="shared" ca="1" si="349"/>
        <v>6.4934032528956367E-3</v>
      </c>
      <c r="AY104" s="5">
        <f t="shared" ca="1" si="350"/>
        <v>6.8845854085015671E-3</v>
      </c>
      <c r="AZ104" s="5">
        <f t="shared" ca="1" si="351"/>
        <v>7.5455092774091292E-3</v>
      </c>
      <c r="BA104" s="5">
        <f t="shared" ca="1" si="352"/>
        <v>6.729713449649068E-3</v>
      </c>
      <c r="BB104" s="5">
        <f t="shared" ca="1" si="353"/>
        <v>6.7291286987417685E-3</v>
      </c>
      <c r="BC104" s="5">
        <f t="shared" ca="1" si="354"/>
        <v>7.1093444034066788E-3</v>
      </c>
      <c r="BD104" s="5">
        <f t="shared" ca="1" si="355"/>
        <v>6.8440601413271886E-3</v>
      </c>
      <c r="BE104" s="5">
        <f t="shared" ca="1" si="356"/>
        <v>7.7355078051940642E-3</v>
      </c>
      <c r="BF104" s="5">
        <f t="shared" ca="1" si="357"/>
        <v>6.8214553980149124E-3</v>
      </c>
      <c r="BG104" s="5">
        <f t="shared" ca="1" si="358"/>
        <v>6.9817074880967464E-3</v>
      </c>
      <c r="BH104" s="5">
        <f t="shared" ca="1" si="359"/>
        <v>6.4044469778816466E-3</v>
      </c>
      <c r="BI104" s="5">
        <f t="shared" ca="1" si="360"/>
        <v>7.5093842324454943E-3</v>
      </c>
      <c r="BJ104" s="5">
        <f t="shared" ca="1" si="361"/>
        <v>7.1746725287518609E-3</v>
      </c>
      <c r="BK104" s="5">
        <f t="shared" ca="1" si="362"/>
        <v>7.4195473583239992E-3</v>
      </c>
      <c r="BL104" s="5">
        <f t="shared" ca="1" si="363"/>
        <v>7.0895060899257255E-3</v>
      </c>
      <c r="BM104" s="5">
        <f t="shared" ca="1" si="364"/>
        <v>6.6694643276412379E-3</v>
      </c>
      <c r="BN104" s="5">
        <f t="shared" ca="1" si="365"/>
        <v>6.6431349677940343E-3</v>
      </c>
      <c r="BO104" s="5">
        <f t="shared" ca="1" si="366"/>
        <v>7.1784634905696755E-3</v>
      </c>
      <c r="BP104" s="5">
        <f t="shared" ca="1" si="367"/>
        <v>6.8021715007498098E-3</v>
      </c>
      <c r="BQ104" s="5">
        <f t="shared" ca="1" si="368"/>
        <v>6.3232057131306068E-3</v>
      </c>
      <c r="BR104" s="5">
        <f t="shared" ca="1" si="369"/>
        <v>6.8279004709306543E-3</v>
      </c>
      <c r="BS104" s="5">
        <f t="shared" ca="1" si="370"/>
        <v>6.8691570918050504E-3</v>
      </c>
      <c r="BT104" s="5">
        <f t="shared" ca="1" si="371"/>
        <v>6.7916410081258977E-3</v>
      </c>
      <c r="BU104" s="5">
        <f t="shared" ca="1" si="372"/>
        <v>6.6656424410424372E-3</v>
      </c>
      <c r="BV104" s="5">
        <f t="shared" ca="1" si="373"/>
        <v>6.6849236503456018E-3</v>
      </c>
      <c r="BW104" s="5">
        <f t="shared" ca="1" si="374"/>
        <v>6.8667462337140481E-3</v>
      </c>
      <c r="BX104" s="5">
        <f t="shared" ca="1" si="375"/>
        <v>7.3105268687001373E-3</v>
      </c>
      <c r="BY104" s="5">
        <f t="shared" ca="1" si="376"/>
        <v>6.4333083557674897E-3</v>
      </c>
      <c r="BZ104" s="5">
        <f t="shared" ca="1" si="377"/>
        <v>6.9271203044235516E-3</v>
      </c>
      <c r="CA104" s="5">
        <f t="shared" ca="1" si="378"/>
        <v>6.2391513701650228E-3</v>
      </c>
      <c r="CB104" s="5">
        <f t="shared" ca="1" si="379"/>
        <v>6.8897347496549187E-3</v>
      </c>
      <c r="CC104" s="5">
        <f t="shared" ca="1" si="380"/>
        <v>6.5630158095741778E-3</v>
      </c>
      <c r="CD104" s="5">
        <f t="shared" ca="1" si="381"/>
        <v>7.0949991278671191E-3</v>
      </c>
      <c r="CE104" s="5">
        <f t="shared" ca="1" si="382"/>
        <v>6.5812509920066568E-3</v>
      </c>
      <c r="CF104" s="5">
        <f t="shared" ca="1" si="383"/>
        <v>7.0683788675025318E-3</v>
      </c>
      <c r="CG104" s="5">
        <f t="shared" ca="1" si="384"/>
        <v>6.6857621894595154E-3</v>
      </c>
      <c r="CH104" s="5">
        <f t="shared" ca="1" si="385"/>
        <v>6.1061368707465546E-3</v>
      </c>
      <c r="CI104" s="5">
        <f t="shared" ca="1" si="386"/>
        <v>7.3849650645299962E-3</v>
      </c>
      <c r="CJ104" s="5">
        <f t="shared" ca="1" si="387"/>
        <v>7.0050696315958685E-3</v>
      </c>
      <c r="CK104" s="5">
        <f t="shared" ca="1" si="388"/>
        <v>7.195363096255996E-3</v>
      </c>
      <c r="CL104" s="5">
        <f t="shared" ca="1" si="389"/>
        <v>7.4099884162160895E-3</v>
      </c>
      <c r="CM104" s="5">
        <f t="shared" ca="1" si="390"/>
        <v>7.142656674406089E-3</v>
      </c>
      <c r="CN104" s="5">
        <f t="shared" ca="1" si="391"/>
        <v>6.7591160335670102E-3</v>
      </c>
      <c r="CO104" s="5">
        <f t="shared" ca="1" si="392"/>
        <v>7.1184716183089981E-3</v>
      </c>
      <c r="CP104" s="5">
        <f t="shared" ca="1" si="393"/>
        <v>6.448635265875741E-3</v>
      </c>
      <c r="CQ104" s="5">
        <f t="shared" ca="1" si="394"/>
        <v>7.4747498399621989E-3</v>
      </c>
      <c r="CR104" s="5">
        <f t="shared" ca="1" si="395"/>
        <v>6.8987897731817181E-3</v>
      </c>
      <c r="CS104" s="5">
        <f t="shared" ca="1" si="396"/>
        <v>6.8648925364547661E-3</v>
      </c>
      <c r="CT104" s="5">
        <f t="shared" ca="1" si="397"/>
        <v>7.344734243717334E-3</v>
      </c>
      <c r="CU104" s="5">
        <f t="shared" ca="1" si="398"/>
        <v>6.4544403825895673E-3</v>
      </c>
      <c r="CV104" s="5">
        <f t="shared" ca="1" si="399"/>
        <v>7.0594020756921299E-3</v>
      </c>
      <c r="CW104" s="5">
        <f t="shared" ca="1" si="400"/>
        <v>6.920031323021633E-3</v>
      </c>
      <c r="CX104" s="5">
        <f t="shared" ca="1" si="401"/>
        <v>6.8514112600644717E-3</v>
      </c>
      <c r="CY104" s="5">
        <f t="shared" ca="1" si="402"/>
        <v>6.7709164976489083E-3</v>
      </c>
      <c r="CZ104" s="5">
        <f t="shared" ca="1" si="403"/>
        <v>6.0454298093494422E-3</v>
      </c>
      <c r="DA104" s="5">
        <f t="shared" ca="1" si="404"/>
        <v>6.8810184432587032E-3</v>
      </c>
      <c r="DB104" s="5">
        <f t="shared" ca="1" si="405"/>
        <v>6.8986256182781997E-3</v>
      </c>
      <c r="DC104" s="5">
        <f t="shared" ca="1" si="406"/>
        <v>6.9582110143934636E-3</v>
      </c>
      <c r="DD104" s="5">
        <f t="shared" ca="1" si="407"/>
        <v>6.7704299714083302E-3</v>
      </c>
      <c r="DE104" s="5">
        <f t="shared" ca="1" si="408"/>
        <v>6.7805341002111757E-3</v>
      </c>
      <c r="DF104" s="5">
        <f t="shared" ca="1" si="409"/>
        <v>6.7072709554418849E-3</v>
      </c>
      <c r="DG104" s="5">
        <f t="shared" ca="1" si="410"/>
        <v>6.632691794835866E-3</v>
      </c>
      <c r="DH104" s="5">
        <f t="shared" ca="1" si="411"/>
        <v>7.1408254101207403E-3</v>
      </c>
      <c r="DI104" s="5">
        <f t="shared" ca="1" si="412"/>
        <v>7.0723356634514196E-3</v>
      </c>
      <c r="DJ104" s="5">
        <f t="shared" ca="1" si="413"/>
        <v>6.9536018952435366E-3</v>
      </c>
    </row>
    <row r="105" spans="5:114" x14ac:dyDescent="0.2">
      <c r="E105" s="32">
        <v>47665</v>
      </c>
      <c r="F105" s="9">
        <v>3844.2254781665279</v>
      </c>
      <c r="G105" s="5">
        <f t="shared" ca="1" si="311"/>
        <v>-2.8288141758983192E-2</v>
      </c>
      <c r="H105" s="5">
        <f t="shared" ca="1" si="312"/>
        <v>6.5450927212646103E-3</v>
      </c>
      <c r="I105" s="9">
        <f t="shared" ca="1" si="313"/>
        <v>291678.11174715951</v>
      </c>
      <c r="K105" s="36">
        <v>101</v>
      </c>
      <c r="N105" s="32">
        <v>47635</v>
      </c>
      <c r="O105" s="5">
        <f t="shared" ca="1" si="314"/>
        <v>7.2637400655910225E-3</v>
      </c>
      <c r="P105" s="5">
        <f t="shared" ca="1" si="315"/>
        <v>6.9109885933289015E-3</v>
      </c>
      <c r="Q105" s="5">
        <f t="shared" ca="1" si="316"/>
        <v>6.7927396080033342E-3</v>
      </c>
      <c r="R105" s="5">
        <f t="shared" ca="1" si="317"/>
        <v>6.3638531297551901E-3</v>
      </c>
      <c r="S105" s="5">
        <f t="shared" ca="1" si="318"/>
        <v>6.3637006195680374E-3</v>
      </c>
      <c r="T105" s="5">
        <f t="shared" ca="1" si="319"/>
        <v>6.0478038962736326E-3</v>
      </c>
      <c r="U105" s="5">
        <f t="shared" ca="1" si="320"/>
        <v>6.9230368294566583E-3</v>
      </c>
      <c r="V105" s="5">
        <f t="shared" ca="1" si="321"/>
        <v>6.430551527764606E-3</v>
      </c>
      <c r="W105" s="5">
        <f t="shared" ca="1" si="322"/>
        <v>7.0813500607904483E-3</v>
      </c>
      <c r="X105" s="5">
        <f t="shared" ca="1" si="323"/>
        <v>6.6521292003725481E-3</v>
      </c>
      <c r="Y105" s="5">
        <f t="shared" ca="1" si="324"/>
        <v>7.4032978564698903E-3</v>
      </c>
      <c r="Z105" s="5">
        <f t="shared" ca="1" si="325"/>
        <v>7.2474774157559874E-3</v>
      </c>
      <c r="AA105" s="5">
        <f t="shared" ca="1" si="326"/>
        <v>6.8788291997663341E-3</v>
      </c>
      <c r="AB105" s="5">
        <f t="shared" ca="1" si="327"/>
        <v>7.204848468743987E-3</v>
      </c>
      <c r="AC105" s="5">
        <f t="shared" ca="1" si="328"/>
        <v>6.7048428639876643E-3</v>
      </c>
      <c r="AD105" s="5">
        <f t="shared" ca="1" si="329"/>
        <v>7.1808615379741498E-3</v>
      </c>
      <c r="AE105" s="5">
        <f t="shared" ca="1" si="330"/>
        <v>7.4966230365596416E-3</v>
      </c>
      <c r="AF105" s="5">
        <f t="shared" ca="1" si="331"/>
        <v>6.8229972159706276E-3</v>
      </c>
      <c r="AG105" s="5">
        <f t="shared" ca="1" si="332"/>
        <v>7.0870923043184347E-3</v>
      </c>
      <c r="AH105" s="5">
        <f t="shared" ca="1" si="333"/>
        <v>6.4243893613097867E-3</v>
      </c>
      <c r="AI105" s="5">
        <f t="shared" ca="1" si="334"/>
        <v>7.271106905187506E-3</v>
      </c>
      <c r="AJ105" s="5">
        <f t="shared" ca="1" si="335"/>
        <v>6.2473506084477024E-3</v>
      </c>
      <c r="AK105" s="5">
        <f t="shared" ca="1" si="336"/>
        <v>7.1102213635225861E-3</v>
      </c>
      <c r="AL105" s="5">
        <f t="shared" ca="1" si="337"/>
        <v>6.5353462982745796E-3</v>
      </c>
      <c r="AM105" s="5">
        <f t="shared" ca="1" si="338"/>
        <v>6.6757108548267758E-3</v>
      </c>
      <c r="AN105" s="5">
        <f t="shared" ca="1" si="339"/>
        <v>6.7642311650804822E-3</v>
      </c>
      <c r="AO105" s="5">
        <f t="shared" ca="1" si="340"/>
        <v>7.8645883684507444E-3</v>
      </c>
      <c r="AP105" s="5">
        <f t="shared" ca="1" si="341"/>
        <v>6.8074010525141235E-3</v>
      </c>
      <c r="AQ105" s="5">
        <f t="shared" ca="1" si="342"/>
        <v>6.1271695191760173E-3</v>
      </c>
      <c r="AR105" s="5">
        <f t="shared" ca="1" si="343"/>
        <v>6.8088228125054093E-3</v>
      </c>
      <c r="AS105" s="5">
        <f t="shared" ca="1" si="344"/>
        <v>6.8078542707120668E-3</v>
      </c>
      <c r="AT105" s="5">
        <f t="shared" ca="1" si="345"/>
        <v>6.0775626806807738E-3</v>
      </c>
      <c r="AU105" s="5">
        <f t="shared" ca="1" si="346"/>
        <v>6.7167415880791505E-3</v>
      </c>
      <c r="AV105" s="5">
        <f t="shared" ca="1" si="347"/>
        <v>6.4487329174625838E-3</v>
      </c>
      <c r="AW105" s="5">
        <f t="shared" ca="1" si="348"/>
        <v>7.3497328222311593E-3</v>
      </c>
      <c r="AX105" s="5">
        <f t="shared" ca="1" si="349"/>
        <v>6.4706358823932641E-3</v>
      </c>
      <c r="AY105" s="5">
        <f t="shared" ca="1" si="350"/>
        <v>6.8274155421051957E-3</v>
      </c>
      <c r="AZ105" s="5">
        <f t="shared" ca="1" si="351"/>
        <v>7.5697881323380269E-3</v>
      </c>
      <c r="BA105" s="5">
        <f t="shared" ca="1" si="352"/>
        <v>6.6416870145176235E-3</v>
      </c>
      <c r="BB105" s="5">
        <f t="shared" ca="1" si="353"/>
        <v>6.7160983102496196E-3</v>
      </c>
      <c r="BC105" s="5">
        <f t="shared" ca="1" si="354"/>
        <v>7.090846356260329E-3</v>
      </c>
      <c r="BD105" s="5">
        <f t="shared" ca="1" si="355"/>
        <v>6.7981320670349359E-3</v>
      </c>
      <c r="BE105" s="5">
        <f t="shared" ca="1" si="356"/>
        <v>7.7061460844057954E-3</v>
      </c>
      <c r="BF105" s="5">
        <f t="shared" ca="1" si="357"/>
        <v>6.8650075778515117E-3</v>
      </c>
      <c r="BG105" s="5">
        <f t="shared" ca="1" si="358"/>
        <v>6.9979164839730724E-3</v>
      </c>
      <c r="BH105" s="5">
        <f t="shared" ca="1" si="359"/>
        <v>6.4425877739489584E-3</v>
      </c>
      <c r="BI105" s="5">
        <f t="shared" ca="1" si="360"/>
        <v>7.4036222617660926E-3</v>
      </c>
      <c r="BJ105" s="5">
        <f t="shared" ca="1" si="361"/>
        <v>7.1978091715416605E-3</v>
      </c>
      <c r="BK105" s="5">
        <f t="shared" ca="1" si="362"/>
        <v>7.4951233749563006E-3</v>
      </c>
      <c r="BL105" s="5">
        <f t="shared" ca="1" si="363"/>
        <v>7.1377560390253102E-3</v>
      </c>
      <c r="BM105" s="5">
        <f t="shared" ca="1" si="364"/>
        <v>6.7097866463554203E-3</v>
      </c>
      <c r="BN105" s="5">
        <f t="shared" ca="1" si="365"/>
        <v>6.6468224664616203E-3</v>
      </c>
      <c r="BO105" s="5">
        <f t="shared" ca="1" si="366"/>
        <v>7.1608638052727902E-3</v>
      </c>
      <c r="BP105" s="5">
        <f t="shared" ca="1" si="367"/>
        <v>6.8010192793199024E-3</v>
      </c>
      <c r="BQ105" s="5">
        <f t="shared" ca="1" si="368"/>
        <v>6.3229133905973534E-3</v>
      </c>
      <c r="BR105" s="5">
        <f t="shared" ca="1" si="369"/>
        <v>6.8941013937242742E-3</v>
      </c>
      <c r="BS105" s="5">
        <f t="shared" ca="1" si="370"/>
        <v>6.8458549095929714E-3</v>
      </c>
      <c r="BT105" s="5">
        <f t="shared" ca="1" si="371"/>
        <v>6.8767073506433357E-3</v>
      </c>
      <c r="BU105" s="5">
        <f t="shared" ca="1" si="372"/>
        <v>6.6097006617827428E-3</v>
      </c>
      <c r="BV105" s="5">
        <f t="shared" ca="1" si="373"/>
        <v>6.6733436676567476E-3</v>
      </c>
      <c r="BW105" s="5">
        <f t="shared" ca="1" si="374"/>
        <v>6.8517220973526357E-3</v>
      </c>
      <c r="BX105" s="5">
        <f t="shared" ca="1" si="375"/>
        <v>7.2652976399336803E-3</v>
      </c>
      <c r="BY105" s="5">
        <f t="shared" ca="1" si="376"/>
        <v>6.4094796402236909E-3</v>
      </c>
      <c r="BZ105" s="5">
        <f t="shared" ca="1" si="377"/>
        <v>6.913587871827589E-3</v>
      </c>
      <c r="CA105" s="5">
        <f t="shared" ca="1" si="378"/>
        <v>6.2281308616264726E-3</v>
      </c>
      <c r="CB105" s="5">
        <f t="shared" ca="1" si="379"/>
        <v>6.8966270717715676E-3</v>
      </c>
      <c r="CC105" s="5">
        <f t="shared" ca="1" si="380"/>
        <v>6.5981339530606486E-3</v>
      </c>
      <c r="CD105" s="5">
        <f t="shared" ca="1" si="381"/>
        <v>7.0859219900180287E-3</v>
      </c>
      <c r="CE105" s="5">
        <f t="shared" ca="1" si="382"/>
        <v>6.6419764410928801E-3</v>
      </c>
      <c r="CF105" s="5">
        <f t="shared" ca="1" si="383"/>
        <v>7.0951800136372411E-3</v>
      </c>
      <c r="CG105" s="5">
        <f t="shared" ca="1" si="384"/>
        <v>6.7432556196374612E-3</v>
      </c>
      <c r="CH105" s="5">
        <f t="shared" ca="1" si="385"/>
        <v>6.1114898494663327E-3</v>
      </c>
      <c r="CI105" s="5">
        <f t="shared" ca="1" si="386"/>
        <v>7.3617392789429607E-3</v>
      </c>
      <c r="CJ105" s="5">
        <f t="shared" ca="1" si="387"/>
        <v>7.0766986031215893E-3</v>
      </c>
      <c r="CK105" s="5">
        <f t="shared" ca="1" si="388"/>
        <v>7.1864770466999036E-3</v>
      </c>
      <c r="CL105" s="5">
        <f t="shared" ca="1" si="389"/>
        <v>7.4129827805962667E-3</v>
      </c>
      <c r="CM105" s="5">
        <f t="shared" ca="1" si="390"/>
        <v>7.0984327921172589E-3</v>
      </c>
      <c r="CN105" s="5">
        <f t="shared" ca="1" si="391"/>
        <v>6.7438099735940621E-3</v>
      </c>
      <c r="CO105" s="5">
        <f t="shared" ca="1" si="392"/>
        <v>7.095230158392897E-3</v>
      </c>
      <c r="CP105" s="5">
        <f t="shared" ca="1" si="393"/>
        <v>6.3781214796874448E-3</v>
      </c>
      <c r="CQ105" s="5">
        <f t="shared" ca="1" si="394"/>
        <v>7.5176854927269544E-3</v>
      </c>
      <c r="CR105" s="5">
        <f t="shared" ca="1" si="395"/>
        <v>6.9325942365133179E-3</v>
      </c>
      <c r="CS105" s="5">
        <f t="shared" ca="1" si="396"/>
        <v>6.8618705389861603E-3</v>
      </c>
      <c r="CT105" s="5">
        <f t="shared" ca="1" si="397"/>
        <v>7.2573853331060088E-3</v>
      </c>
      <c r="CU105" s="5">
        <f t="shared" ca="1" si="398"/>
        <v>6.4893403858864961E-3</v>
      </c>
      <c r="CV105" s="5">
        <f t="shared" ca="1" si="399"/>
        <v>7.047140861051699E-3</v>
      </c>
      <c r="CW105" s="5">
        <f t="shared" ca="1" si="400"/>
        <v>6.9181977077290074E-3</v>
      </c>
      <c r="CX105" s="5">
        <f t="shared" ca="1" si="401"/>
        <v>6.8343699526371886E-3</v>
      </c>
      <c r="CY105" s="5">
        <f t="shared" ca="1" si="402"/>
        <v>6.8014794568275862E-3</v>
      </c>
      <c r="CZ105" s="5">
        <f t="shared" ca="1" si="403"/>
        <v>5.9689685194916353E-3</v>
      </c>
      <c r="DA105" s="5">
        <f t="shared" ca="1" si="404"/>
        <v>6.8179367751765143E-3</v>
      </c>
      <c r="DB105" s="5">
        <f t="shared" ca="1" si="405"/>
        <v>6.8370326631267703E-3</v>
      </c>
      <c r="DC105" s="5">
        <f t="shared" ca="1" si="406"/>
        <v>7.0281450826656881E-3</v>
      </c>
      <c r="DD105" s="5">
        <f t="shared" ca="1" si="407"/>
        <v>6.7496636292651933E-3</v>
      </c>
      <c r="DE105" s="5">
        <f t="shared" ca="1" si="408"/>
        <v>6.8588028586323152E-3</v>
      </c>
      <c r="DF105" s="5">
        <f t="shared" ca="1" si="409"/>
        <v>6.7275633209451209E-3</v>
      </c>
      <c r="DG105" s="5">
        <f t="shared" ca="1" si="410"/>
        <v>6.6846860450400737E-3</v>
      </c>
      <c r="DH105" s="5">
        <f t="shared" ca="1" si="411"/>
        <v>7.2308938950621923E-3</v>
      </c>
      <c r="DI105" s="5">
        <f t="shared" ca="1" si="412"/>
        <v>7.1346539429845918E-3</v>
      </c>
      <c r="DJ105" s="5">
        <f t="shared" ca="1" si="413"/>
        <v>7.0596796237523771E-3</v>
      </c>
    </row>
    <row r="106" spans="5:114" x14ac:dyDescent="0.2">
      <c r="E106" s="32">
        <v>47696</v>
      </c>
      <c r="F106" s="9">
        <v>3844.2254781665279</v>
      </c>
      <c r="G106" s="5">
        <f t="shared" ca="1" si="311"/>
        <v>-4.3159505615754046E-2</v>
      </c>
      <c r="H106" s="5">
        <f t="shared" ca="1" si="312"/>
        <v>6.5352836216593805E-3</v>
      </c>
      <c r="I106" s="9">
        <f t="shared" ca="1" si="313"/>
        <v>295681.23042077769</v>
      </c>
      <c r="K106" s="36">
        <v>102</v>
      </c>
      <c r="N106" s="32">
        <v>47665</v>
      </c>
      <c r="O106" s="5">
        <f t="shared" ca="1" si="314"/>
        <v>7.2881465668662724E-3</v>
      </c>
      <c r="P106" s="5">
        <f t="shared" ca="1" si="315"/>
        <v>6.8787868716627112E-3</v>
      </c>
      <c r="Q106" s="5">
        <f t="shared" ca="1" si="316"/>
        <v>6.8344800560674896E-3</v>
      </c>
      <c r="R106" s="5">
        <f t="shared" ca="1" si="317"/>
        <v>6.3797382590751808E-3</v>
      </c>
      <c r="S106" s="5">
        <f t="shared" ca="1" si="318"/>
        <v>6.4537375611546299E-3</v>
      </c>
      <c r="T106" s="5">
        <f t="shared" ca="1" si="319"/>
        <v>6.0826882080125448E-3</v>
      </c>
      <c r="U106" s="5">
        <f t="shared" ca="1" si="320"/>
        <v>6.9611219228007566E-3</v>
      </c>
      <c r="V106" s="5">
        <f t="shared" ca="1" si="321"/>
        <v>6.3721973255374872E-3</v>
      </c>
      <c r="W106" s="5">
        <f t="shared" ca="1" si="322"/>
        <v>7.0675209683792942E-3</v>
      </c>
      <c r="X106" s="5">
        <f t="shared" ca="1" si="323"/>
        <v>6.6503070793280505E-3</v>
      </c>
      <c r="Y106" s="5">
        <f t="shared" ca="1" si="324"/>
        <v>7.3901379951648817E-3</v>
      </c>
      <c r="Z106" s="5">
        <f t="shared" ca="1" si="325"/>
        <v>7.2313223632037979E-3</v>
      </c>
      <c r="AA106" s="5">
        <f t="shared" ca="1" si="326"/>
        <v>6.9604237453770286E-3</v>
      </c>
      <c r="AB106" s="5">
        <f t="shared" ca="1" si="327"/>
        <v>7.2684408738359699E-3</v>
      </c>
      <c r="AC106" s="5">
        <f t="shared" ca="1" si="328"/>
        <v>6.6756643851230016E-3</v>
      </c>
      <c r="AD106" s="5">
        <f t="shared" ca="1" si="329"/>
        <v>7.1656382843406216E-3</v>
      </c>
      <c r="AE106" s="5">
        <f t="shared" ca="1" si="330"/>
        <v>7.5158041997663563E-3</v>
      </c>
      <c r="AF106" s="5">
        <f t="shared" ca="1" si="331"/>
        <v>6.8084922689869831E-3</v>
      </c>
      <c r="AG106" s="5">
        <f t="shared" ca="1" si="332"/>
        <v>7.0696827351567869E-3</v>
      </c>
      <c r="AH106" s="5">
        <f t="shared" ca="1" si="333"/>
        <v>6.4935646286852968E-3</v>
      </c>
      <c r="AI106" s="5">
        <f t="shared" ca="1" si="334"/>
        <v>7.2886638105154247E-3</v>
      </c>
      <c r="AJ106" s="5">
        <f t="shared" ca="1" si="335"/>
        <v>6.2605205066853138E-3</v>
      </c>
      <c r="AK106" s="5">
        <f t="shared" ca="1" si="336"/>
        <v>7.1122234196673928E-3</v>
      </c>
      <c r="AL106" s="5">
        <f t="shared" ca="1" si="337"/>
        <v>6.4881023734488135E-3</v>
      </c>
      <c r="AM106" s="5">
        <f t="shared" ca="1" si="338"/>
        <v>6.6367573280395019E-3</v>
      </c>
      <c r="AN106" s="5">
        <f t="shared" ca="1" si="339"/>
        <v>6.7378867926301302E-3</v>
      </c>
      <c r="AO106" s="5">
        <f t="shared" ca="1" si="340"/>
        <v>7.7851289891432401E-3</v>
      </c>
      <c r="AP106" s="5">
        <f t="shared" ca="1" si="341"/>
        <v>6.7904823444246551E-3</v>
      </c>
      <c r="AQ106" s="5">
        <f t="shared" ca="1" si="342"/>
        <v>6.1392385706987851E-3</v>
      </c>
      <c r="AR106" s="5">
        <f t="shared" ca="1" si="343"/>
        <v>6.8465492775105037E-3</v>
      </c>
      <c r="AS106" s="5">
        <f t="shared" ca="1" si="344"/>
        <v>6.8021187641838995E-3</v>
      </c>
      <c r="AT106" s="5">
        <f t="shared" ca="1" si="345"/>
        <v>6.1569580947926006E-3</v>
      </c>
      <c r="AU106" s="5">
        <f t="shared" ca="1" si="346"/>
        <v>6.7396491055419627E-3</v>
      </c>
      <c r="AV106" s="5">
        <f t="shared" ca="1" si="347"/>
        <v>6.4335002219184836E-3</v>
      </c>
      <c r="AW106" s="5">
        <f t="shared" ca="1" si="348"/>
        <v>7.2983284248413077E-3</v>
      </c>
      <c r="AX106" s="5">
        <f t="shared" ca="1" si="349"/>
        <v>6.540913956732764E-3</v>
      </c>
      <c r="AY106" s="5">
        <f t="shared" ca="1" si="350"/>
        <v>6.8443889119090265E-3</v>
      </c>
      <c r="AZ106" s="5">
        <f t="shared" ca="1" si="351"/>
        <v>7.5885054070263334E-3</v>
      </c>
      <c r="BA106" s="5">
        <f t="shared" ca="1" si="352"/>
        <v>6.5787137839081701E-3</v>
      </c>
      <c r="BB106" s="5">
        <f t="shared" ca="1" si="353"/>
        <v>6.7197941041812724E-3</v>
      </c>
      <c r="BC106" s="5">
        <f t="shared" ca="1" si="354"/>
        <v>7.0668661395038327E-3</v>
      </c>
      <c r="BD106" s="5">
        <f t="shared" ca="1" si="355"/>
        <v>6.8655211908169207E-3</v>
      </c>
      <c r="BE106" s="5">
        <f t="shared" ca="1" si="356"/>
        <v>7.6920470121984094E-3</v>
      </c>
      <c r="BF106" s="5">
        <f t="shared" ca="1" si="357"/>
        <v>6.7990601853281322E-3</v>
      </c>
      <c r="BG106" s="5">
        <f t="shared" ca="1" si="358"/>
        <v>6.9998881019268022E-3</v>
      </c>
      <c r="BH106" s="5">
        <f t="shared" ca="1" si="359"/>
        <v>6.4755003244418245E-3</v>
      </c>
      <c r="BI106" s="5">
        <f t="shared" ca="1" si="360"/>
        <v>7.3762336836249191E-3</v>
      </c>
      <c r="BJ106" s="5">
        <f t="shared" ca="1" si="361"/>
        <v>7.1578238613319743E-3</v>
      </c>
      <c r="BK106" s="5">
        <f t="shared" ca="1" si="362"/>
        <v>7.4585790377849409E-3</v>
      </c>
      <c r="BL106" s="5">
        <f t="shared" ca="1" si="363"/>
        <v>7.1398725483191429E-3</v>
      </c>
      <c r="BM106" s="5">
        <f t="shared" ca="1" si="364"/>
        <v>6.6512297758352847E-3</v>
      </c>
      <c r="BN106" s="5">
        <f t="shared" ca="1" si="365"/>
        <v>6.6258869497866357E-3</v>
      </c>
      <c r="BO106" s="5">
        <f t="shared" ca="1" si="366"/>
        <v>7.1208401976680154E-3</v>
      </c>
      <c r="BP106" s="5">
        <f t="shared" ca="1" si="367"/>
        <v>6.7424701418379749E-3</v>
      </c>
      <c r="BQ106" s="5">
        <f t="shared" ca="1" si="368"/>
        <v>6.3574946649718033E-3</v>
      </c>
      <c r="BR106" s="5">
        <f t="shared" ca="1" si="369"/>
        <v>6.8896648512876283E-3</v>
      </c>
      <c r="BS106" s="5">
        <f t="shared" ca="1" si="370"/>
        <v>6.8391757438857901E-3</v>
      </c>
      <c r="BT106" s="5">
        <f t="shared" ca="1" si="371"/>
        <v>6.8587908117439533E-3</v>
      </c>
      <c r="BU106" s="5">
        <f t="shared" ca="1" si="372"/>
        <v>6.6709311744738726E-3</v>
      </c>
      <c r="BV106" s="5">
        <f t="shared" ca="1" si="373"/>
        <v>6.7017161384612016E-3</v>
      </c>
      <c r="BW106" s="5">
        <f t="shared" ca="1" si="374"/>
        <v>6.8990495584042673E-3</v>
      </c>
      <c r="BX106" s="5">
        <f t="shared" ca="1" si="375"/>
        <v>7.2656414092485862E-3</v>
      </c>
      <c r="BY106" s="5">
        <f t="shared" ca="1" si="376"/>
        <v>6.4520615335337357E-3</v>
      </c>
      <c r="BZ106" s="5">
        <f t="shared" ca="1" si="377"/>
        <v>6.8992718303246331E-3</v>
      </c>
      <c r="CA106" s="5">
        <f t="shared" ca="1" si="378"/>
        <v>6.2042167431244286E-3</v>
      </c>
      <c r="CB106" s="5">
        <f t="shared" ca="1" si="379"/>
        <v>6.9059968905219593E-3</v>
      </c>
      <c r="CC106" s="5">
        <f t="shared" ca="1" si="380"/>
        <v>6.6498777931146349E-3</v>
      </c>
      <c r="CD106" s="5">
        <f t="shared" ca="1" si="381"/>
        <v>7.0269290905343685E-3</v>
      </c>
      <c r="CE106" s="5">
        <f t="shared" ca="1" si="382"/>
        <v>6.6403097698188871E-3</v>
      </c>
      <c r="CF106" s="5">
        <f t="shared" ca="1" si="383"/>
        <v>7.1720304445771097E-3</v>
      </c>
      <c r="CG106" s="5">
        <f t="shared" ca="1" si="384"/>
        <v>6.779295520942869E-3</v>
      </c>
      <c r="CH106" s="5">
        <f t="shared" ca="1" si="385"/>
        <v>6.1660663690593625E-3</v>
      </c>
      <c r="CI106" s="5">
        <f t="shared" ca="1" si="386"/>
        <v>7.3668000426225268E-3</v>
      </c>
      <c r="CJ106" s="5">
        <f t="shared" ca="1" si="387"/>
        <v>7.0780082107782553E-3</v>
      </c>
      <c r="CK106" s="5">
        <f t="shared" ca="1" si="388"/>
        <v>7.2104490018335228E-3</v>
      </c>
      <c r="CL106" s="5">
        <f t="shared" ca="1" si="389"/>
        <v>7.4856665978214462E-3</v>
      </c>
      <c r="CM106" s="5">
        <f t="shared" ca="1" si="390"/>
        <v>7.0533854695191255E-3</v>
      </c>
      <c r="CN106" s="5">
        <f t="shared" ca="1" si="391"/>
        <v>6.7125447409252083E-3</v>
      </c>
      <c r="CO106" s="5">
        <f t="shared" ca="1" si="392"/>
        <v>7.1641883570364552E-3</v>
      </c>
      <c r="CP106" s="5">
        <f t="shared" ca="1" si="393"/>
        <v>6.4295561881253837E-3</v>
      </c>
      <c r="CQ106" s="5">
        <f t="shared" ca="1" si="394"/>
        <v>7.4781114176230776E-3</v>
      </c>
      <c r="CR106" s="5">
        <f t="shared" ca="1" si="395"/>
        <v>6.9358107090428979E-3</v>
      </c>
      <c r="CS106" s="5">
        <f t="shared" ca="1" si="396"/>
        <v>6.9223341592090605E-3</v>
      </c>
      <c r="CT106" s="5">
        <f t="shared" ca="1" si="397"/>
        <v>7.275718353133888E-3</v>
      </c>
      <c r="CU106" s="5">
        <f t="shared" ca="1" si="398"/>
        <v>6.5525922943660128E-3</v>
      </c>
      <c r="CV106" s="5">
        <f t="shared" ca="1" si="399"/>
        <v>7.0775689475456923E-3</v>
      </c>
      <c r="CW106" s="5">
        <f t="shared" ca="1" si="400"/>
        <v>6.9669802303365096E-3</v>
      </c>
      <c r="CX106" s="5">
        <f t="shared" ca="1" si="401"/>
        <v>6.8747672446917716E-3</v>
      </c>
      <c r="CY106" s="5">
        <f t="shared" ca="1" si="402"/>
        <v>6.8138424316121424E-3</v>
      </c>
      <c r="CZ106" s="5">
        <f t="shared" ca="1" si="403"/>
        <v>5.9945298581966459E-3</v>
      </c>
      <c r="DA106" s="5">
        <f t="shared" ca="1" si="404"/>
        <v>6.7536646653109352E-3</v>
      </c>
      <c r="DB106" s="5">
        <f t="shared" ca="1" si="405"/>
        <v>6.8110741514398072E-3</v>
      </c>
      <c r="DC106" s="5">
        <f t="shared" ca="1" si="406"/>
        <v>7.0454997795419078E-3</v>
      </c>
      <c r="DD106" s="5">
        <f t="shared" ca="1" si="407"/>
        <v>6.8225986709016745E-3</v>
      </c>
      <c r="DE106" s="5">
        <f t="shared" ca="1" si="408"/>
        <v>6.7758967690728965E-3</v>
      </c>
      <c r="DF106" s="5">
        <f t="shared" ca="1" si="409"/>
        <v>6.7453212275448322E-3</v>
      </c>
      <c r="DG106" s="5">
        <f t="shared" ca="1" si="410"/>
        <v>6.742956000562665E-3</v>
      </c>
      <c r="DH106" s="5">
        <f t="shared" ca="1" si="411"/>
        <v>7.2639238768655292E-3</v>
      </c>
      <c r="DI106" s="5">
        <f t="shared" ca="1" si="412"/>
        <v>7.1510518603883607E-3</v>
      </c>
      <c r="DJ106" s="5">
        <f t="shared" ca="1" si="413"/>
        <v>6.9899820455356608E-3</v>
      </c>
    </row>
    <row r="107" spans="5:114" x14ac:dyDescent="0.2">
      <c r="E107" s="32">
        <v>47727</v>
      </c>
      <c r="F107" s="9">
        <v>3844.2254781665279</v>
      </c>
      <c r="G107" s="5">
        <f t="shared" ca="1" si="311"/>
        <v>-4.5576155446647428E-2</v>
      </c>
      <c r="H107" s="5">
        <f t="shared" ca="1" si="312"/>
        <v>6.5177348782696114E-3</v>
      </c>
      <c r="I107" s="9">
        <f t="shared" ca="1" si="313"/>
        <v>299686.09717641101</v>
      </c>
      <c r="K107" s="36">
        <v>103</v>
      </c>
      <c r="N107" s="32">
        <v>47696</v>
      </c>
      <c r="O107" s="5">
        <f t="shared" ca="1" si="314"/>
        <v>7.3577473500810444E-3</v>
      </c>
      <c r="P107" s="5">
        <f t="shared" ca="1" si="315"/>
        <v>6.9691046083647495E-3</v>
      </c>
      <c r="Q107" s="5">
        <f t="shared" ca="1" si="316"/>
        <v>6.8677842367365792E-3</v>
      </c>
      <c r="R107" s="5">
        <f t="shared" ca="1" si="317"/>
        <v>6.384040415459139E-3</v>
      </c>
      <c r="S107" s="5">
        <f t="shared" ca="1" si="318"/>
        <v>6.4166421948667314E-3</v>
      </c>
      <c r="T107" s="5">
        <f t="shared" ca="1" si="319"/>
        <v>6.0851710001529787E-3</v>
      </c>
      <c r="U107" s="5">
        <f t="shared" ca="1" si="320"/>
        <v>6.9394704043552859E-3</v>
      </c>
      <c r="V107" s="5">
        <f t="shared" ca="1" si="321"/>
        <v>6.335702462402365E-3</v>
      </c>
      <c r="W107" s="5">
        <f t="shared" ca="1" si="322"/>
        <v>7.078632501917515E-3</v>
      </c>
      <c r="X107" s="5">
        <f t="shared" ca="1" si="323"/>
        <v>6.652657968127953E-3</v>
      </c>
      <c r="Y107" s="5">
        <f t="shared" ca="1" si="324"/>
        <v>7.3469258510732906E-3</v>
      </c>
      <c r="Z107" s="5">
        <f t="shared" ca="1" si="325"/>
        <v>7.2254398694878673E-3</v>
      </c>
      <c r="AA107" s="5">
        <f t="shared" ca="1" si="326"/>
        <v>6.9287958058650723E-3</v>
      </c>
      <c r="AB107" s="5">
        <f t="shared" ca="1" si="327"/>
        <v>7.3239689287510701E-3</v>
      </c>
      <c r="AC107" s="5">
        <f t="shared" ca="1" si="328"/>
        <v>6.7033213212657535E-3</v>
      </c>
      <c r="AD107" s="5">
        <f t="shared" ca="1" si="329"/>
        <v>7.0478231458825352E-3</v>
      </c>
      <c r="AE107" s="5">
        <f t="shared" ca="1" si="330"/>
        <v>7.4804475651491604E-3</v>
      </c>
      <c r="AF107" s="5">
        <f t="shared" ca="1" si="331"/>
        <v>6.7437577599949736E-3</v>
      </c>
      <c r="AG107" s="5">
        <f t="shared" ca="1" si="332"/>
        <v>7.0847730362815506E-3</v>
      </c>
      <c r="AH107" s="5">
        <f t="shared" ca="1" si="333"/>
        <v>6.5360842254934296E-3</v>
      </c>
      <c r="AI107" s="5">
        <f t="shared" ca="1" si="334"/>
        <v>7.2355772779215989E-3</v>
      </c>
      <c r="AJ107" s="5">
        <f t="shared" ca="1" si="335"/>
        <v>6.1955224229242574E-3</v>
      </c>
      <c r="AK107" s="5">
        <f t="shared" ca="1" si="336"/>
        <v>7.0415358805112236E-3</v>
      </c>
      <c r="AL107" s="5">
        <f t="shared" ca="1" si="337"/>
        <v>6.4969758446349543E-3</v>
      </c>
      <c r="AM107" s="5">
        <f t="shared" ca="1" si="338"/>
        <v>6.6223396533531733E-3</v>
      </c>
      <c r="AN107" s="5">
        <f t="shared" ca="1" si="339"/>
        <v>6.8029425888385805E-3</v>
      </c>
      <c r="AO107" s="5">
        <f t="shared" ca="1" si="340"/>
        <v>7.8036269318137418E-3</v>
      </c>
      <c r="AP107" s="5">
        <f t="shared" ca="1" si="341"/>
        <v>6.7461111065734037E-3</v>
      </c>
      <c r="AQ107" s="5">
        <f t="shared" ca="1" si="342"/>
        <v>6.1908627730705035E-3</v>
      </c>
      <c r="AR107" s="5">
        <f t="shared" ca="1" si="343"/>
        <v>6.8790999167933926E-3</v>
      </c>
      <c r="AS107" s="5">
        <f t="shared" ca="1" si="344"/>
        <v>6.8240102300690837E-3</v>
      </c>
      <c r="AT107" s="5">
        <f t="shared" ca="1" si="345"/>
        <v>6.2027442651179437E-3</v>
      </c>
      <c r="AU107" s="5">
        <f t="shared" ca="1" si="346"/>
        <v>6.8273049765440142E-3</v>
      </c>
      <c r="AV107" s="5">
        <f t="shared" ca="1" si="347"/>
        <v>6.4213059370649174E-3</v>
      </c>
      <c r="AW107" s="5">
        <f t="shared" ca="1" si="348"/>
        <v>7.2556196484171269E-3</v>
      </c>
      <c r="AX107" s="5">
        <f t="shared" ca="1" si="349"/>
        <v>6.5730353406427394E-3</v>
      </c>
      <c r="AY107" s="5">
        <f t="shared" ca="1" si="350"/>
        <v>6.8780809536005839E-3</v>
      </c>
      <c r="AZ107" s="5">
        <f t="shared" ca="1" si="351"/>
        <v>7.6243766812888773E-3</v>
      </c>
      <c r="BA107" s="5">
        <f t="shared" ca="1" si="352"/>
        <v>6.5241182304036308E-3</v>
      </c>
      <c r="BB107" s="5">
        <f t="shared" ca="1" si="353"/>
        <v>6.7169986300706554E-3</v>
      </c>
      <c r="BC107" s="5">
        <f t="shared" ca="1" si="354"/>
        <v>7.0928056562248503E-3</v>
      </c>
      <c r="BD107" s="5">
        <f t="shared" ca="1" si="355"/>
        <v>6.8725945149829696E-3</v>
      </c>
      <c r="BE107" s="5">
        <f t="shared" ca="1" si="356"/>
        <v>7.6311151475156203E-3</v>
      </c>
      <c r="BF107" s="5">
        <f t="shared" ca="1" si="357"/>
        <v>6.8006040874737704E-3</v>
      </c>
      <c r="BG107" s="5">
        <f t="shared" ca="1" si="358"/>
        <v>7.0510902775973968E-3</v>
      </c>
      <c r="BH107" s="5">
        <f t="shared" ca="1" si="359"/>
        <v>6.5207926545723565E-3</v>
      </c>
      <c r="BI107" s="5">
        <f t="shared" ca="1" si="360"/>
        <v>7.4467113036629923E-3</v>
      </c>
      <c r="BJ107" s="5">
        <f t="shared" ca="1" si="361"/>
        <v>7.1925223571953148E-3</v>
      </c>
      <c r="BK107" s="5">
        <f t="shared" ca="1" si="362"/>
        <v>7.486792937330118E-3</v>
      </c>
      <c r="BL107" s="5">
        <f t="shared" ca="1" si="363"/>
        <v>7.0976972078595673E-3</v>
      </c>
      <c r="BM107" s="5">
        <f t="shared" ca="1" si="364"/>
        <v>6.6088389390663296E-3</v>
      </c>
      <c r="BN107" s="5">
        <f t="shared" ca="1" si="365"/>
        <v>6.6251575664921011E-3</v>
      </c>
      <c r="BO107" s="5">
        <f t="shared" ca="1" si="366"/>
        <v>7.0919465373858494E-3</v>
      </c>
      <c r="BP107" s="5">
        <f t="shared" ca="1" si="367"/>
        <v>6.7193830202621581E-3</v>
      </c>
      <c r="BQ107" s="5">
        <f t="shared" ca="1" si="368"/>
        <v>6.3710202502927568E-3</v>
      </c>
      <c r="BR107" s="5">
        <f t="shared" ca="1" si="369"/>
        <v>6.8907522780567946E-3</v>
      </c>
      <c r="BS107" s="5">
        <f t="shared" ca="1" si="370"/>
        <v>6.7444308505708551E-3</v>
      </c>
      <c r="BT107" s="5">
        <f t="shared" ca="1" si="371"/>
        <v>6.8679648943357286E-3</v>
      </c>
      <c r="BU107" s="5">
        <f t="shared" ca="1" si="372"/>
        <v>6.6556143388759401E-3</v>
      </c>
      <c r="BV107" s="5">
        <f t="shared" ca="1" si="373"/>
        <v>6.699307922697093E-3</v>
      </c>
      <c r="BW107" s="5">
        <f t="shared" ca="1" si="374"/>
        <v>6.885595603535976E-3</v>
      </c>
      <c r="BX107" s="5">
        <f t="shared" ca="1" si="375"/>
        <v>7.2118858266113509E-3</v>
      </c>
      <c r="BY107" s="5">
        <f t="shared" ca="1" si="376"/>
        <v>6.4281018336571159E-3</v>
      </c>
      <c r="BZ107" s="5">
        <f t="shared" ca="1" si="377"/>
        <v>6.9302632059050767E-3</v>
      </c>
      <c r="CA107" s="5">
        <f t="shared" ca="1" si="378"/>
        <v>6.2060059687800151E-3</v>
      </c>
      <c r="CB107" s="5">
        <f t="shared" ca="1" si="379"/>
        <v>6.9955305597533511E-3</v>
      </c>
      <c r="CC107" s="5">
        <f t="shared" ca="1" si="380"/>
        <v>6.6054147265199306E-3</v>
      </c>
      <c r="CD107" s="5">
        <f t="shared" ca="1" si="381"/>
        <v>7.0526925072557098E-3</v>
      </c>
      <c r="CE107" s="5">
        <f t="shared" ca="1" si="382"/>
        <v>6.6524043160361354E-3</v>
      </c>
      <c r="CF107" s="5">
        <f t="shared" ca="1" si="383"/>
        <v>7.1886576230413488E-3</v>
      </c>
      <c r="CG107" s="5">
        <f t="shared" ca="1" si="384"/>
        <v>6.8185785237682706E-3</v>
      </c>
      <c r="CH107" s="5">
        <f t="shared" ca="1" si="385"/>
        <v>6.1706217323280214E-3</v>
      </c>
      <c r="CI107" s="5">
        <f t="shared" ca="1" si="386"/>
        <v>7.3704901783608499E-3</v>
      </c>
      <c r="CJ107" s="5">
        <f t="shared" ca="1" si="387"/>
        <v>7.0700617470109833E-3</v>
      </c>
      <c r="CK107" s="5">
        <f t="shared" ca="1" si="388"/>
        <v>7.2305096538520242E-3</v>
      </c>
      <c r="CL107" s="5">
        <f t="shared" ca="1" si="389"/>
        <v>7.4761561534010344E-3</v>
      </c>
      <c r="CM107" s="5">
        <f t="shared" ca="1" si="390"/>
        <v>7.0957807635199195E-3</v>
      </c>
      <c r="CN107" s="5">
        <f t="shared" ca="1" si="391"/>
        <v>6.7534676144471867E-3</v>
      </c>
      <c r="CO107" s="5">
        <f t="shared" ca="1" si="392"/>
        <v>7.1544380463334631E-3</v>
      </c>
      <c r="CP107" s="5">
        <f t="shared" ca="1" si="393"/>
        <v>6.3259828413277817E-3</v>
      </c>
      <c r="CQ107" s="5">
        <f t="shared" ca="1" si="394"/>
        <v>7.573232737825889E-3</v>
      </c>
      <c r="CR107" s="5">
        <f t="shared" ca="1" si="395"/>
        <v>6.9331696046195752E-3</v>
      </c>
      <c r="CS107" s="5">
        <f t="shared" ca="1" si="396"/>
        <v>6.9488761190934518E-3</v>
      </c>
      <c r="CT107" s="5">
        <f t="shared" ca="1" si="397"/>
        <v>7.2346786674371477E-3</v>
      </c>
      <c r="CU107" s="5">
        <f t="shared" ca="1" si="398"/>
        <v>6.5269937259082762E-3</v>
      </c>
      <c r="CV107" s="5">
        <f t="shared" ca="1" si="399"/>
        <v>7.0957769975161754E-3</v>
      </c>
      <c r="CW107" s="5">
        <f t="shared" ca="1" si="400"/>
        <v>6.9059401579039392E-3</v>
      </c>
      <c r="CX107" s="5">
        <f t="shared" ca="1" si="401"/>
        <v>6.8374568579410667E-3</v>
      </c>
      <c r="CY107" s="5">
        <f t="shared" ca="1" si="402"/>
        <v>6.8098421989167181E-3</v>
      </c>
      <c r="CZ107" s="5">
        <f t="shared" ca="1" si="403"/>
        <v>6.0354818594896458E-3</v>
      </c>
      <c r="DA107" s="5">
        <f t="shared" ca="1" si="404"/>
        <v>6.7251662236286897E-3</v>
      </c>
      <c r="DB107" s="5">
        <f t="shared" ca="1" si="405"/>
        <v>6.8645788744948451E-3</v>
      </c>
      <c r="DC107" s="5">
        <f t="shared" ca="1" si="406"/>
        <v>6.9902590695718886E-3</v>
      </c>
      <c r="DD107" s="5">
        <f t="shared" ca="1" si="407"/>
        <v>6.8217139968046727E-3</v>
      </c>
      <c r="DE107" s="5">
        <f t="shared" ca="1" si="408"/>
        <v>6.7716814540228374E-3</v>
      </c>
      <c r="DF107" s="5">
        <f t="shared" ca="1" si="409"/>
        <v>6.6963564149856141E-3</v>
      </c>
      <c r="DG107" s="5">
        <f t="shared" ca="1" si="410"/>
        <v>6.7631132450370985E-3</v>
      </c>
      <c r="DH107" s="5">
        <f t="shared" ca="1" si="411"/>
        <v>7.2932589198081588E-3</v>
      </c>
      <c r="DI107" s="5">
        <f t="shared" ca="1" si="412"/>
        <v>7.1512889907950281E-3</v>
      </c>
      <c r="DJ107" s="5">
        <f t="shared" ca="1" si="413"/>
        <v>7.0064517137015695E-3</v>
      </c>
    </row>
    <row r="108" spans="5:114" x14ac:dyDescent="0.2">
      <c r="E108" s="32">
        <v>47757</v>
      </c>
      <c r="F108" s="9">
        <v>3844.2254781665279</v>
      </c>
      <c r="G108" s="5">
        <f t="shared" ca="1" si="311"/>
        <v>-8.9057462948429644E-2</v>
      </c>
      <c r="H108" s="5">
        <f t="shared" ca="1" si="312"/>
        <v>6.4990172369508784E-3</v>
      </c>
      <c r="I108" s="9">
        <f t="shared" ca="1" si="313"/>
        <v>303692.67203952168</v>
      </c>
      <c r="K108" s="36">
        <v>104</v>
      </c>
      <c r="N108" s="32">
        <v>47727</v>
      </c>
      <c r="O108" s="5">
        <f t="shared" ca="1" si="314"/>
        <v>7.3054862381846403E-3</v>
      </c>
      <c r="P108" s="5">
        <f t="shared" ca="1" si="315"/>
        <v>6.9690964063641499E-3</v>
      </c>
      <c r="Q108" s="5">
        <f t="shared" ca="1" si="316"/>
        <v>6.8911903406612147E-3</v>
      </c>
      <c r="R108" s="5">
        <f t="shared" ca="1" si="317"/>
        <v>6.3990680149195412E-3</v>
      </c>
      <c r="S108" s="5">
        <f t="shared" ca="1" si="318"/>
        <v>6.4202759471493299E-3</v>
      </c>
      <c r="T108" s="5">
        <f t="shared" ca="1" si="319"/>
        <v>6.0325064137187589E-3</v>
      </c>
      <c r="U108" s="5">
        <f t="shared" ca="1" si="320"/>
        <v>6.8709948640452365E-3</v>
      </c>
      <c r="V108" s="5">
        <f t="shared" ca="1" si="321"/>
        <v>6.2640162530978646E-3</v>
      </c>
      <c r="W108" s="5">
        <f t="shared" ca="1" si="322"/>
        <v>7.0240713516641594E-3</v>
      </c>
      <c r="X108" s="5">
        <f t="shared" ca="1" si="323"/>
        <v>6.6231209687326667E-3</v>
      </c>
      <c r="Y108" s="5">
        <f t="shared" ca="1" si="324"/>
        <v>7.3408870813126068E-3</v>
      </c>
      <c r="Z108" s="5">
        <f t="shared" ca="1" si="325"/>
        <v>7.126089656439313E-3</v>
      </c>
      <c r="AA108" s="5">
        <f t="shared" ca="1" si="326"/>
        <v>6.8712113791223632E-3</v>
      </c>
      <c r="AB108" s="5">
        <f t="shared" ca="1" si="327"/>
        <v>7.3609039024542435E-3</v>
      </c>
      <c r="AC108" s="5">
        <f t="shared" ca="1" si="328"/>
        <v>6.7234630102093792E-3</v>
      </c>
      <c r="AD108" s="5">
        <f t="shared" ca="1" si="329"/>
        <v>7.0896629357058349E-3</v>
      </c>
      <c r="AE108" s="5">
        <f t="shared" ca="1" si="330"/>
        <v>7.4502996820461024E-3</v>
      </c>
      <c r="AF108" s="5">
        <f t="shared" ca="1" si="331"/>
        <v>6.7375170802235415E-3</v>
      </c>
      <c r="AG108" s="5">
        <f t="shared" ca="1" si="332"/>
        <v>7.0689607040261646E-3</v>
      </c>
      <c r="AH108" s="5">
        <f t="shared" ca="1" si="333"/>
        <v>6.5232468637887011E-3</v>
      </c>
      <c r="AI108" s="5">
        <f t="shared" ca="1" si="334"/>
        <v>7.2653652482143503E-3</v>
      </c>
      <c r="AJ108" s="5">
        <f t="shared" ca="1" si="335"/>
        <v>6.1971786226141107E-3</v>
      </c>
      <c r="AK108" s="5">
        <f t="shared" ca="1" si="336"/>
        <v>6.9863894932174694E-3</v>
      </c>
      <c r="AL108" s="5">
        <f t="shared" ca="1" si="337"/>
        <v>6.4592720943196435E-3</v>
      </c>
      <c r="AM108" s="5">
        <f t="shared" ca="1" si="338"/>
        <v>6.6813194055643389E-3</v>
      </c>
      <c r="AN108" s="5">
        <f t="shared" ca="1" si="339"/>
        <v>6.8002994909222396E-3</v>
      </c>
      <c r="AO108" s="5">
        <f t="shared" ca="1" si="340"/>
        <v>7.7214044109447889E-3</v>
      </c>
      <c r="AP108" s="5">
        <f t="shared" ca="1" si="341"/>
        <v>6.8358604586487804E-3</v>
      </c>
      <c r="AQ108" s="5">
        <f t="shared" ca="1" si="342"/>
        <v>6.1795659392336931E-3</v>
      </c>
      <c r="AR108" s="5">
        <f t="shared" ca="1" si="343"/>
        <v>6.8845024378686734E-3</v>
      </c>
      <c r="AS108" s="5">
        <f t="shared" ca="1" si="344"/>
        <v>6.77782531269448E-3</v>
      </c>
      <c r="AT108" s="5">
        <f t="shared" ca="1" si="345"/>
        <v>6.194827485309991E-3</v>
      </c>
      <c r="AU108" s="5">
        <f t="shared" ca="1" si="346"/>
        <v>6.8739910834180601E-3</v>
      </c>
      <c r="AV108" s="5">
        <f t="shared" ca="1" si="347"/>
        <v>6.3547280690965545E-3</v>
      </c>
      <c r="AW108" s="5">
        <f t="shared" ca="1" si="348"/>
        <v>7.240803107188401E-3</v>
      </c>
      <c r="AX108" s="5">
        <f t="shared" ca="1" si="349"/>
        <v>6.4995695167327176E-3</v>
      </c>
      <c r="AY108" s="5">
        <f t="shared" ca="1" si="350"/>
        <v>6.9448661841200361E-3</v>
      </c>
      <c r="AZ108" s="5">
        <f t="shared" ca="1" si="351"/>
        <v>7.6253038981961329E-3</v>
      </c>
      <c r="BA108" s="5">
        <f t="shared" ca="1" si="352"/>
        <v>6.5893529660427368E-3</v>
      </c>
      <c r="BB108" s="5">
        <f t="shared" ca="1" si="353"/>
        <v>6.7242038927757177E-3</v>
      </c>
      <c r="BC108" s="5">
        <f t="shared" ca="1" si="354"/>
        <v>7.1663222413832512E-3</v>
      </c>
      <c r="BD108" s="5">
        <f t="shared" ca="1" si="355"/>
        <v>6.912781518039925E-3</v>
      </c>
      <c r="BE108" s="5">
        <f t="shared" ca="1" si="356"/>
        <v>7.6151441466326946E-3</v>
      </c>
      <c r="BF108" s="5">
        <f t="shared" ca="1" si="357"/>
        <v>6.7439988037977698E-3</v>
      </c>
      <c r="BG108" s="5">
        <f t="shared" ca="1" si="358"/>
        <v>7.0138894235908383E-3</v>
      </c>
      <c r="BH108" s="5">
        <f t="shared" ca="1" si="359"/>
        <v>6.5376287646117873E-3</v>
      </c>
      <c r="BI108" s="5">
        <f t="shared" ca="1" si="360"/>
        <v>7.3967395165777158E-3</v>
      </c>
      <c r="BJ108" s="5">
        <f t="shared" ca="1" si="361"/>
        <v>7.1778229886556265E-3</v>
      </c>
      <c r="BK108" s="5">
        <f t="shared" ca="1" si="362"/>
        <v>7.594192565013539E-3</v>
      </c>
      <c r="BL108" s="5">
        <f t="shared" ca="1" si="363"/>
        <v>7.124753949113237E-3</v>
      </c>
      <c r="BM108" s="5">
        <f t="shared" ca="1" si="364"/>
        <v>6.5902057127099718E-3</v>
      </c>
      <c r="BN108" s="5">
        <f t="shared" ca="1" si="365"/>
        <v>6.6683735193240239E-3</v>
      </c>
      <c r="BO108" s="5">
        <f t="shared" ca="1" si="366"/>
        <v>7.0779766091530827E-3</v>
      </c>
      <c r="BP108" s="5">
        <f t="shared" ca="1" si="367"/>
        <v>6.6962192017494546E-3</v>
      </c>
      <c r="BQ108" s="5">
        <f t="shared" ca="1" si="368"/>
        <v>6.3097047903464204E-3</v>
      </c>
      <c r="BR108" s="5">
        <f t="shared" ca="1" si="369"/>
        <v>6.8309383791163494E-3</v>
      </c>
      <c r="BS108" s="5">
        <f t="shared" ca="1" si="370"/>
        <v>6.6986250580469255E-3</v>
      </c>
      <c r="BT108" s="5">
        <f t="shared" ca="1" si="371"/>
        <v>6.8070666461408011E-3</v>
      </c>
      <c r="BU108" s="5">
        <f t="shared" ca="1" si="372"/>
        <v>6.6918174384209984E-3</v>
      </c>
      <c r="BV108" s="5">
        <f t="shared" ca="1" si="373"/>
        <v>6.7877679791219642E-3</v>
      </c>
      <c r="BW108" s="5">
        <f t="shared" ca="1" si="374"/>
        <v>6.8797221276961293E-3</v>
      </c>
      <c r="BX108" s="5">
        <f t="shared" ca="1" si="375"/>
        <v>7.1990486329352159E-3</v>
      </c>
      <c r="BY108" s="5">
        <f t="shared" ca="1" si="376"/>
        <v>6.4244030262462044E-3</v>
      </c>
      <c r="BZ108" s="5">
        <f t="shared" ca="1" si="377"/>
        <v>6.9486881784232247E-3</v>
      </c>
      <c r="CA108" s="5">
        <f t="shared" ca="1" si="378"/>
        <v>6.1796101987943051E-3</v>
      </c>
      <c r="CB108" s="5">
        <f t="shared" ca="1" si="379"/>
        <v>7.0175971868488294E-3</v>
      </c>
      <c r="CC108" s="5">
        <f t="shared" ca="1" si="380"/>
        <v>6.6185893561205734E-3</v>
      </c>
      <c r="CD108" s="5">
        <f t="shared" ca="1" si="381"/>
        <v>7.0420734831611312E-3</v>
      </c>
      <c r="CE108" s="5">
        <f t="shared" ca="1" si="382"/>
        <v>6.6403966225017774E-3</v>
      </c>
      <c r="CF108" s="5">
        <f t="shared" ca="1" si="383"/>
        <v>7.1511799147520143E-3</v>
      </c>
      <c r="CG108" s="5">
        <f t="shared" ca="1" si="384"/>
        <v>6.8102073382317468E-3</v>
      </c>
      <c r="CH108" s="5">
        <f t="shared" ca="1" si="385"/>
        <v>6.1498831961875177E-3</v>
      </c>
      <c r="CI108" s="5">
        <f t="shared" ca="1" si="386"/>
        <v>7.3257547242624845E-3</v>
      </c>
      <c r="CJ108" s="5">
        <f t="shared" ca="1" si="387"/>
        <v>7.0423960377906068E-3</v>
      </c>
      <c r="CK108" s="5">
        <f t="shared" ca="1" si="388"/>
        <v>7.2575785429904891E-3</v>
      </c>
      <c r="CL108" s="5">
        <f t="shared" ca="1" si="389"/>
        <v>7.494925023817405E-3</v>
      </c>
      <c r="CM108" s="5">
        <f t="shared" ca="1" si="390"/>
        <v>7.1112731746504048E-3</v>
      </c>
      <c r="CN108" s="5">
        <f t="shared" ca="1" si="391"/>
        <v>6.7693014189072987E-3</v>
      </c>
      <c r="CO108" s="5">
        <f t="shared" ca="1" si="392"/>
        <v>7.160015007625517E-3</v>
      </c>
      <c r="CP108" s="5">
        <f t="shared" ca="1" si="393"/>
        <v>6.2605114185539006E-3</v>
      </c>
      <c r="CQ108" s="5">
        <f t="shared" ca="1" si="394"/>
        <v>7.5813655494175753E-3</v>
      </c>
      <c r="CR108" s="5">
        <f t="shared" ca="1" si="395"/>
        <v>7.0364983410425679E-3</v>
      </c>
      <c r="CS108" s="5">
        <f t="shared" ca="1" si="396"/>
        <v>7.0063285696989382E-3</v>
      </c>
      <c r="CT108" s="5">
        <f t="shared" ca="1" si="397"/>
        <v>7.1845144733033491E-3</v>
      </c>
      <c r="CU108" s="5">
        <f t="shared" ca="1" si="398"/>
        <v>6.4873781246367751E-3</v>
      </c>
      <c r="CV108" s="5">
        <f t="shared" ca="1" si="399"/>
        <v>7.1480923592594269E-3</v>
      </c>
      <c r="CW108" s="5">
        <f t="shared" ca="1" si="400"/>
        <v>6.9110825582448946E-3</v>
      </c>
      <c r="CX108" s="5">
        <f t="shared" ca="1" si="401"/>
        <v>6.8220372557097498E-3</v>
      </c>
      <c r="CY108" s="5">
        <f t="shared" ca="1" si="402"/>
        <v>6.8114315279318603E-3</v>
      </c>
      <c r="CZ108" s="5">
        <f t="shared" ca="1" si="403"/>
        <v>6.0348439707119733E-3</v>
      </c>
      <c r="DA108" s="5">
        <f t="shared" ca="1" si="404"/>
        <v>6.7546627894499089E-3</v>
      </c>
      <c r="DB108" s="5">
        <f t="shared" ca="1" si="405"/>
        <v>6.867955241375648E-3</v>
      </c>
      <c r="DC108" s="5">
        <f t="shared" ca="1" si="406"/>
        <v>6.9783519942435953E-3</v>
      </c>
      <c r="DD108" s="5">
        <f t="shared" ca="1" si="407"/>
        <v>6.7568760285292911E-3</v>
      </c>
      <c r="DE108" s="5">
        <f t="shared" ca="1" si="408"/>
        <v>6.8071876654915301E-3</v>
      </c>
      <c r="DF108" s="5">
        <f t="shared" ca="1" si="409"/>
        <v>6.7368475147831413E-3</v>
      </c>
      <c r="DG108" s="5">
        <f t="shared" ca="1" si="410"/>
        <v>6.8442545607275921E-3</v>
      </c>
      <c r="DH108" s="5">
        <f t="shared" ca="1" si="411"/>
        <v>7.3347635373829118E-3</v>
      </c>
      <c r="DI108" s="5">
        <f t="shared" ca="1" si="412"/>
        <v>7.1489752124429557E-3</v>
      </c>
      <c r="DJ108" s="5">
        <f t="shared" ca="1" si="413"/>
        <v>7.0225018980559963E-3</v>
      </c>
    </row>
    <row r="109" spans="5:114" x14ac:dyDescent="0.2">
      <c r="E109" s="32">
        <v>47788</v>
      </c>
      <c r="F109" s="9">
        <v>3844.2254781665279</v>
      </c>
      <c r="G109" s="5">
        <f t="shared" ca="1" si="311"/>
        <v>2.0567071740309546E-2</v>
      </c>
      <c r="H109" s="5">
        <f t="shared" ca="1" si="312"/>
        <v>6.4576986550924104E-3</v>
      </c>
      <c r="I109" s="9">
        <f t="shared" ca="1" si="313"/>
        <v>307700.37114636868</v>
      </c>
      <c r="K109" s="36">
        <v>105</v>
      </c>
      <c r="N109" s="32">
        <v>47757</v>
      </c>
      <c r="O109" s="5">
        <f t="shared" ca="1" si="314"/>
        <v>7.2838812768597399E-3</v>
      </c>
      <c r="P109" s="5">
        <f t="shared" ca="1" si="315"/>
        <v>7.0221270462167756E-3</v>
      </c>
      <c r="Q109" s="5">
        <f t="shared" ca="1" si="316"/>
        <v>6.8377378289537242E-3</v>
      </c>
      <c r="R109" s="5">
        <f t="shared" ca="1" si="317"/>
        <v>6.4151533695771187E-3</v>
      </c>
      <c r="S109" s="5">
        <f t="shared" ca="1" si="318"/>
        <v>6.4489900913767724E-3</v>
      </c>
      <c r="T109" s="5">
        <f t="shared" ca="1" si="319"/>
        <v>6.0324432733794954E-3</v>
      </c>
      <c r="U109" s="5">
        <f t="shared" ca="1" si="320"/>
        <v>6.8822587904440458E-3</v>
      </c>
      <c r="V109" s="5">
        <f t="shared" ca="1" si="321"/>
        <v>6.2374188753239928E-3</v>
      </c>
      <c r="W109" s="5">
        <f t="shared" ca="1" si="322"/>
        <v>7.0223357024398279E-3</v>
      </c>
      <c r="X109" s="5">
        <f t="shared" ca="1" si="323"/>
        <v>6.6433241433490157E-3</v>
      </c>
      <c r="Y109" s="5">
        <f t="shared" ca="1" si="324"/>
        <v>7.3334144429331085E-3</v>
      </c>
      <c r="Z109" s="5">
        <f t="shared" ca="1" si="325"/>
        <v>7.1751578853273832E-3</v>
      </c>
      <c r="AA109" s="5">
        <f t="shared" ca="1" si="326"/>
        <v>6.8472786813813941E-3</v>
      </c>
      <c r="AB109" s="5">
        <f t="shared" ca="1" si="327"/>
        <v>7.3733913633598023E-3</v>
      </c>
      <c r="AC109" s="5">
        <f t="shared" ca="1" si="328"/>
        <v>6.7503735669838145E-3</v>
      </c>
      <c r="AD109" s="5">
        <f t="shared" ca="1" si="329"/>
        <v>7.1159131263199994E-3</v>
      </c>
      <c r="AE109" s="5">
        <f t="shared" ca="1" si="330"/>
        <v>7.4604653696268078E-3</v>
      </c>
      <c r="AF109" s="5">
        <f t="shared" ca="1" si="331"/>
        <v>6.7485841104713666E-3</v>
      </c>
      <c r="AG109" s="5">
        <f t="shared" ca="1" si="332"/>
        <v>7.1693218446190485E-3</v>
      </c>
      <c r="AH109" s="5">
        <f t="shared" ca="1" si="333"/>
        <v>6.5627469760000711E-3</v>
      </c>
      <c r="AI109" s="5">
        <f t="shared" ca="1" si="334"/>
        <v>7.2545705607976411E-3</v>
      </c>
      <c r="AJ109" s="5">
        <f t="shared" ca="1" si="335"/>
        <v>6.1623913119826816E-3</v>
      </c>
      <c r="AK109" s="5">
        <f t="shared" ca="1" si="336"/>
        <v>6.9991931878475569E-3</v>
      </c>
      <c r="AL109" s="5">
        <f t="shared" ca="1" si="337"/>
        <v>6.4697864799139176E-3</v>
      </c>
      <c r="AM109" s="5">
        <f t="shared" ca="1" si="338"/>
        <v>6.7096633854811455E-3</v>
      </c>
      <c r="AN109" s="5">
        <f t="shared" ca="1" si="339"/>
        <v>6.7707214656090959E-3</v>
      </c>
      <c r="AO109" s="5">
        <f t="shared" ca="1" si="340"/>
        <v>7.7816010465942094E-3</v>
      </c>
      <c r="AP109" s="5">
        <f t="shared" ca="1" si="341"/>
        <v>6.7711201252157096E-3</v>
      </c>
      <c r="AQ109" s="5">
        <f t="shared" ca="1" si="342"/>
        <v>6.2124331082738411E-3</v>
      </c>
      <c r="AR109" s="5">
        <f t="shared" ca="1" si="343"/>
        <v>6.8200927597910415E-3</v>
      </c>
      <c r="AS109" s="5">
        <f t="shared" ca="1" si="344"/>
        <v>6.7958302572249307E-3</v>
      </c>
      <c r="AT109" s="5">
        <f t="shared" ca="1" si="345"/>
        <v>6.2101837187661579E-3</v>
      </c>
      <c r="AU109" s="5">
        <f t="shared" ca="1" si="346"/>
        <v>6.8992435267511238E-3</v>
      </c>
      <c r="AV109" s="5">
        <f t="shared" ca="1" si="347"/>
        <v>6.3692123384764309E-3</v>
      </c>
      <c r="AW109" s="5">
        <f t="shared" ca="1" si="348"/>
        <v>7.3167623219189621E-3</v>
      </c>
      <c r="AX109" s="5">
        <f t="shared" ca="1" si="349"/>
        <v>6.5635396840165684E-3</v>
      </c>
      <c r="AY109" s="5">
        <f t="shared" ca="1" si="350"/>
        <v>6.8836531124638065E-3</v>
      </c>
      <c r="AZ109" s="5">
        <f t="shared" ca="1" si="351"/>
        <v>7.6290090874909329E-3</v>
      </c>
      <c r="BA109" s="5">
        <f t="shared" ca="1" si="352"/>
        <v>6.6538281952124006E-3</v>
      </c>
      <c r="BB109" s="5">
        <f t="shared" ca="1" si="353"/>
        <v>6.736759912388284E-3</v>
      </c>
      <c r="BC109" s="5">
        <f t="shared" ca="1" si="354"/>
        <v>7.2016732190579988E-3</v>
      </c>
      <c r="BD109" s="5">
        <f t="shared" ca="1" si="355"/>
        <v>6.9371609607058625E-3</v>
      </c>
      <c r="BE109" s="5">
        <f t="shared" ca="1" si="356"/>
        <v>7.6232075096793316E-3</v>
      </c>
      <c r="BF109" s="5">
        <f t="shared" ca="1" si="357"/>
        <v>6.7083884067009368E-3</v>
      </c>
      <c r="BG109" s="5">
        <f t="shared" ca="1" si="358"/>
        <v>7.0214615753960517E-3</v>
      </c>
      <c r="BH109" s="5">
        <f t="shared" ca="1" si="359"/>
        <v>6.5060456147265364E-3</v>
      </c>
      <c r="BI109" s="5">
        <f t="shared" ca="1" si="360"/>
        <v>7.4829021330424569E-3</v>
      </c>
      <c r="BJ109" s="5">
        <f t="shared" ca="1" si="361"/>
        <v>7.2284886723330876E-3</v>
      </c>
      <c r="BK109" s="5">
        <f t="shared" ca="1" si="362"/>
        <v>7.5996407755609995E-3</v>
      </c>
      <c r="BL109" s="5">
        <f t="shared" ca="1" si="363"/>
        <v>7.1158061550462282E-3</v>
      </c>
      <c r="BM109" s="5">
        <f t="shared" ca="1" si="364"/>
        <v>6.6174683328426558E-3</v>
      </c>
      <c r="BN109" s="5">
        <f t="shared" ca="1" si="365"/>
        <v>6.6369073748163655E-3</v>
      </c>
      <c r="BO109" s="5">
        <f t="shared" ca="1" si="366"/>
        <v>7.0948271640192649E-3</v>
      </c>
      <c r="BP109" s="5">
        <f t="shared" ca="1" si="367"/>
        <v>6.6930926412191189E-3</v>
      </c>
      <c r="BQ109" s="5">
        <f t="shared" ca="1" si="368"/>
        <v>6.3156267683829046E-3</v>
      </c>
      <c r="BR109" s="5">
        <f t="shared" ca="1" si="369"/>
        <v>6.8200343423940697E-3</v>
      </c>
      <c r="BS109" s="5">
        <f t="shared" ca="1" si="370"/>
        <v>6.7016196146459164E-3</v>
      </c>
      <c r="BT109" s="5">
        <f t="shared" ca="1" si="371"/>
        <v>6.8297428534723863E-3</v>
      </c>
      <c r="BU109" s="5">
        <f t="shared" ca="1" si="372"/>
        <v>6.7055916754004789E-3</v>
      </c>
      <c r="BV109" s="5">
        <f t="shared" ca="1" si="373"/>
        <v>6.8478362158842041E-3</v>
      </c>
      <c r="BW109" s="5">
        <f t="shared" ca="1" si="374"/>
        <v>6.85717439285175E-3</v>
      </c>
      <c r="BX109" s="5">
        <f t="shared" ca="1" si="375"/>
        <v>7.2287640743633266E-3</v>
      </c>
      <c r="BY109" s="5">
        <f t="shared" ca="1" si="376"/>
        <v>6.4110074349178993E-3</v>
      </c>
      <c r="BZ109" s="5">
        <f t="shared" ca="1" si="377"/>
        <v>6.9897733752036706E-3</v>
      </c>
      <c r="CA109" s="5">
        <f t="shared" ca="1" si="378"/>
        <v>6.153266931019816E-3</v>
      </c>
      <c r="CB109" s="5">
        <f t="shared" ca="1" si="379"/>
        <v>6.9078441879760286E-3</v>
      </c>
      <c r="CC109" s="5">
        <f t="shared" ca="1" si="380"/>
        <v>6.6002432210708574E-3</v>
      </c>
      <c r="CD109" s="5">
        <f t="shared" ca="1" si="381"/>
        <v>7.0365914820851843E-3</v>
      </c>
      <c r="CE109" s="5">
        <f t="shared" ca="1" si="382"/>
        <v>6.5821269781954931E-3</v>
      </c>
      <c r="CF109" s="5">
        <f t="shared" ca="1" si="383"/>
        <v>7.1191241182483878E-3</v>
      </c>
      <c r="CG109" s="5">
        <f t="shared" ca="1" si="384"/>
        <v>6.7716138947330334E-3</v>
      </c>
      <c r="CH109" s="5">
        <f t="shared" ca="1" si="385"/>
        <v>6.1306750891033717E-3</v>
      </c>
      <c r="CI109" s="5">
        <f t="shared" ca="1" si="386"/>
        <v>7.3247977877379782E-3</v>
      </c>
      <c r="CJ109" s="5">
        <f t="shared" ca="1" si="387"/>
        <v>7.0733509353721954E-3</v>
      </c>
      <c r="CK109" s="5">
        <f t="shared" ca="1" si="388"/>
        <v>7.248434341716032E-3</v>
      </c>
      <c r="CL109" s="5">
        <f t="shared" ca="1" si="389"/>
        <v>7.5680531377472077E-3</v>
      </c>
      <c r="CM109" s="5">
        <f t="shared" ca="1" si="390"/>
        <v>7.0984271907028659E-3</v>
      </c>
      <c r="CN109" s="5">
        <f t="shared" ca="1" si="391"/>
        <v>6.777177224082641E-3</v>
      </c>
      <c r="CO109" s="5">
        <f t="shared" ca="1" si="392"/>
        <v>7.1964541967877412E-3</v>
      </c>
      <c r="CP109" s="5">
        <f t="shared" ca="1" si="393"/>
        <v>6.2863844772876208E-3</v>
      </c>
      <c r="CQ109" s="5">
        <f t="shared" ca="1" si="394"/>
        <v>7.5699547159461585E-3</v>
      </c>
      <c r="CR109" s="5">
        <f t="shared" ca="1" si="395"/>
        <v>7.0357277782211241E-3</v>
      </c>
      <c r="CS109" s="5">
        <f t="shared" ca="1" si="396"/>
        <v>6.9970496165993514E-3</v>
      </c>
      <c r="CT109" s="5">
        <f t="shared" ca="1" si="397"/>
        <v>7.1341111013153253E-3</v>
      </c>
      <c r="CU109" s="5">
        <f t="shared" ca="1" si="398"/>
        <v>6.5000196835584643E-3</v>
      </c>
      <c r="CV109" s="5">
        <f t="shared" ca="1" si="399"/>
        <v>7.1684223079809591E-3</v>
      </c>
      <c r="CW109" s="5">
        <f t="shared" ca="1" si="400"/>
        <v>6.9021527759771861E-3</v>
      </c>
      <c r="CX109" s="5">
        <f t="shared" ca="1" si="401"/>
        <v>6.8835394904565228E-3</v>
      </c>
      <c r="CY109" s="5">
        <f t="shared" ca="1" si="402"/>
        <v>6.826221636797406E-3</v>
      </c>
      <c r="CZ109" s="5">
        <f t="shared" ca="1" si="403"/>
        <v>6.0721316163107218E-3</v>
      </c>
      <c r="DA109" s="5">
        <f t="shared" ca="1" si="404"/>
        <v>6.7247811882385549E-3</v>
      </c>
      <c r="DB109" s="5">
        <f t="shared" ca="1" si="405"/>
        <v>6.9266331814884083E-3</v>
      </c>
      <c r="DC109" s="5">
        <f t="shared" ca="1" si="406"/>
        <v>6.9639827950208396E-3</v>
      </c>
      <c r="DD109" s="5">
        <f t="shared" ca="1" si="407"/>
        <v>6.77573803105486E-3</v>
      </c>
      <c r="DE109" s="5">
        <f t="shared" ca="1" si="408"/>
        <v>6.7565367934697539E-3</v>
      </c>
      <c r="DF109" s="5">
        <f t="shared" ca="1" si="409"/>
        <v>6.7592418857917785E-3</v>
      </c>
      <c r="DG109" s="5">
        <f t="shared" ca="1" si="410"/>
        <v>6.7313631243876232E-3</v>
      </c>
      <c r="DH109" s="5">
        <f t="shared" ca="1" si="411"/>
        <v>7.3429213116818683E-3</v>
      </c>
      <c r="DI109" s="5">
        <f t="shared" ca="1" si="412"/>
        <v>7.2199733648184812E-3</v>
      </c>
      <c r="DJ109" s="5">
        <f t="shared" ca="1" si="413"/>
        <v>7.0624107945521999E-3</v>
      </c>
    </row>
    <row r="110" spans="5:114" x14ac:dyDescent="0.2">
      <c r="E110" s="32">
        <v>47818</v>
      </c>
      <c r="F110" s="9">
        <v>3844.2254781665279</v>
      </c>
      <c r="G110" s="5">
        <f t="shared" ca="1" si="311"/>
        <v>3.6719621795332807E-2</v>
      </c>
      <c r="H110" s="5">
        <f t="shared" ca="1" si="312"/>
        <v>6.4737383259009604E-3</v>
      </c>
      <c r="I110" s="9">
        <f t="shared" ca="1" si="313"/>
        <v>311710.63904910721</v>
      </c>
      <c r="K110" s="36">
        <v>106</v>
      </c>
      <c r="N110" s="32">
        <v>47788</v>
      </c>
      <c r="O110" s="5">
        <f t="shared" ca="1" si="314"/>
        <v>7.349537088471329E-3</v>
      </c>
      <c r="P110" s="5">
        <f t="shared" ca="1" si="315"/>
        <v>7.0655678276520762E-3</v>
      </c>
      <c r="Q110" s="5">
        <f t="shared" ca="1" si="316"/>
        <v>6.8722085222608174E-3</v>
      </c>
      <c r="R110" s="5">
        <f t="shared" ca="1" si="317"/>
        <v>6.3743831891746707E-3</v>
      </c>
      <c r="S110" s="5">
        <f t="shared" ca="1" si="318"/>
        <v>6.5196838913346503E-3</v>
      </c>
      <c r="T110" s="5">
        <f t="shared" ca="1" si="319"/>
        <v>6.0520045902536252E-3</v>
      </c>
      <c r="U110" s="5">
        <f t="shared" ca="1" si="320"/>
        <v>6.9176470291144728E-3</v>
      </c>
      <c r="V110" s="5">
        <f t="shared" ca="1" si="321"/>
        <v>6.2571518988517993E-3</v>
      </c>
      <c r="W110" s="5">
        <f t="shared" ca="1" si="322"/>
        <v>7.0240132372019603E-3</v>
      </c>
      <c r="X110" s="5">
        <f t="shared" ca="1" si="323"/>
        <v>6.6392827428441324E-3</v>
      </c>
      <c r="Y110" s="5">
        <f t="shared" ca="1" si="324"/>
        <v>7.3083259235599638E-3</v>
      </c>
      <c r="Z110" s="5">
        <f t="shared" ca="1" si="325"/>
        <v>7.2105182932835337E-3</v>
      </c>
      <c r="AA110" s="5">
        <f t="shared" ca="1" si="326"/>
        <v>6.9395392023763177E-3</v>
      </c>
      <c r="AB110" s="5">
        <f t="shared" ca="1" si="327"/>
        <v>7.3831793529174593E-3</v>
      </c>
      <c r="AC110" s="5">
        <f t="shared" ca="1" si="328"/>
        <v>6.7918120975019878E-3</v>
      </c>
      <c r="AD110" s="5">
        <f t="shared" ca="1" si="329"/>
        <v>7.0588429401191397E-3</v>
      </c>
      <c r="AE110" s="5">
        <f t="shared" ca="1" si="330"/>
        <v>7.4508282954008024E-3</v>
      </c>
      <c r="AF110" s="5">
        <f t="shared" ca="1" si="331"/>
        <v>6.8411205543303039E-3</v>
      </c>
      <c r="AG110" s="5">
        <f t="shared" ca="1" si="332"/>
        <v>7.2097799290157518E-3</v>
      </c>
      <c r="AH110" s="5">
        <f t="shared" ca="1" si="333"/>
        <v>6.508120246393535E-3</v>
      </c>
      <c r="AI110" s="5">
        <f t="shared" ca="1" si="334"/>
        <v>7.314586321836479E-3</v>
      </c>
      <c r="AJ110" s="5">
        <f t="shared" ca="1" si="335"/>
        <v>6.1297530336866454E-3</v>
      </c>
      <c r="AK110" s="5">
        <f t="shared" ca="1" si="336"/>
        <v>7.0086744242800585E-3</v>
      </c>
      <c r="AL110" s="5">
        <f t="shared" ca="1" si="337"/>
        <v>6.4627094331911848E-3</v>
      </c>
      <c r="AM110" s="5">
        <f t="shared" ca="1" si="338"/>
        <v>6.6732713756233481E-3</v>
      </c>
      <c r="AN110" s="5">
        <f t="shared" ca="1" si="339"/>
        <v>6.7926766896080539E-3</v>
      </c>
      <c r="AO110" s="5">
        <f t="shared" ca="1" si="340"/>
        <v>7.8168978714794769E-3</v>
      </c>
      <c r="AP110" s="5">
        <f t="shared" ca="1" si="341"/>
        <v>6.8108259864092576E-3</v>
      </c>
      <c r="AQ110" s="5">
        <f t="shared" ca="1" si="342"/>
        <v>6.1786006304047425E-3</v>
      </c>
      <c r="AR110" s="5">
        <f t="shared" ca="1" si="343"/>
        <v>6.892722836297026E-3</v>
      </c>
      <c r="AS110" s="5">
        <f t="shared" ca="1" si="344"/>
        <v>6.8001665936086768E-3</v>
      </c>
      <c r="AT110" s="5">
        <f t="shared" ca="1" si="345"/>
        <v>6.2108568437673215E-3</v>
      </c>
      <c r="AU110" s="5">
        <f t="shared" ca="1" si="346"/>
        <v>6.8878099225932144E-3</v>
      </c>
      <c r="AV110" s="5">
        <f t="shared" ca="1" si="347"/>
        <v>6.3881780598428056E-3</v>
      </c>
      <c r="AW110" s="5">
        <f t="shared" ca="1" si="348"/>
        <v>7.4274324140597243E-3</v>
      </c>
      <c r="AX110" s="5">
        <f t="shared" ca="1" si="349"/>
        <v>6.6080497646318521E-3</v>
      </c>
      <c r="AY110" s="5">
        <f t="shared" ca="1" si="350"/>
        <v>6.8961322660240822E-3</v>
      </c>
      <c r="AZ110" s="5">
        <f t="shared" ca="1" si="351"/>
        <v>7.6206431216159767E-3</v>
      </c>
      <c r="BA110" s="5">
        <f t="shared" ca="1" si="352"/>
        <v>6.6307665295049206E-3</v>
      </c>
      <c r="BB110" s="5">
        <f t="shared" ca="1" si="353"/>
        <v>6.7661478138020025E-3</v>
      </c>
      <c r="BC110" s="5">
        <f t="shared" ca="1" si="354"/>
        <v>7.1341214227159597E-3</v>
      </c>
      <c r="BD110" s="5">
        <f t="shared" ca="1" si="355"/>
        <v>6.9313889372505455E-3</v>
      </c>
      <c r="BE110" s="5">
        <f t="shared" ca="1" si="356"/>
        <v>7.570634568937416E-3</v>
      </c>
      <c r="BF110" s="5">
        <f t="shared" ca="1" si="357"/>
        <v>6.7367722526338681E-3</v>
      </c>
      <c r="BG110" s="5">
        <f t="shared" ca="1" si="358"/>
        <v>7.017996606202016E-3</v>
      </c>
      <c r="BH110" s="5">
        <f t="shared" ca="1" si="359"/>
        <v>6.4841405642635554E-3</v>
      </c>
      <c r="BI110" s="5">
        <f t="shared" ca="1" si="360"/>
        <v>7.4196431506597851E-3</v>
      </c>
      <c r="BJ110" s="5">
        <f t="shared" ca="1" si="361"/>
        <v>7.2691086610926743E-3</v>
      </c>
      <c r="BK110" s="5">
        <f t="shared" ca="1" si="362"/>
        <v>7.5951470870486313E-3</v>
      </c>
      <c r="BL110" s="5">
        <f t="shared" ca="1" si="363"/>
        <v>7.0676835032778733E-3</v>
      </c>
      <c r="BM110" s="5">
        <f t="shared" ca="1" si="364"/>
        <v>6.543889455583196E-3</v>
      </c>
      <c r="BN110" s="5">
        <f t="shared" ca="1" si="365"/>
        <v>6.6483777953024641E-3</v>
      </c>
      <c r="BO110" s="5">
        <f t="shared" ca="1" si="366"/>
        <v>7.0460451657644628E-3</v>
      </c>
      <c r="BP110" s="5">
        <f t="shared" ca="1" si="367"/>
        <v>6.7897892182382192E-3</v>
      </c>
      <c r="BQ110" s="5">
        <f t="shared" ca="1" si="368"/>
        <v>6.4269349743256675E-3</v>
      </c>
      <c r="BR110" s="5">
        <f t="shared" ca="1" si="369"/>
        <v>6.8350125574726849E-3</v>
      </c>
      <c r="BS110" s="5">
        <f t="shared" ca="1" si="370"/>
        <v>6.7033037984717036E-3</v>
      </c>
      <c r="BT110" s="5">
        <f t="shared" ca="1" si="371"/>
        <v>6.8279701502917739E-3</v>
      </c>
      <c r="BU110" s="5">
        <f t="shared" ca="1" si="372"/>
        <v>6.7310780340049765E-3</v>
      </c>
      <c r="BV110" s="5">
        <f t="shared" ca="1" si="373"/>
        <v>6.7876800108768141E-3</v>
      </c>
      <c r="BW110" s="5">
        <f t="shared" ca="1" si="374"/>
        <v>6.8525811038410919E-3</v>
      </c>
      <c r="BX110" s="5">
        <f t="shared" ca="1" si="375"/>
        <v>7.2559640121051955E-3</v>
      </c>
      <c r="BY110" s="5">
        <f t="shared" ca="1" si="376"/>
        <v>6.3772721703746699E-3</v>
      </c>
      <c r="BZ110" s="5">
        <f t="shared" ca="1" si="377"/>
        <v>6.9819659033456194E-3</v>
      </c>
      <c r="CA110" s="5">
        <f t="shared" ca="1" si="378"/>
        <v>6.212035032197488E-3</v>
      </c>
      <c r="CB110" s="5">
        <f t="shared" ca="1" si="379"/>
        <v>6.9106750507524125E-3</v>
      </c>
      <c r="CC110" s="5">
        <f t="shared" ca="1" si="380"/>
        <v>6.6538675453576722E-3</v>
      </c>
      <c r="CD110" s="5">
        <f t="shared" ca="1" si="381"/>
        <v>7.0468173483969852E-3</v>
      </c>
      <c r="CE110" s="5">
        <f t="shared" ca="1" si="382"/>
        <v>6.6000988754237964E-3</v>
      </c>
      <c r="CF110" s="5">
        <f t="shared" ca="1" si="383"/>
        <v>7.070394103339101E-3</v>
      </c>
      <c r="CG110" s="5">
        <f t="shared" ca="1" si="384"/>
        <v>6.7513726286403866E-3</v>
      </c>
      <c r="CH110" s="5">
        <f t="shared" ca="1" si="385"/>
        <v>6.055470828958351E-3</v>
      </c>
      <c r="CI110" s="5">
        <f t="shared" ca="1" si="386"/>
        <v>7.3364342930051629E-3</v>
      </c>
      <c r="CJ110" s="5">
        <f t="shared" ca="1" si="387"/>
        <v>7.0420050401550716E-3</v>
      </c>
      <c r="CK110" s="5">
        <f t="shared" ca="1" si="388"/>
        <v>7.2525842344298369E-3</v>
      </c>
      <c r="CL110" s="5">
        <f t="shared" ca="1" si="389"/>
        <v>7.5816523893885209E-3</v>
      </c>
      <c r="CM110" s="5">
        <f t="shared" ca="1" si="390"/>
        <v>7.0701210225121549E-3</v>
      </c>
      <c r="CN110" s="5">
        <f t="shared" ca="1" si="391"/>
        <v>6.8265366729550721E-3</v>
      </c>
      <c r="CO110" s="5">
        <f t="shared" ca="1" si="392"/>
        <v>7.17411440005313E-3</v>
      </c>
      <c r="CP110" s="5">
        <f t="shared" ca="1" si="393"/>
        <v>6.3167780066490696E-3</v>
      </c>
      <c r="CQ110" s="5">
        <f t="shared" ca="1" si="394"/>
        <v>7.5836324097940631E-3</v>
      </c>
      <c r="CR110" s="5">
        <f t="shared" ca="1" si="395"/>
        <v>7.0976782017004043E-3</v>
      </c>
      <c r="CS110" s="5">
        <f t="shared" ca="1" si="396"/>
        <v>7.0283101642451256E-3</v>
      </c>
      <c r="CT110" s="5">
        <f t="shared" ca="1" si="397"/>
        <v>7.1699934883171969E-3</v>
      </c>
      <c r="CU110" s="5">
        <f t="shared" ca="1" si="398"/>
        <v>6.5367623455711036E-3</v>
      </c>
      <c r="CV110" s="5">
        <f t="shared" ca="1" si="399"/>
        <v>7.176422290386281E-3</v>
      </c>
      <c r="CW110" s="5">
        <f t="shared" ca="1" si="400"/>
        <v>6.9411027282472084E-3</v>
      </c>
      <c r="CX110" s="5">
        <f t="shared" ca="1" si="401"/>
        <v>6.8861242599268123E-3</v>
      </c>
      <c r="CY110" s="5">
        <f t="shared" ca="1" si="402"/>
        <v>6.7327212856889808E-3</v>
      </c>
      <c r="CZ110" s="5">
        <f t="shared" ca="1" si="403"/>
        <v>6.1157962134418316E-3</v>
      </c>
      <c r="DA110" s="5">
        <f t="shared" ca="1" si="404"/>
        <v>6.7279878480428889E-3</v>
      </c>
      <c r="DB110" s="5">
        <f t="shared" ca="1" si="405"/>
        <v>6.8926956243344772E-3</v>
      </c>
      <c r="DC110" s="5">
        <f t="shared" ca="1" si="406"/>
        <v>7.0002186792014892E-3</v>
      </c>
      <c r="DD110" s="5">
        <f t="shared" ca="1" si="407"/>
        <v>6.7281833125358639E-3</v>
      </c>
      <c r="DE110" s="5">
        <f t="shared" ca="1" si="408"/>
        <v>6.8213936959633532E-3</v>
      </c>
      <c r="DF110" s="5">
        <f t="shared" ca="1" si="409"/>
        <v>6.7750769500173648E-3</v>
      </c>
      <c r="DG110" s="5">
        <f t="shared" ca="1" si="410"/>
        <v>6.7746987157717578E-3</v>
      </c>
      <c r="DH110" s="5">
        <f t="shared" ca="1" si="411"/>
        <v>7.3748940815933821E-3</v>
      </c>
      <c r="DI110" s="5">
        <f t="shared" ca="1" si="412"/>
        <v>7.2432700112521594E-3</v>
      </c>
      <c r="DJ110" s="5">
        <f t="shared" ca="1" si="413"/>
        <v>7.0598217850260294E-3</v>
      </c>
    </row>
    <row r="111" spans="5:114" x14ac:dyDescent="0.2">
      <c r="E111" s="32">
        <v>47849</v>
      </c>
      <c r="F111" s="9">
        <v>3844.2254781665279</v>
      </c>
      <c r="G111" s="5">
        <f t="shared" ca="1" si="311"/>
        <v>-2.7627285863563778E-3</v>
      </c>
      <c r="H111" s="5">
        <f t="shared" ca="1" si="312"/>
        <v>6.4981500882998564E-3</v>
      </c>
      <c r="I111" s="9">
        <f t="shared" ca="1" si="313"/>
        <v>315723.70544760471</v>
      </c>
      <c r="K111" s="36">
        <v>107</v>
      </c>
      <c r="N111" s="32">
        <v>47818</v>
      </c>
      <c r="O111" s="5">
        <f t="shared" ca="1" si="314"/>
        <v>7.276668067938777E-3</v>
      </c>
      <c r="P111" s="5">
        <f t="shared" ca="1" si="315"/>
        <v>7.1205440916537899E-3</v>
      </c>
      <c r="Q111" s="5">
        <f t="shared" ca="1" si="316"/>
        <v>6.9623353483136583E-3</v>
      </c>
      <c r="R111" s="5">
        <f t="shared" ca="1" si="317"/>
        <v>6.366547180390536E-3</v>
      </c>
      <c r="S111" s="5">
        <f t="shared" ca="1" si="318"/>
        <v>6.5907449591487187E-3</v>
      </c>
      <c r="T111" s="5">
        <f t="shared" ca="1" si="319"/>
        <v>6.0542320442884979E-3</v>
      </c>
      <c r="U111" s="5">
        <f t="shared" ca="1" si="320"/>
        <v>6.9003754719735274E-3</v>
      </c>
      <c r="V111" s="5">
        <f t="shared" ca="1" si="321"/>
        <v>6.3198144577227486E-3</v>
      </c>
      <c r="W111" s="5">
        <f t="shared" ca="1" si="322"/>
        <v>7.0145384374759026E-3</v>
      </c>
      <c r="X111" s="5">
        <f t="shared" ca="1" si="323"/>
        <v>6.6052940799973588E-3</v>
      </c>
      <c r="Y111" s="5">
        <f t="shared" ca="1" si="324"/>
        <v>7.3788324283298092E-3</v>
      </c>
      <c r="Z111" s="5">
        <f t="shared" ca="1" si="325"/>
        <v>7.1812974278877249E-3</v>
      </c>
      <c r="AA111" s="5">
        <f t="shared" ca="1" si="326"/>
        <v>6.9780147683631928E-3</v>
      </c>
      <c r="AB111" s="5">
        <f t="shared" ca="1" si="327"/>
        <v>7.492708403395886E-3</v>
      </c>
      <c r="AC111" s="5">
        <f t="shared" ca="1" si="328"/>
        <v>6.7926139435052465E-3</v>
      </c>
      <c r="AD111" s="5">
        <f t="shared" ca="1" si="329"/>
        <v>7.0600953936929963E-3</v>
      </c>
      <c r="AE111" s="5">
        <f t="shared" ca="1" si="330"/>
        <v>7.3691447056161491E-3</v>
      </c>
      <c r="AF111" s="5">
        <f t="shared" ca="1" si="331"/>
        <v>6.8225455551781614E-3</v>
      </c>
      <c r="AG111" s="5">
        <f t="shared" ca="1" si="332"/>
        <v>7.207398976765692E-3</v>
      </c>
      <c r="AH111" s="5">
        <f t="shared" ca="1" si="333"/>
        <v>6.4671499129329464E-3</v>
      </c>
      <c r="AI111" s="5">
        <f t="shared" ca="1" si="334"/>
        <v>7.348048520597221E-3</v>
      </c>
      <c r="AJ111" s="5">
        <f t="shared" ca="1" si="335"/>
        <v>6.1693589523194392E-3</v>
      </c>
      <c r="AK111" s="5">
        <f t="shared" ca="1" si="336"/>
        <v>7.1406879827825573E-3</v>
      </c>
      <c r="AL111" s="5">
        <f t="shared" ca="1" si="337"/>
        <v>6.5727461611833635E-3</v>
      </c>
      <c r="AM111" s="5">
        <f t="shared" ca="1" si="338"/>
        <v>6.6604534379937222E-3</v>
      </c>
      <c r="AN111" s="5">
        <f t="shared" ca="1" si="339"/>
        <v>6.7481589794627468E-3</v>
      </c>
      <c r="AO111" s="5">
        <f t="shared" ca="1" si="340"/>
        <v>7.8642495480473074E-3</v>
      </c>
      <c r="AP111" s="5">
        <f t="shared" ca="1" si="341"/>
        <v>6.8024639152002003E-3</v>
      </c>
      <c r="AQ111" s="5">
        <f t="shared" ca="1" si="342"/>
        <v>6.2053759099887649E-3</v>
      </c>
      <c r="AR111" s="5">
        <f t="shared" ca="1" si="343"/>
        <v>6.9006908120043137E-3</v>
      </c>
      <c r="AS111" s="5">
        <f t="shared" ca="1" si="344"/>
        <v>6.855239462351153E-3</v>
      </c>
      <c r="AT111" s="5">
        <f t="shared" ca="1" si="345"/>
        <v>6.1875370575004921E-3</v>
      </c>
      <c r="AU111" s="5">
        <f t="shared" ca="1" si="346"/>
        <v>6.8575762363950856E-3</v>
      </c>
      <c r="AV111" s="5">
        <f t="shared" ca="1" si="347"/>
        <v>6.345567537587621E-3</v>
      </c>
      <c r="AW111" s="5">
        <f t="shared" ca="1" si="348"/>
        <v>7.5125380836310682E-3</v>
      </c>
      <c r="AX111" s="5">
        <f t="shared" ca="1" si="349"/>
        <v>6.5856981202820587E-3</v>
      </c>
      <c r="AY111" s="5">
        <f t="shared" ca="1" si="350"/>
        <v>6.905963689044419E-3</v>
      </c>
      <c r="AZ111" s="5">
        <f t="shared" ca="1" si="351"/>
        <v>7.655637752707189E-3</v>
      </c>
      <c r="BA111" s="5">
        <f t="shared" ca="1" si="352"/>
        <v>6.716982949668015E-3</v>
      </c>
      <c r="BB111" s="5">
        <f t="shared" ca="1" si="353"/>
        <v>6.7834507818008176E-3</v>
      </c>
      <c r="BC111" s="5">
        <f t="shared" ca="1" si="354"/>
        <v>7.1448613663584815E-3</v>
      </c>
      <c r="BD111" s="5">
        <f t="shared" ca="1" si="355"/>
        <v>6.902632692414242E-3</v>
      </c>
      <c r="BE111" s="5">
        <f t="shared" ca="1" si="356"/>
        <v>7.5129294878569586E-3</v>
      </c>
      <c r="BF111" s="5">
        <f t="shared" ca="1" si="357"/>
        <v>6.768364515520227E-3</v>
      </c>
      <c r="BG111" s="5">
        <f t="shared" ca="1" si="358"/>
        <v>6.9771039081921987E-3</v>
      </c>
      <c r="BH111" s="5">
        <f t="shared" ca="1" si="359"/>
        <v>6.5338728527853463E-3</v>
      </c>
      <c r="BI111" s="5">
        <f t="shared" ca="1" si="360"/>
        <v>7.4493758451682117E-3</v>
      </c>
      <c r="BJ111" s="5">
        <f t="shared" ca="1" si="361"/>
        <v>7.3779917410369891E-3</v>
      </c>
      <c r="BK111" s="5">
        <f t="shared" ca="1" si="362"/>
        <v>7.5942598588918482E-3</v>
      </c>
      <c r="BL111" s="5">
        <f t="shared" ca="1" si="363"/>
        <v>7.1053564348103389E-3</v>
      </c>
      <c r="BM111" s="5">
        <f t="shared" ca="1" si="364"/>
        <v>6.5459850912040155E-3</v>
      </c>
      <c r="BN111" s="5">
        <f t="shared" ca="1" si="365"/>
        <v>6.5939081374907869E-3</v>
      </c>
      <c r="BO111" s="5">
        <f t="shared" ca="1" si="366"/>
        <v>7.0937674968734781E-3</v>
      </c>
      <c r="BP111" s="5">
        <f t="shared" ca="1" si="367"/>
        <v>6.8088181984821286E-3</v>
      </c>
      <c r="BQ111" s="5">
        <f t="shared" ca="1" si="368"/>
        <v>6.4212572305812144E-3</v>
      </c>
      <c r="BR111" s="5">
        <f t="shared" ca="1" si="369"/>
        <v>6.8790969636289912E-3</v>
      </c>
      <c r="BS111" s="5">
        <f t="shared" ca="1" si="370"/>
        <v>6.7094972029078763E-3</v>
      </c>
      <c r="BT111" s="5">
        <f t="shared" ca="1" si="371"/>
        <v>6.8031955586184602E-3</v>
      </c>
      <c r="BU111" s="5">
        <f t="shared" ca="1" si="372"/>
        <v>6.7737614219342086E-3</v>
      </c>
      <c r="BV111" s="5">
        <f t="shared" ca="1" si="373"/>
        <v>6.8307451901041859E-3</v>
      </c>
      <c r="BW111" s="5">
        <f t="shared" ca="1" si="374"/>
        <v>6.8685863907508391E-3</v>
      </c>
      <c r="BX111" s="5">
        <f t="shared" ca="1" si="375"/>
        <v>7.2624286808271651E-3</v>
      </c>
      <c r="BY111" s="5">
        <f t="shared" ca="1" si="376"/>
        <v>6.3150106303267711E-3</v>
      </c>
      <c r="BZ111" s="5">
        <f t="shared" ca="1" si="377"/>
        <v>7.0225505826660324E-3</v>
      </c>
      <c r="CA111" s="5">
        <f t="shared" ca="1" si="378"/>
        <v>6.2267341954953858E-3</v>
      </c>
      <c r="CB111" s="5">
        <f t="shared" ca="1" si="379"/>
        <v>6.9489341483140012E-3</v>
      </c>
      <c r="CC111" s="5">
        <f t="shared" ca="1" si="380"/>
        <v>6.6296787056612985E-3</v>
      </c>
      <c r="CD111" s="5">
        <f t="shared" ca="1" si="381"/>
        <v>6.9949083942015258E-3</v>
      </c>
      <c r="CE111" s="5">
        <f t="shared" ca="1" si="382"/>
        <v>6.5096358781497332E-3</v>
      </c>
      <c r="CF111" s="5">
        <f t="shared" ca="1" si="383"/>
        <v>7.0638944723133016E-3</v>
      </c>
      <c r="CG111" s="5">
        <f t="shared" ca="1" si="384"/>
        <v>6.8035156465176523E-3</v>
      </c>
      <c r="CH111" s="5">
        <f t="shared" ca="1" si="385"/>
        <v>6.0894953757110173E-3</v>
      </c>
      <c r="CI111" s="5">
        <f t="shared" ca="1" si="386"/>
        <v>7.4225477903578467E-3</v>
      </c>
      <c r="CJ111" s="5">
        <f t="shared" ca="1" si="387"/>
        <v>6.9467588452388424E-3</v>
      </c>
      <c r="CK111" s="5">
        <f t="shared" ca="1" si="388"/>
        <v>7.300741234211248E-3</v>
      </c>
      <c r="CL111" s="5">
        <f t="shared" ca="1" si="389"/>
        <v>7.6009076775176805E-3</v>
      </c>
      <c r="CM111" s="5">
        <f t="shared" ca="1" si="390"/>
        <v>7.0204188853793354E-3</v>
      </c>
      <c r="CN111" s="5">
        <f t="shared" ca="1" si="391"/>
        <v>6.8299139411630433E-3</v>
      </c>
      <c r="CO111" s="5">
        <f t="shared" ca="1" si="392"/>
        <v>7.2276268583225502E-3</v>
      </c>
      <c r="CP111" s="5">
        <f t="shared" ca="1" si="393"/>
        <v>6.3280354513990233E-3</v>
      </c>
      <c r="CQ111" s="5">
        <f t="shared" ca="1" si="394"/>
        <v>7.6320903120757188E-3</v>
      </c>
      <c r="CR111" s="5">
        <f t="shared" ca="1" si="395"/>
        <v>6.9645402877676925E-3</v>
      </c>
      <c r="CS111" s="5">
        <f t="shared" ca="1" si="396"/>
        <v>7.0829193647198654E-3</v>
      </c>
      <c r="CT111" s="5">
        <f t="shared" ca="1" si="397"/>
        <v>7.2364743943999967E-3</v>
      </c>
      <c r="CU111" s="5">
        <f t="shared" ca="1" si="398"/>
        <v>6.5224916581179881E-3</v>
      </c>
      <c r="CV111" s="5">
        <f t="shared" ca="1" si="399"/>
        <v>7.2570680788391385E-3</v>
      </c>
      <c r="CW111" s="5">
        <f t="shared" ca="1" si="400"/>
        <v>6.9249994551543979E-3</v>
      </c>
      <c r="CX111" s="5">
        <f t="shared" ca="1" si="401"/>
        <v>6.8416278396505655E-3</v>
      </c>
      <c r="CY111" s="5">
        <f t="shared" ca="1" si="402"/>
        <v>6.7197445474139307E-3</v>
      </c>
      <c r="CZ111" s="5">
        <f t="shared" ca="1" si="403"/>
        <v>6.115935951429799E-3</v>
      </c>
      <c r="DA111" s="5">
        <f t="shared" ca="1" si="404"/>
        <v>6.6515299098114369E-3</v>
      </c>
      <c r="DB111" s="5">
        <f t="shared" ca="1" si="405"/>
        <v>6.880231078360226E-3</v>
      </c>
      <c r="DC111" s="5">
        <f t="shared" ca="1" si="406"/>
        <v>6.9898879053296387E-3</v>
      </c>
      <c r="DD111" s="5">
        <f t="shared" ca="1" si="407"/>
        <v>6.7986313725402221E-3</v>
      </c>
      <c r="DE111" s="5">
        <f t="shared" ca="1" si="408"/>
        <v>6.7686634518481009E-3</v>
      </c>
      <c r="DF111" s="5">
        <f t="shared" ca="1" si="409"/>
        <v>6.8398216748311513E-3</v>
      </c>
      <c r="DG111" s="5">
        <f t="shared" ca="1" si="410"/>
        <v>6.7751556163903543E-3</v>
      </c>
      <c r="DH111" s="5">
        <f t="shared" ca="1" si="411"/>
        <v>7.2707288563792121E-3</v>
      </c>
      <c r="DI111" s="5">
        <f t="shared" ca="1" si="412"/>
        <v>7.1576724750514993E-3</v>
      </c>
      <c r="DJ111" s="5">
        <f t="shared" ca="1" si="413"/>
        <v>7.0396674247687656E-3</v>
      </c>
    </row>
    <row r="112" spans="5:114" x14ac:dyDescent="0.2">
      <c r="E112" s="32">
        <v>47880</v>
      </c>
      <c r="F112" s="9">
        <v>3997.9944972931889</v>
      </c>
      <c r="G112" s="5">
        <f t="shared" ca="1" si="311"/>
        <v>5.6408378008771416E-2</v>
      </c>
      <c r="H112" s="5">
        <f t="shared" ca="1" si="312"/>
        <v>6.5018938364559496E-3</v>
      </c>
      <c r="I112" s="9">
        <f t="shared" ca="1" si="313"/>
        <v>319892.81313190842</v>
      </c>
      <c r="K112" s="36">
        <v>108</v>
      </c>
      <c r="N112" s="32">
        <v>47849</v>
      </c>
      <c r="O112" s="5">
        <f t="shared" ca="1" si="314"/>
        <v>7.2953185373056638E-3</v>
      </c>
      <c r="P112" s="5">
        <f t="shared" ca="1" si="315"/>
        <v>7.2149870197975915E-3</v>
      </c>
      <c r="Q112" s="5">
        <f t="shared" ca="1" si="316"/>
        <v>6.9983990744978321E-3</v>
      </c>
      <c r="R112" s="5">
        <f t="shared" ca="1" si="317"/>
        <v>6.3736315447138515E-3</v>
      </c>
      <c r="S112" s="5">
        <f t="shared" ca="1" si="318"/>
        <v>6.6254264936527413E-3</v>
      </c>
      <c r="T112" s="5">
        <f t="shared" ca="1" si="319"/>
        <v>6.0653070699680468E-3</v>
      </c>
      <c r="U112" s="5">
        <f t="shared" ca="1" si="320"/>
        <v>6.8580635253732095E-3</v>
      </c>
      <c r="V112" s="5">
        <f t="shared" ca="1" si="321"/>
        <v>6.3958751676903222E-3</v>
      </c>
      <c r="W112" s="5">
        <f t="shared" ca="1" si="322"/>
        <v>7.1088121557571615E-3</v>
      </c>
      <c r="X112" s="5">
        <f t="shared" ca="1" si="323"/>
        <v>6.6334654716927446E-3</v>
      </c>
      <c r="Y112" s="5">
        <f t="shared" ca="1" si="324"/>
        <v>7.374631456677775E-3</v>
      </c>
      <c r="Z112" s="5">
        <f t="shared" ca="1" si="325"/>
        <v>7.2109862910817559E-3</v>
      </c>
      <c r="AA112" s="5">
        <f t="shared" ca="1" si="326"/>
        <v>6.9489101030261674E-3</v>
      </c>
      <c r="AB112" s="5">
        <f t="shared" ca="1" si="327"/>
        <v>7.5889308200271467E-3</v>
      </c>
      <c r="AC112" s="5">
        <f t="shared" ca="1" si="328"/>
        <v>6.8775943721284469E-3</v>
      </c>
      <c r="AD112" s="5">
        <f t="shared" ca="1" si="329"/>
        <v>7.1008996811101881E-3</v>
      </c>
      <c r="AE112" s="5">
        <f t="shared" ca="1" si="330"/>
        <v>7.3608040201325184E-3</v>
      </c>
      <c r="AF112" s="5">
        <f t="shared" ca="1" si="331"/>
        <v>6.796389660756086E-3</v>
      </c>
      <c r="AG112" s="5">
        <f t="shared" ca="1" si="332"/>
        <v>7.1261390752617075E-3</v>
      </c>
      <c r="AH112" s="5">
        <f t="shared" ca="1" si="333"/>
        <v>6.5424721422680451E-3</v>
      </c>
      <c r="AI112" s="5">
        <f t="shared" ca="1" si="334"/>
        <v>7.3184912847786103E-3</v>
      </c>
      <c r="AJ112" s="5">
        <f t="shared" ca="1" si="335"/>
        <v>6.0931229323788576E-3</v>
      </c>
      <c r="AK112" s="5">
        <f t="shared" ca="1" si="336"/>
        <v>7.1586075156745265E-3</v>
      </c>
      <c r="AL112" s="5">
        <f t="shared" ca="1" si="337"/>
        <v>6.5581524526901226E-3</v>
      </c>
      <c r="AM112" s="5">
        <f t="shared" ca="1" si="338"/>
        <v>6.6312842859788329E-3</v>
      </c>
      <c r="AN112" s="5">
        <f t="shared" ca="1" si="339"/>
        <v>6.7514972945132605E-3</v>
      </c>
      <c r="AO112" s="5">
        <f t="shared" ca="1" si="340"/>
        <v>7.880971611834129E-3</v>
      </c>
      <c r="AP112" s="5">
        <f t="shared" ca="1" si="341"/>
        <v>6.8050985536849441E-3</v>
      </c>
      <c r="AQ112" s="5">
        <f t="shared" ca="1" si="342"/>
        <v>6.1764102701914996E-3</v>
      </c>
      <c r="AR112" s="5">
        <f t="shared" ca="1" si="343"/>
        <v>6.8931660062306662E-3</v>
      </c>
      <c r="AS112" s="5">
        <f t="shared" ca="1" si="344"/>
        <v>6.7548307316108169E-3</v>
      </c>
      <c r="AT112" s="5">
        <f t="shared" ca="1" si="345"/>
        <v>6.2291168026200917E-3</v>
      </c>
      <c r="AU112" s="5">
        <f t="shared" ca="1" si="346"/>
        <v>6.8158283464959581E-3</v>
      </c>
      <c r="AV112" s="5">
        <f t="shared" ca="1" si="347"/>
        <v>6.3853131818681083E-3</v>
      </c>
      <c r="AW112" s="5">
        <f t="shared" ca="1" si="348"/>
        <v>7.4688917919210791E-3</v>
      </c>
      <c r="AX112" s="5">
        <f t="shared" ca="1" si="349"/>
        <v>6.5717784397503597E-3</v>
      </c>
      <c r="AY112" s="5">
        <f t="shared" ca="1" si="350"/>
        <v>6.9911693132145552E-3</v>
      </c>
      <c r="AZ112" s="5">
        <f t="shared" ca="1" si="351"/>
        <v>7.6372504084134644E-3</v>
      </c>
      <c r="BA112" s="5">
        <f t="shared" ca="1" si="352"/>
        <v>6.7560760381145061E-3</v>
      </c>
      <c r="BB112" s="5">
        <f t="shared" ca="1" si="353"/>
        <v>6.7208784326223412E-3</v>
      </c>
      <c r="BC112" s="5">
        <f t="shared" ca="1" si="354"/>
        <v>7.1565514483181523E-3</v>
      </c>
      <c r="BD112" s="5">
        <f t="shared" ca="1" si="355"/>
        <v>6.9045895512926635E-3</v>
      </c>
      <c r="BE112" s="5">
        <f t="shared" ca="1" si="356"/>
        <v>7.5115084240187846E-3</v>
      </c>
      <c r="BF112" s="5">
        <f t="shared" ca="1" si="357"/>
        <v>6.7650843029044951E-3</v>
      </c>
      <c r="BG112" s="5">
        <f t="shared" ca="1" si="358"/>
        <v>7.0089690085278229E-3</v>
      </c>
      <c r="BH112" s="5">
        <f t="shared" ca="1" si="359"/>
        <v>6.4670117863463725E-3</v>
      </c>
      <c r="BI112" s="5">
        <f t="shared" ca="1" si="360"/>
        <v>7.5148429959587884E-3</v>
      </c>
      <c r="BJ112" s="5">
        <f t="shared" ca="1" si="361"/>
        <v>7.3797231396264514E-3</v>
      </c>
      <c r="BK112" s="5">
        <f t="shared" ca="1" si="362"/>
        <v>7.6432281623886695E-3</v>
      </c>
      <c r="BL112" s="5">
        <f t="shared" ca="1" si="363"/>
        <v>7.1098751245095996E-3</v>
      </c>
      <c r="BM112" s="5">
        <f t="shared" ca="1" si="364"/>
        <v>6.6294072599969193E-3</v>
      </c>
      <c r="BN112" s="5">
        <f t="shared" ca="1" si="365"/>
        <v>6.577771693743851E-3</v>
      </c>
      <c r="BO112" s="5">
        <f t="shared" ca="1" si="366"/>
        <v>7.1181622103342343E-3</v>
      </c>
      <c r="BP112" s="5">
        <f t="shared" ca="1" si="367"/>
        <v>6.8965607223937858E-3</v>
      </c>
      <c r="BQ112" s="5">
        <f t="shared" ca="1" si="368"/>
        <v>6.4532093755256641E-3</v>
      </c>
      <c r="BR112" s="5">
        <f t="shared" ca="1" si="369"/>
        <v>6.8874996891746514E-3</v>
      </c>
      <c r="BS112" s="5">
        <f t="shared" ca="1" si="370"/>
        <v>6.7854396453011969E-3</v>
      </c>
      <c r="BT112" s="5">
        <f t="shared" ca="1" si="371"/>
        <v>6.8051804770630194E-3</v>
      </c>
      <c r="BU112" s="5">
        <f t="shared" ca="1" si="372"/>
        <v>6.7316257320064431E-3</v>
      </c>
      <c r="BV112" s="5">
        <f t="shared" ca="1" si="373"/>
        <v>6.8854431525368198E-3</v>
      </c>
      <c r="BW112" s="5">
        <f t="shared" ca="1" si="374"/>
        <v>6.8796917719132584E-3</v>
      </c>
      <c r="BX112" s="5">
        <f t="shared" ca="1" si="375"/>
        <v>7.2449049581787064E-3</v>
      </c>
      <c r="BY112" s="5">
        <f t="shared" ca="1" si="376"/>
        <v>6.3451733516734334E-3</v>
      </c>
      <c r="BZ112" s="5">
        <f t="shared" ca="1" si="377"/>
        <v>6.9842015156566508E-3</v>
      </c>
      <c r="CA112" s="5">
        <f t="shared" ca="1" si="378"/>
        <v>6.2579112271120129E-3</v>
      </c>
      <c r="CB112" s="5">
        <f t="shared" ca="1" si="379"/>
        <v>6.887733572119777E-3</v>
      </c>
      <c r="CC112" s="5">
        <f t="shared" ca="1" si="380"/>
        <v>6.602434831300609E-3</v>
      </c>
      <c r="CD112" s="5">
        <f t="shared" ca="1" si="381"/>
        <v>6.9886256037221799E-3</v>
      </c>
      <c r="CE112" s="5">
        <f t="shared" ca="1" si="382"/>
        <v>6.5963102832367147E-3</v>
      </c>
      <c r="CF112" s="5">
        <f t="shared" ca="1" si="383"/>
        <v>7.1300929779158397E-3</v>
      </c>
      <c r="CG112" s="5">
        <f t="shared" ca="1" si="384"/>
        <v>6.8214096802610338E-3</v>
      </c>
      <c r="CH112" s="5">
        <f t="shared" ca="1" si="385"/>
        <v>6.0354435470709152E-3</v>
      </c>
      <c r="CI112" s="5">
        <f t="shared" ca="1" si="386"/>
        <v>7.4268612676735837E-3</v>
      </c>
      <c r="CJ112" s="5">
        <f t="shared" ca="1" si="387"/>
        <v>6.9032842824845835E-3</v>
      </c>
      <c r="CK112" s="5">
        <f t="shared" ca="1" si="388"/>
        <v>7.3150475450866346E-3</v>
      </c>
      <c r="CL112" s="5">
        <f t="shared" ca="1" si="389"/>
        <v>7.6081433078898676E-3</v>
      </c>
      <c r="CM112" s="5">
        <f t="shared" ca="1" si="390"/>
        <v>7.0013372203106532E-3</v>
      </c>
      <c r="CN112" s="5">
        <f t="shared" ca="1" si="391"/>
        <v>6.899425017110411E-3</v>
      </c>
      <c r="CO112" s="5">
        <f t="shared" ca="1" si="392"/>
        <v>7.242074003595337E-3</v>
      </c>
      <c r="CP112" s="5">
        <f t="shared" ca="1" si="393"/>
        <v>6.3020840676847913E-3</v>
      </c>
      <c r="CQ112" s="5">
        <f t="shared" ca="1" si="394"/>
        <v>7.6238637812504296E-3</v>
      </c>
      <c r="CR112" s="5">
        <f t="shared" ca="1" si="395"/>
        <v>6.9237584318608625E-3</v>
      </c>
      <c r="CS112" s="5">
        <f t="shared" ca="1" si="396"/>
        <v>7.0407961732254238E-3</v>
      </c>
      <c r="CT112" s="5">
        <f t="shared" ca="1" si="397"/>
        <v>7.2239736343206341E-3</v>
      </c>
      <c r="CU112" s="5">
        <f t="shared" ca="1" si="398"/>
        <v>6.4741952082721967E-3</v>
      </c>
      <c r="CV112" s="5">
        <f t="shared" ca="1" si="399"/>
        <v>7.3011520646250622E-3</v>
      </c>
      <c r="CW112" s="5">
        <f t="shared" ca="1" si="400"/>
        <v>6.9308594658756247E-3</v>
      </c>
      <c r="CX112" s="5">
        <f t="shared" ca="1" si="401"/>
        <v>6.8318232558814643E-3</v>
      </c>
      <c r="CY112" s="5">
        <f t="shared" ca="1" si="402"/>
        <v>6.7919713954311062E-3</v>
      </c>
      <c r="CZ112" s="5">
        <f t="shared" ca="1" si="403"/>
        <v>6.1922459103686649E-3</v>
      </c>
      <c r="DA112" s="5">
        <f t="shared" ca="1" si="404"/>
        <v>6.664040846525332E-3</v>
      </c>
      <c r="DB112" s="5">
        <f t="shared" ca="1" si="405"/>
        <v>6.8544645936896688E-3</v>
      </c>
      <c r="DC112" s="5">
        <f t="shared" ca="1" si="406"/>
        <v>6.9845270351111093E-3</v>
      </c>
      <c r="DD112" s="5">
        <f t="shared" ca="1" si="407"/>
        <v>6.7721518953617922E-3</v>
      </c>
      <c r="DE112" s="5">
        <f t="shared" ca="1" si="408"/>
        <v>6.7675026776181256E-3</v>
      </c>
      <c r="DF112" s="5">
        <f t="shared" ca="1" si="409"/>
        <v>6.9236669373813021E-3</v>
      </c>
      <c r="DG112" s="5">
        <f t="shared" ca="1" si="410"/>
        <v>6.778820270327942E-3</v>
      </c>
      <c r="DH112" s="5">
        <f t="shared" ca="1" si="411"/>
        <v>7.2643168532669708E-3</v>
      </c>
      <c r="DI112" s="5">
        <f t="shared" ca="1" si="412"/>
        <v>7.1343596809911669E-3</v>
      </c>
      <c r="DJ112" s="5">
        <f t="shared" ca="1" si="413"/>
        <v>7.023809151847432E-3</v>
      </c>
    </row>
    <row r="113" spans="4:114" x14ac:dyDescent="0.2">
      <c r="E113" s="32">
        <v>47908</v>
      </c>
      <c r="F113" s="9">
        <v>3997.9944972931889</v>
      </c>
      <c r="G113" s="5">
        <f t="shared" ca="1" si="311"/>
        <v>7.6410570591253085E-2</v>
      </c>
      <c r="H113" s="5">
        <f t="shared" ca="1" si="312"/>
        <v>6.5365266319699676E-3</v>
      </c>
      <c r="I113" s="9">
        <f t="shared" ca="1" si="313"/>
        <v>324065.10408648616</v>
      </c>
      <c r="K113" s="36">
        <v>109</v>
      </c>
      <c r="N113" s="32">
        <v>47880</v>
      </c>
      <c r="O113" s="5">
        <f t="shared" ca="1" si="314"/>
        <v>7.3532457364798107E-3</v>
      </c>
      <c r="P113" s="5">
        <f t="shared" ca="1" si="315"/>
        <v>7.2725158898108598E-3</v>
      </c>
      <c r="Q113" s="5">
        <f t="shared" ca="1" si="316"/>
        <v>6.9815841069263574E-3</v>
      </c>
      <c r="R113" s="5">
        <f t="shared" ca="1" si="317"/>
        <v>6.3470985726396976E-3</v>
      </c>
      <c r="S113" s="5">
        <f t="shared" ca="1" si="318"/>
        <v>6.6026618994188399E-3</v>
      </c>
      <c r="T113" s="5">
        <f t="shared" ca="1" si="319"/>
        <v>6.1508811669984337E-3</v>
      </c>
      <c r="U113" s="5">
        <f t="shared" ca="1" si="320"/>
        <v>6.8123042778882358E-3</v>
      </c>
      <c r="V113" s="5">
        <f t="shared" ca="1" si="321"/>
        <v>6.3986134238819123E-3</v>
      </c>
      <c r="W113" s="5">
        <f t="shared" ca="1" si="322"/>
        <v>7.1142083324411444E-3</v>
      </c>
      <c r="X113" s="5">
        <f t="shared" ca="1" si="323"/>
        <v>6.6454741760385919E-3</v>
      </c>
      <c r="Y113" s="5">
        <f t="shared" ca="1" si="324"/>
        <v>7.4039431429199828E-3</v>
      </c>
      <c r="Z113" s="5">
        <f t="shared" ca="1" si="325"/>
        <v>7.2762133093054321E-3</v>
      </c>
      <c r="AA113" s="5">
        <f t="shared" ca="1" si="326"/>
        <v>6.916832971847307E-3</v>
      </c>
      <c r="AB113" s="5">
        <f t="shared" ca="1" si="327"/>
        <v>7.607038457289726E-3</v>
      </c>
      <c r="AC113" s="5">
        <f t="shared" ca="1" si="328"/>
        <v>6.9060125888130751E-3</v>
      </c>
      <c r="AD113" s="5">
        <f t="shared" ca="1" si="329"/>
        <v>7.0891559060168915E-3</v>
      </c>
      <c r="AE113" s="5">
        <f t="shared" ca="1" si="330"/>
        <v>7.3477859771833064E-3</v>
      </c>
      <c r="AF113" s="5">
        <f t="shared" ca="1" si="331"/>
        <v>6.8460549663128577E-3</v>
      </c>
      <c r="AG113" s="5">
        <f t="shared" ca="1" si="332"/>
        <v>7.1322180354225382E-3</v>
      </c>
      <c r="AH113" s="5">
        <f t="shared" ca="1" si="333"/>
        <v>6.6065058304171547E-3</v>
      </c>
      <c r="AI113" s="5">
        <f t="shared" ca="1" si="334"/>
        <v>7.251996444557038E-3</v>
      </c>
      <c r="AJ113" s="5">
        <f t="shared" ca="1" si="335"/>
        <v>6.0504980283757311E-3</v>
      </c>
      <c r="AK113" s="5">
        <f t="shared" ca="1" si="336"/>
        <v>7.2248959472479141E-3</v>
      </c>
      <c r="AL113" s="5">
        <f t="shared" ca="1" si="337"/>
        <v>6.5845506258107468E-3</v>
      </c>
      <c r="AM113" s="5">
        <f t="shared" ca="1" si="338"/>
        <v>6.5762269644132933E-3</v>
      </c>
      <c r="AN113" s="5">
        <f t="shared" ca="1" si="339"/>
        <v>6.7097743938037899E-3</v>
      </c>
      <c r="AO113" s="5">
        <f t="shared" ca="1" si="340"/>
        <v>7.8825783132344795E-3</v>
      </c>
      <c r="AP113" s="5">
        <f t="shared" ca="1" si="341"/>
        <v>6.7239457449278948E-3</v>
      </c>
      <c r="AQ113" s="5">
        <f t="shared" ca="1" si="342"/>
        <v>6.1634745888323591E-3</v>
      </c>
      <c r="AR113" s="5">
        <f t="shared" ca="1" si="343"/>
        <v>6.9651428744175667E-3</v>
      </c>
      <c r="AS113" s="5">
        <f t="shared" ca="1" si="344"/>
        <v>6.6974913927893061E-3</v>
      </c>
      <c r="AT113" s="5">
        <f t="shared" ca="1" si="345"/>
        <v>6.244495391772264E-3</v>
      </c>
      <c r="AU113" s="5">
        <f t="shared" ca="1" si="346"/>
        <v>6.8335610835326202E-3</v>
      </c>
      <c r="AV113" s="5">
        <f t="shared" ca="1" si="347"/>
        <v>6.4500417500440131E-3</v>
      </c>
      <c r="AW113" s="5">
        <f t="shared" ca="1" si="348"/>
        <v>7.4156043671288804E-3</v>
      </c>
      <c r="AX113" s="5">
        <f t="shared" ca="1" si="349"/>
        <v>6.6309876239814824E-3</v>
      </c>
      <c r="AY113" s="5">
        <f t="shared" ca="1" si="350"/>
        <v>7.0880231692413333E-3</v>
      </c>
      <c r="AZ113" s="5">
        <f t="shared" ca="1" si="351"/>
        <v>7.7092716956622728E-3</v>
      </c>
      <c r="BA113" s="5">
        <f t="shared" ca="1" si="352"/>
        <v>6.7304342832859567E-3</v>
      </c>
      <c r="BB113" s="5">
        <f t="shared" ca="1" si="353"/>
        <v>6.6976808120206332E-3</v>
      </c>
      <c r="BC113" s="5">
        <f t="shared" ca="1" si="354"/>
        <v>7.1305976343057518E-3</v>
      </c>
      <c r="BD113" s="5">
        <f t="shared" ca="1" si="355"/>
        <v>6.8633929294548788E-3</v>
      </c>
      <c r="BE113" s="5">
        <f t="shared" ca="1" si="356"/>
        <v>7.5158459864640174E-3</v>
      </c>
      <c r="BF113" s="5">
        <f t="shared" ca="1" si="357"/>
        <v>6.7116734517209857E-3</v>
      </c>
      <c r="BG113" s="5">
        <f t="shared" ca="1" si="358"/>
        <v>6.9894522160301783E-3</v>
      </c>
      <c r="BH113" s="5">
        <f t="shared" ca="1" si="359"/>
        <v>6.4601252544932283E-3</v>
      </c>
      <c r="BI113" s="5">
        <f t="shared" ca="1" si="360"/>
        <v>7.5626777589518886E-3</v>
      </c>
      <c r="BJ113" s="5">
        <f t="shared" ca="1" si="361"/>
        <v>7.3548702305397057E-3</v>
      </c>
      <c r="BK113" s="5">
        <f t="shared" ca="1" si="362"/>
        <v>7.6585750822542311E-3</v>
      </c>
      <c r="BL113" s="5">
        <f t="shared" ca="1" si="363"/>
        <v>7.0953348488632028E-3</v>
      </c>
      <c r="BM113" s="5">
        <f t="shared" ca="1" si="364"/>
        <v>6.6916353411377843E-3</v>
      </c>
      <c r="BN113" s="5">
        <f t="shared" ca="1" si="365"/>
        <v>6.6109440218516226E-3</v>
      </c>
      <c r="BO113" s="5">
        <f t="shared" ca="1" si="366"/>
        <v>7.0886084549892942E-3</v>
      </c>
      <c r="BP113" s="5">
        <f t="shared" ca="1" si="367"/>
        <v>6.8473428825951655E-3</v>
      </c>
      <c r="BQ113" s="5">
        <f t="shared" ca="1" si="368"/>
        <v>6.3839103259222011E-3</v>
      </c>
      <c r="BR113" s="5">
        <f t="shared" ca="1" si="369"/>
        <v>6.8058906880003453E-3</v>
      </c>
      <c r="BS113" s="5">
        <f t="shared" ca="1" si="370"/>
        <v>6.8697542310839251E-3</v>
      </c>
      <c r="BT113" s="5">
        <f t="shared" ca="1" si="371"/>
        <v>6.7677956475426211E-3</v>
      </c>
      <c r="BU113" s="5">
        <f t="shared" ca="1" si="372"/>
        <v>6.7128053140964698E-3</v>
      </c>
      <c r="BV113" s="5">
        <f t="shared" ca="1" si="373"/>
        <v>6.8773236359557172E-3</v>
      </c>
      <c r="BW113" s="5">
        <f t="shared" ca="1" si="374"/>
        <v>6.951638886071196E-3</v>
      </c>
      <c r="BX113" s="5">
        <f t="shared" ca="1" si="375"/>
        <v>7.336132618726318E-3</v>
      </c>
      <c r="BY113" s="5">
        <f t="shared" ca="1" si="376"/>
        <v>6.3067803634082016E-3</v>
      </c>
      <c r="BZ113" s="5">
        <f t="shared" ca="1" si="377"/>
        <v>7.0163020251588701E-3</v>
      </c>
      <c r="CA113" s="5">
        <f t="shared" ca="1" si="378"/>
        <v>6.3074805458845987E-3</v>
      </c>
      <c r="CB113" s="5">
        <f t="shared" ca="1" si="379"/>
        <v>6.8451414404200606E-3</v>
      </c>
      <c r="CC113" s="5">
        <f t="shared" ca="1" si="380"/>
        <v>6.5721288012133691E-3</v>
      </c>
      <c r="CD113" s="5">
        <f t="shared" ca="1" si="381"/>
        <v>7.0201284020979604E-3</v>
      </c>
      <c r="CE113" s="5">
        <f t="shared" ca="1" si="382"/>
        <v>6.543387540307124E-3</v>
      </c>
      <c r="CF113" s="5">
        <f t="shared" ca="1" si="383"/>
        <v>7.1519777431473877E-3</v>
      </c>
      <c r="CG113" s="5">
        <f t="shared" ca="1" si="384"/>
        <v>6.7360596722373482E-3</v>
      </c>
      <c r="CH113" s="5">
        <f t="shared" ca="1" si="385"/>
        <v>5.9560865922929935E-3</v>
      </c>
      <c r="CI113" s="5">
        <f t="shared" ca="1" si="386"/>
        <v>7.4429449435278816E-3</v>
      </c>
      <c r="CJ113" s="5">
        <f t="shared" ca="1" si="387"/>
        <v>6.9200844631648424E-3</v>
      </c>
      <c r="CK113" s="5">
        <f t="shared" ca="1" si="388"/>
        <v>7.2712247966007938E-3</v>
      </c>
      <c r="CL113" s="5">
        <f t="shared" ca="1" si="389"/>
        <v>7.6577752610236371E-3</v>
      </c>
      <c r="CM113" s="5">
        <f t="shared" ca="1" si="390"/>
        <v>7.0243114840870449E-3</v>
      </c>
      <c r="CN113" s="5">
        <f t="shared" ca="1" si="391"/>
        <v>6.927890147480395E-3</v>
      </c>
      <c r="CO113" s="5">
        <f t="shared" ca="1" si="392"/>
        <v>7.2780107473797281E-3</v>
      </c>
      <c r="CP113" s="5">
        <f t="shared" ca="1" si="393"/>
        <v>6.2713159035881084E-3</v>
      </c>
      <c r="CQ113" s="5">
        <f t="shared" ca="1" si="394"/>
        <v>7.7353741889481901E-3</v>
      </c>
      <c r="CR113" s="5">
        <f t="shared" ca="1" si="395"/>
        <v>6.9321645823442616E-3</v>
      </c>
      <c r="CS113" s="5">
        <f t="shared" ca="1" si="396"/>
        <v>7.0721139122750234E-3</v>
      </c>
      <c r="CT113" s="5">
        <f t="shared" ca="1" si="397"/>
        <v>7.2584002557786985E-3</v>
      </c>
      <c r="CU113" s="5">
        <f t="shared" ca="1" si="398"/>
        <v>6.463028030747592E-3</v>
      </c>
      <c r="CV113" s="5">
        <f t="shared" ca="1" si="399"/>
        <v>7.3718367244933478E-3</v>
      </c>
      <c r="CW113" s="5">
        <f t="shared" ca="1" si="400"/>
        <v>6.9170642434452862E-3</v>
      </c>
      <c r="CX113" s="5">
        <f t="shared" ca="1" si="401"/>
        <v>6.8593869808935793E-3</v>
      </c>
      <c r="CY113" s="5">
        <f t="shared" ca="1" si="402"/>
        <v>6.7620188761166374E-3</v>
      </c>
      <c r="CZ113" s="5">
        <f t="shared" ca="1" si="403"/>
        <v>6.1606904987098936E-3</v>
      </c>
      <c r="DA113" s="5">
        <f t="shared" ca="1" si="404"/>
        <v>6.662175601388166E-3</v>
      </c>
      <c r="DB113" s="5">
        <f t="shared" ca="1" si="405"/>
        <v>6.8317900779118288E-3</v>
      </c>
      <c r="DC113" s="5">
        <f t="shared" ca="1" si="406"/>
        <v>6.9273123227725974E-3</v>
      </c>
      <c r="DD113" s="5">
        <f t="shared" ca="1" si="407"/>
        <v>6.7965202811190555E-3</v>
      </c>
      <c r="DE113" s="5">
        <f t="shared" ca="1" si="408"/>
        <v>6.7839282017852854E-3</v>
      </c>
      <c r="DF113" s="5">
        <f t="shared" ca="1" si="409"/>
        <v>6.9715152681161909E-3</v>
      </c>
      <c r="DG113" s="5">
        <f t="shared" ca="1" si="410"/>
        <v>6.7731225602839992E-3</v>
      </c>
      <c r="DH113" s="5">
        <f t="shared" ca="1" si="411"/>
        <v>7.311569610473914E-3</v>
      </c>
      <c r="DI113" s="5">
        <f t="shared" ca="1" si="412"/>
        <v>7.0953974422640472E-3</v>
      </c>
      <c r="DJ113" s="5">
        <f t="shared" ca="1" si="413"/>
        <v>7.02339010529559E-3</v>
      </c>
    </row>
    <row r="114" spans="4:114" x14ac:dyDescent="0.2">
      <c r="E114" s="32">
        <v>47939</v>
      </c>
      <c r="F114" s="9">
        <v>3997.9944972931889</v>
      </c>
      <c r="G114" s="5">
        <f t="shared" ca="1" si="311"/>
        <v>-1.9957256973477465E-2</v>
      </c>
      <c r="H114" s="5">
        <f t="shared" ca="1" si="312"/>
        <v>6.5815849564260726E-3</v>
      </c>
      <c r="I114" s="9">
        <f t="shared" ca="1" si="313"/>
        <v>328240.88583556504</v>
      </c>
      <c r="K114" s="36">
        <v>110</v>
      </c>
      <c r="N114" s="32">
        <v>47908</v>
      </c>
      <c r="O114" s="5">
        <f t="shared" ca="1" si="314"/>
        <v>7.3555864246893626E-3</v>
      </c>
      <c r="P114" s="5">
        <f t="shared" ca="1" si="315"/>
        <v>7.3658206646347339E-3</v>
      </c>
      <c r="Q114" s="5">
        <f t="shared" ca="1" si="316"/>
        <v>6.9425521229308481E-3</v>
      </c>
      <c r="R114" s="5">
        <f t="shared" ca="1" si="317"/>
        <v>6.3391368890465252E-3</v>
      </c>
      <c r="S114" s="5">
        <f t="shared" ca="1" si="318"/>
        <v>6.607856571130939E-3</v>
      </c>
      <c r="T114" s="5">
        <f t="shared" ca="1" si="319"/>
        <v>6.1246376265118255E-3</v>
      </c>
      <c r="U114" s="5">
        <f t="shared" ca="1" si="320"/>
        <v>6.8452940934019598E-3</v>
      </c>
      <c r="V114" s="5">
        <f t="shared" ca="1" si="321"/>
        <v>6.3921199585861488E-3</v>
      </c>
      <c r="W114" s="5">
        <f t="shared" ca="1" si="322"/>
        <v>7.1140841816271566E-3</v>
      </c>
      <c r="X114" s="5">
        <f t="shared" ca="1" si="323"/>
        <v>6.6676087450329054E-3</v>
      </c>
      <c r="Y114" s="5">
        <f t="shared" ca="1" si="324"/>
        <v>7.4729620608583918E-3</v>
      </c>
      <c r="Z114" s="5">
        <f t="shared" ca="1" si="325"/>
        <v>7.2740892832799569E-3</v>
      </c>
      <c r="AA114" s="5">
        <f t="shared" ca="1" si="326"/>
        <v>6.9137591700775998E-3</v>
      </c>
      <c r="AB114" s="5">
        <f t="shared" ca="1" si="327"/>
        <v>7.6381117985193014E-3</v>
      </c>
      <c r="AC114" s="5">
        <f t="shared" ca="1" si="328"/>
        <v>6.9123308278068339E-3</v>
      </c>
      <c r="AD114" s="5">
        <f t="shared" ca="1" si="329"/>
        <v>7.0488536894241921E-3</v>
      </c>
      <c r="AE114" s="5">
        <f t="shared" ca="1" si="330"/>
        <v>7.2250760296003304E-3</v>
      </c>
      <c r="AF114" s="5">
        <f t="shared" ca="1" si="331"/>
        <v>6.8539781149328871E-3</v>
      </c>
      <c r="AG114" s="5">
        <f t="shared" ca="1" si="332"/>
        <v>7.1792545147856433E-3</v>
      </c>
      <c r="AH114" s="5">
        <f t="shared" ca="1" si="333"/>
        <v>6.7036512548162624E-3</v>
      </c>
      <c r="AI114" s="5">
        <f t="shared" ca="1" si="334"/>
        <v>7.1806035223316213E-3</v>
      </c>
      <c r="AJ114" s="5">
        <f t="shared" ca="1" si="335"/>
        <v>6.0814040979819293E-3</v>
      </c>
      <c r="AK114" s="5">
        <f t="shared" ca="1" si="336"/>
        <v>7.2563768048431333E-3</v>
      </c>
      <c r="AL114" s="5">
        <f t="shared" ca="1" si="337"/>
        <v>6.623478090946616E-3</v>
      </c>
      <c r="AM114" s="5">
        <f t="shared" ca="1" si="338"/>
        <v>6.5781919347263074E-3</v>
      </c>
      <c r="AN114" s="5">
        <f t="shared" ca="1" si="339"/>
        <v>6.7554686369452029E-3</v>
      </c>
      <c r="AO114" s="5">
        <f t="shared" ca="1" si="340"/>
        <v>7.8625947416612607E-3</v>
      </c>
      <c r="AP114" s="5">
        <f t="shared" ca="1" si="341"/>
        <v>6.7630103161258146E-3</v>
      </c>
      <c r="AQ114" s="5">
        <f t="shared" ca="1" si="342"/>
        <v>6.1070576308642835E-3</v>
      </c>
      <c r="AR114" s="5">
        <f t="shared" ca="1" si="343"/>
        <v>7.0381196380851904E-3</v>
      </c>
      <c r="AS114" s="5">
        <f t="shared" ca="1" si="344"/>
        <v>6.7176747743386642E-3</v>
      </c>
      <c r="AT114" s="5">
        <f t="shared" ca="1" si="345"/>
        <v>6.2276819597347349E-3</v>
      </c>
      <c r="AU114" s="5">
        <f t="shared" ca="1" si="346"/>
        <v>6.7940360354975821E-3</v>
      </c>
      <c r="AV114" s="5">
        <f t="shared" ca="1" si="347"/>
        <v>6.5198091840829153E-3</v>
      </c>
      <c r="AW114" s="5">
        <f t="shared" ca="1" si="348"/>
        <v>7.369182479421677E-3</v>
      </c>
      <c r="AX114" s="5">
        <f t="shared" ca="1" si="349"/>
        <v>6.652298974591693E-3</v>
      </c>
      <c r="AY114" s="5">
        <f t="shared" ca="1" si="350"/>
        <v>7.081527938824419E-3</v>
      </c>
      <c r="AZ114" s="5">
        <f t="shared" ca="1" si="351"/>
        <v>7.7417851013163123E-3</v>
      </c>
      <c r="BA114" s="5">
        <f t="shared" ca="1" si="352"/>
        <v>6.7663802415018157E-3</v>
      </c>
      <c r="BB114" s="5">
        <f t="shared" ca="1" si="353"/>
        <v>6.6746645950095679E-3</v>
      </c>
      <c r="BC114" s="5">
        <f t="shared" ca="1" si="354"/>
        <v>7.159486808618251E-3</v>
      </c>
      <c r="BD114" s="5">
        <f t="shared" ca="1" si="355"/>
        <v>6.8261104129802245E-3</v>
      </c>
      <c r="BE114" s="5">
        <f t="shared" ca="1" si="356"/>
        <v>7.5482299538326926E-3</v>
      </c>
      <c r="BF114" s="5">
        <f t="shared" ca="1" si="357"/>
        <v>6.6856595974438002E-3</v>
      </c>
      <c r="BG114" s="5">
        <f t="shared" ca="1" si="358"/>
        <v>6.9371344958116246E-3</v>
      </c>
      <c r="BH114" s="5">
        <f t="shared" ca="1" si="359"/>
        <v>6.4873616119295622E-3</v>
      </c>
      <c r="BI114" s="5">
        <f t="shared" ca="1" si="360"/>
        <v>7.560115077034483E-3</v>
      </c>
      <c r="BJ114" s="5">
        <f t="shared" ca="1" si="361"/>
        <v>7.2578078052268008E-3</v>
      </c>
      <c r="BK114" s="5">
        <f t="shared" ca="1" si="362"/>
        <v>7.6523842275908706E-3</v>
      </c>
      <c r="BL114" s="5">
        <f t="shared" ca="1" si="363"/>
        <v>7.1314640490685701E-3</v>
      </c>
      <c r="BM114" s="5">
        <f t="shared" ca="1" si="364"/>
        <v>6.6399031613816389E-3</v>
      </c>
      <c r="BN114" s="5">
        <f t="shared" ca="1" si="365"/>
        <v>6.6105910488680917E-3</v>
      </c>
      <c r="BO114" s="5">
        <f t="shared" ca="1" si="366"/>
        <v>7.1190255839856387E-3</v>
      </c>
      <c r="BP114" s="5">
        <f t="shared" ca="1" si="367"/>
        <v>6.912182091380851E-3</v>
      </c>
      <c r="BQ114" s="5">
        <f t="shared" ca="1" si="368"/>
        <v>6.4343709933298828E-3</v>
      </c>
      <c r="BR114" s="5">
        <f t="shared" ca="1" si="369"/>
        <v>6.7616494264077735E-3</v>
      </c>
      <c r="BS114" s="5">
        <f t="shared" ca="1" si="370"/>
        <v>6.8311852929636395E-3</v>
      </c>
      <c r="BT114" s="5">
        <f t="shared" ca="1" si="371"/>
        <v>6.7165640929296826E-3</v>
      </c>
      <c r="BU114" s="5">
        <f t="shared" ca="1" si="372"/>
        <v>6.6605613749790311E-3</v>
      </c>
      <c r="BV114" s="5">
        <f t="shared" ca="1" si="373"/>
        <v>6.9122374676050709E-3</v>
      </c>
      <c r="BW114" s="5">
        <f t="shared" ca="1" si="374"/>
        <v>7.0253187554249804E-3</v>
      </c>
      <c r="BX114" s="5">
        <f t="shared" ca="1" si="375"/>
        <v>7.3340652184129534E-3</v>
      </c>
      <c r="BY114" s="5">
        <f t="shared" ca="1" si="376"/>
        <v>6.347194509598586E-3</v>
      </c>
      <c r="BZ114" s="5">
        <f t="shared" ca="1" si="377"/>
        <v>6.9883352733542438E-3</v>
      </c>
      <c r="CA114" s="5">
        <f t="shared" ca="1" si="378"/>
        <v>6.2893045157090431E-3</v>
      </c>
      <c r="CB114" s="5">
        <f t="shared" ca="1" si="379"/>
        <v>6.8356033828936014E-3</v>
      </c>
      <c r="CC114" s="5">
        <f t="shared" ca="1" si="380"/>
        <v>6.5762781444766516E-3</v>
      </c>
      <c r="CD114" s="5">
        <f t="shared" ca="1" si="381"/>
        <v>7.010294079234424E-3</v>
      </c>
      <c r="CE114" s="5">
        <f t="shared" ca="1" si="382"/>
        <v>6.598498870734975E-3</v>
      </c>
      <c r="CF114" s="5">
        <f t="shared" ca="1" si="383"/>
        <v>7.1330789193938043E-3</v>
      </c>
      <c r="CG114" s="5">
        <f t="shared" ca="1" si="384"/>
        <v>6.7735842121285292E-3</v>
      </c>
      <c r="CH114" s="5">
        <f t="shared" ca="1" si="385"/>
        <v>5.9310195040520805E-3</v>
      </c>
      <c r="CI114" s="5">
        <f t="shared" ca="1" si="386"/>
        <v>7.5057195473715249E-3</v>
      </c>
      <c r="CJ114" s="5">
        <f t="shared" ca="1" si="387"/>
        <v>6.9840492728988892E-3</v>
      </c>
      <c r="CK114" s="5">
        <f t="shared" ca="1" si="388"/>
        <v>7.2971733660837567E-3</v>
      </c>
      <c r="CL114" s="5">
        <f t="shared" ca="1" si="389"/>
        <v>7.7225612086466652E-3</v>
      </c>
      <c r="CM114" s="5">
        <f t="shared" ca="1" si="390"/>
        <v>7.0437054094851298E-3</v>
      </c>
      <c r="CN114" s="5">
        <f t="shared" ca="1" si="391"/>
        <v>6.9451508785627466E-3</v>
      </c>
      <c r="CO114" s="5">
        <f t="shared" ca="1" si="392"/>
        <v>7.2928747588829482E-3</v>
      </c>
      <c r="CP114" s="5">
        <f t="shared" ca="1" si="393"/>
        <v>6.201793889353234E-3</v>
      </c>
      <c r="CQ114" s="5">
        <f t="shared" ca="1" si="394"/>
        <v>7.7444023151972408E-3</v>
      </c>
      <c r="CR114" s="5">
        <f t="shared" ca="1" si="395"/>
        <v>6.9851796567884008E-3</v>
      </c>
      <c r="CS114" s="5">
        <f t="shared" ca="1" si="396"/>
        <v>7.1699727226373997E-3</v>
      </c>
      <c r="CT114" s="5">
        <f t="shared" ca="1" si="397"/>
        <v>7.269442648732998E-3</v>
      </c>
      <c r="CU114" s="5">
        <f t="shared" ca="1" si="398"/>
        <v>6.4551395780289792E-3</v>
      </c>
      <c r="CV114" s="5">
        <f t="shared" ca="1" si="399"/>
        <v>7.3975407634899381E-3</v>
      </c>
      <c r="CW114" s="5">
        <f t="shared" ca="1" si="400"/>
        <v>6.814584700320858E-3</v>
      </c>
      <c r="CX114" s="5">
        <f t="shared" ca="1" si="401"/>
        <v>6.7888292240836012E-3</v>
      </c>
      <c r="CY114" s="5">
        <f t="shared" ca="1" si="402"/>
        <v>6.8584032115922003E-3</v>
      </c>
      <c r="CZ114" s="5">
        <f t="shared" ca="1" si="403"/>
        <v>6.2467176059271719E-3</v>
      </c>
      <c r="DA114" s="5">
        <f t="shared" ca="1" si="404"/>
        <v>6.71503234881947E-3</v>
      </c>
      <c r="DB114" s="5">
        <f t="shared" ca="1" si="405"/>
        <v>6.8345675680369341E-3</v>
      </c>
      <c r="DC114" s="5">
        <f t="shared" ca="1" si="406"/>
        <v>6.9132111805330961E-3</v>
      </c>
      <c r="DD114" s="5">
        <f t="shared" ca="1" si="407"/>
        <v>6.8511201483354468E-3</v>
      </c>
      <c r="DE114" s="5">
        <f t="shared" ca="1" si="408"/>
        <v>6.7919310589277465E-3</v>
      </c>
      <c r="DF114" s="5">
        <f t="shared" ca="1" si="409"/>
        <v>6.9126669915003918E-3</v>
      </c>
      <c r="DG114" s="5">
        <f t="shared" ca="1" si="410"/>
        <v>6.7770513896371837E-3</v>
      </c>
      <c r="DH114" s="5">
        <f t="shared" ca="1" si="411"/>
        <v>7.317729063688252E-3</v>
      </c>
      <c r="DI114" s="5">
        <f t="shared" ca="1" si="412"/>
        <v>7.1431246247017051E-3</v>
      </c>
      <c r="DJ114" s="5">
        <f t="shared" ca="1" si="413"/>
        <v>6.9934889924938709E-3</v>
      </c>
    </row>
    <row r="115" spans="4:114" x14ac:dyDescent="0.2">
      <c r="E115" s="32">
        <v>47969</v>
      </c>
      <c r="F115" s="9">
        <v>3997.9944972931889</v>
      </c>
      <c r="G115" s="5">
        <f t="shared" ca="1" si="311"/>
        <v>2.061541932564705E-2</v>
      </c>
      <c r="H115" s="5">
        <f t="shared" ca="1" si="312"/>
        <v>6.575978178970837E-3</v>
      </c>
      <c r="I115" s="9">
        <f t="shared" ca="1" si="313"/>
        <v>332418.80503611907</v>
      </c>
      <c r="K115" s="36">
        <v>111</v>
      </c>
      <c r="N115" s="32">
        <v>47939</v>
      </c>
      <c r="O115" s="5">
        <f t="shared" ca="1" si="314"/>
        <v>7.3539707898400489E-3</v>
      </c>
      <c r="P115" s="5">
        <f t="shared" ca="1" si="315"/>
        <v>7.2920338330503482E-3</v>
      </c>
      <c r="Q115" s="5">
        <f t="shared" ca="1" si="316"/>
        <v>6.8683084746093232E-3</v>
      </c>
      <c r="R115" s="5">
        <f t="shared" ca="1" si="317"/>
        <v>6.3568036624938838E-3</v>
      </c>
      <c r="S115" s="5">
        <f t="shared" ca="1" si="318"/>
        <v>6.650936595308677E-3</v>
      </c>
      <c r="T115" s="5">
        <f t="shared" ca="1" si="319"/>
        <v>6.1429439460983807E-3</v>
      </c>
      <c r="U115" s="5">
        <f t="shared" ca="1" si="320"/>
        <v>6.8523371799911869E-3</v>
      </c>
      <c r="V115" s="5">
        <f t="shared" ca="1" si="321"/>
        <v>6.3765060988908214E-3</v>
      </c>
      <c r="W115" s="5">
        <f t="shared" ca="1" si="322"/>
        <v>7.1756642823416622E-3</v>
      </c>
      <c r="X115" s="5">
        <f t="shared" ca="1" si="323"/>
        <v>6.6310564885705414E-3</v>
      </c>
      <c r="Y115" s="5">
        <f t="shared" ca="1" si="324"/>
        <v>7.4050225206063035E-3</v>
      </c>
      <c r="Z115" s="5">
        <f t="shared" ca="1" si="325"/>
        <v>7.2323658367533768E-3</v>
      </c>
      <c r="AA115" s="5">
        <f t="shared" ca="1" si="326"/>
        <v>6.9073912130953943E-3</v>
      </c>
      <c r="AB115" s="5">
        <f t="shared" ca="1" si="327"/>
        <v>7.6711618055371206E-3</v>
      </c>
      <c r="AC115" s="5">
        <f t="shared" ca="1" si="328"/>
        <v>6.8341429725835541E-3</v>
      </c>
      <c r="AD115" s="5">
        <f t="shared" ca="1" si="329"/>
        <v>7.0399019111184674E-3</v>
      </c>
      <c r="AE115" s="5">
        <f t="shared" ca="1" si="330"/>
        <v>7.1494046415770283E-3</v>
      </c>
      <c r="AF115" s="5">
        <f t="shared" ca="1" si="331"/>
        <v>6.9221046983337416E-3</v>
      </c>
      <c r="AG115" s="5">
        <f t="shared" ca="1" si="332"/>
        <v>7.1899992431722999E-3</v>
      </c>
      <c r="AH115" s="5">
        <f t="shared" ca="1" si="333"/>
        <v>6.6793278264790064E-3</v>
      </c>
      <c r="AI115" s="5">
        <f t="shared" ca="1" si="334"/>
        <v>7.1952212207711305E-3</v>
      </c>
      <c r="AJ115" s="5">
        <f t="shared" ca="1" si="335"/>
        <v>6.1053305935269515E-3</v>
      </c>
      <c r="AK115" s="5">
        <f t="shared" ca="1" si="336"/>
        <v>7.2237509531844542E-3</v>
      </c>
      <c r="AL115" s="5">
        <f t="shared" ca="1" si="337"/>
        <v>6.6506189012844174E-3</v>
      </c>
      <c r="AM115" s="5">
        <f t="shared" ca="1" si="338"/>
        <v>6.5845172045744301E-3</v>
      </c>
      <c r="AN115" s="5">
        <f t="shared" ca="1" si="339"/>
        <v>6.7575129372497867E-3</v>
      </c>
      <c r="AO115" s="5">
        <f t="shared" ca="1" si="340"/>
        <v>7.8833629637688907E-3</v>
      </c>
      <c r="AP115" s="5">
        <f t="shared" ca="1" si="341"/>
        <v>6.739305933271109E-3</v>
      </c>
      <c r="AQ115" s="5">
        <f t="shared" ca="1" si="342"/>
        <v>6.0911629941780314E-3</v>
      </c>
      <c r="AR115" s="5">
        <f t="shared" ca="1" si="343"/>
        <v>7.0886155347563403E-3</v>
      </c>
      <c r="AS115" s="5">
        <f t="shared" ca="1" si="344"/>
        <v>6.7764952620499863E-3</v>
      </c>
      <c r="AT115" s="5">
        <f t="shared" ca="1" si="345"/>
        <v>6.2002173820062765E-3</v>
      </c>
      <c r="AU115" s="5">
        <f t="shared" ca="1" si="346"/>
        <v>6.7879588239516111E-3</v>
      </c>
      <c r="AV115" s="5">
        <f t="shared" ca="1" si="347"/>
        <v>6.4526942361280565E-3</v>
      </c>
      <c r="AW115" s="5">
        <f t="shared" ca="1" si="348"/>
        <v>7.3695624541487027E-3</v>
      </c>
      <c r="AX115" s="5">
        <f t="shared" ca="1" si="349"/>
        <v>6.6838638450357514E-3</v>
      </c>
      <c r="AY115" s="5">
        <f t="shared" ca="1" si="350"/>
        <v>7.0982471914320926E-3</v>
      </c>
      <c r="AZ115" s="5">
        <f t="shared" ca="1" si="351"/>
        <v>7.8008141681087488E-3</v>
      </c>
      <c r="BA115" s="5">
        <f t="shared" ca="1" si="352"/>
        <v>6.7349750567722178E-3</v>
      </c>
      <c r="BB115" s="5">
        <f t="shared" ca="1" si="353"/>
        <v>6.6905109107861524E-3</v>
      </c>
      <c r="BC115" s="5">
        <f t="shared" ca="1" si="354"/>
        <v>7.1610329984024652E-3</v>
      </c>
      <c r="BD115" s="5">
        <f t="shared" ca="1" si="355"/>
        <v>6.9314263780900385E-3</v>
      </c>
      <c r="BE115" s="5">
        <f t="shared" ca="1" si="356"/>
        <v>7.5603172384084896E-3</v>
      </c>
      <c r="BF115" s="5">
        <f t="shared" ca="1" si="357"/>
        <v>6.7211105986796915E-3</v>
      </c>
      <c r="BG115" s="5">
        <f t="shared" ca="1" si="358"/>
        <v>6.9483718929195777E-3</v>
      </c>
      <c r="BH115" s="5">
        <f t="shared" ca="1" si="359"/>
        <v>6.5130101807208563E-3</v>
      </c>
      <c r="BI115" s="5">
        <f t="shared" ca="1" si="360"/>
        <v>7.6541774855828134E-3</v>
      </c>
      <c r="BJ115" s="5">
        <f t="shared" ca="1" si="361"/>
        <v>7.2494342711252619E-3</v>
      </c>
      <c r="BK115" s="5">
        <f t="shared" ca="1" si="362"/>
        <v>7.6145368159145485E-3</v>
      </c>
      <c r="BL115" s="5">
        <f t="shared" ca="1" si="363"/>
        <v>7.1667739100886958E-3</v>
      </c>
      <c r="BM115" s="5">
        <f t="shared" ca="1" si="364"/>
        <v>6.6258294018469895E-3</v>
      </c>
      <c r="BN115" s="5">
        <f t="shared" ca="1" si="365"/>
        <v>6.579339139730884E-3</v>
      </c>
      <c r="BO115" s="5">
        <f t="shared" ca="1" si="366"/>
        <v>7.1230001156305E-3</v>
      </c>
      <c r="BP115" s="5">
        <f t="shared" ca="1" si="367"/>
        <v>6.9331749425026248E-3</v>
      </c>
      <c r="BQ115" s="5">
        <f t="shared" ca="1" si="368"/>
        <v>6.4385035092431866E-3</v>
      </c>
      <c r="BR115" s="5">
        <f t="shared" ca="1" si="369"/>
        <v>6.7315170142194722E-3</v>
      </c>
      <c r="BS115" s="5">
        <f t="shared" ca="1" si="370"/>
        <v>6.8551837298992876E-3</v>
      </c>
      <c r="BT115" s="5">
        <f t="shared" ca="1" si="371"/>
        <v>6.7188923160366931E-3</v>
      </c>
      <c r="BU115" s="5">
        <f t="shared" ca="1" si="372"/>
        <v>6.6886383961819095E-3</v>
      </c>
      <c r="BV115" s="5">
        <f t="shared" ca="1" si="373"/>
        <v>6.9585774841863634E-3</v>
      </c>
      <c r="BW115" s="5">
        <f t="shared" ca="1" si="374"/>
        <v>7.0824905778958279E-3</v>
      </c>
      <c r="BX115" s="5">
        <f t="shared" ca="1" si="375"/>
        <v>7.291836764798049E-3</v>
      </c>
      <c r="BY115" s="5">
        <f t="shared" ca="1" si="376"/>
        <v>6.3500946241996457E-3</v>
      </c>
      <c r="BZ115" s="5">
        <f t="shared" ca="1" si="377"/>
        <v>6.946207253913041E-3</v>
      </c>
      <c r="CA115" s="5">
        <f t="shared" ca="1" si="378"/>
        <v>6.2928221078067878E-3</v>
      </c>
      <c r="CB115" s="5">
        <f t="shared" ca="1" si="379"/>
        <v>6.8837362455020047E-3</v>
      </c>
      <c r="CC115" s="5">
        <f t="shared" ca="1" si="380"/>
        <v>6.6131212517417026E-3</v>
      </c>
      <c r="CD115" s="5">
        <f t="shared" ca="1" si="381"/>
        <v>6.9841593357414036E-3</v>
      </c>
      <c r="CE115" s="5">
        <f t="shared" ca="1" si="382"/>
        <v>6.6161747750459188E-3</v>
      </c>
      <c r="CF115" s="5">
        <f t="shared" ca="1" si="383"/>
        <v>7.1484630781687179E-3</v>
      </c>
      <c r="CG115" s="5">
        <f t="shared" ca="1" si="384"/>
        <v>6.763530077606562E-3</v>
      </c>
      <c r="CH115" s="5">
        <f t="shared" ca="1" si="385"/>
        <v>6.0317874253518859E-3</v>
      </c>
      <c r="CI115" s="5">
        <f t="shared" ca="1" si="386"/>
        <v>7.6056173151170855E-3</v>
      </c>
      <c r="CJ115" s="5">
        <f t="shared" ca="1" si="387"/>
        <v>7.0584162129167698E-3</v>
      </c>
      <c r="CK115" s="5">
        <f t="shared" ca="1" si="388"/>
        <v>7.2382072777981473E-3</v>
      </c>
      <c r="CL115" s="5">
        <f t="shared" ca="1" si="389"/>
        <v>7.8065343809240358E-3</v>
      </c>
      <c r="CM115" s="5">
        <f t="shared" ca="1" si="390"/>
        <v>7.0914307060596059E-3</v>
      </c>
      <c r="CN115" s="5">
        <f t="shared" ca="1" si="391"/>
        <v>6.9988726380539263E-3</v>
      </c>
      <c r="CO115" s="5">
        <f t="shared" ca="1" si="392"/>
        <v>7.3444599350057727E-3</v>
      </c>
      <c r="CP115" s="5">
        <f t="shared" ca="1" si="393"/>
        <v>6.1783124208202363E-3</v>
      </c>
      <c r="CQ115" s="5">
        <f t="shared" ca="1" si="394"/>
        <v>7.721205833739208E-3</v>
      </c>
      <c r="CR115" s="5">
        <f t="shared" ca="1" si="395"/>
        <v>6.9453183878112551E-3</v>
      </c>
      <c r="CS115" s="5">
        <f t="shared" ca="1" si="396"/>
        <v>7.1010171541116508E-3</v>
      </c>
      <c r="CT115" s="5">
        <f t="shared" ca="1" si="397"/>
        <v>7.3087411955315819E-3</v>
      </c>
      <c r="CU115" s="5">
        <f t="shared" ca="1" si="398"/>
        <v>6.436653173425586E-3</v>
      </c>
      <c r="CV115" s="5">
        <f t="shared" ca="1" si="399"/>
        <v>7.4124420659733934E-3</v>
      </c>
      <c r="CW115" s="5">
        <f t="shared" ca="1" si="400"/>
        <v>6.8631126880037037E-3</v>
      </c>
      <c r="CX115" s="5">
        <f t="shared" ca="1" si="401"/>
        <v>6.7571370382371815E-3</v>
      </c>
      <c r="CY115" s="5">
        <f t="shared" ca="1" si="402"/>
        <v>6.814967168996937E-3</v>
      </c>
      <c r="CZ115" s="5">
        <f t="shared" ca="1" si="403"/>
        <v>6.2572046469419234E-3</v>
      </c>
      <c r="DA115" s="5">
        <f t="shared" ca="1" si="404"/>
        <v>6.7514158702338626E-3</v>
      </c>
      <c r="DB115" s="5">
        <f t="shared" ca="1" si="405"/>
        <v>6.8020449290801047E-3</v>
      </c>
      <c r="DC115" s="5">
        <f t="shared" ca="1" si="406"/>
        <v>6.8836042134756015E-3</v>
      </c>
      <c r="DD115" s="5">
        <f t="shared" ca="1" si="407"/>
        <v>6.8848222277031199E-3</v>
      </c>
      <c r="DE115" s="5">
        <f t="shared" ca="1" si="408"/>
        <v>6.8030512437890203E-3</v>
      </c>
      <c r="DF115" s="5">
        <f t="shared" ca="1" si="409"/>
        <v>6.9005268050440563E-3</v>
      </c>
      <c r="DG115" s="5">
        <f t="shared" ca="1" si="410"/>
        <v>6.7252415265702204E-3</v>
      </c>
      <c r="DH115" s="5">
        <f t="shared" ca="1" si="411"/>
        <v>7.3527161160787625E-3</v>
      </c>
      <c r="DI115" s="5">
        <f t="shared" ca="1" si="412"/>
        <v>7.0797855287171021E-3</v>
      </c>
      <c r="DJ115" s="5">
        <f t="shared" ca="1" si="413"/>
        <v>7.071314885170289E-3</v>
      </c>
    </row>
    <row r="116" spans="4:114" x14ac:dyDescent="0.2">
      <c r="E116" s="32">
        <v>48000</v>
      </c>
      <c r="F116" s="9">
        <v>3997.9944972931889</v>
      </c>
      <c r="G116" s="5">
        <f t="shared" ca="1" si="311"/>
        <v>-7.431938235048913E-4</v>
      </c>
      <c r="H116" s="5">
        <f t="shared" ca="1" si="312"/>
        <v>6.5917066605706521E-3</v>
      </c>
      <c r="I116" s="9">
        <f t="shared" ca="1" si="313"/>
        <v>336599.45029893529</v>
      </c>
      <c r="K116" s="36">
        <v>112</v>
      </c>
      <c r="N116" s="32">
        <v>47969</v>
      </c>
      <c r="O116" s="5">
        <f t="shared" ca="1" si="314"/>
        <v>7.3956641944971872E-3</v>
      </c>
      <c r="P116" s="5">
        <f t="shared" ca="1" si="315"/>
        <v>7.3487556374134833E-3</v>
      </c>
      <c r="Q116" s="5">
        <f t="shared" ca="1" si="316"/>
        <v>6.900460874003065E-3</v>
      </c>
      <c r="R116" s="5">
        <f t="shared" ca="1" si="317"/>
        <v>6.3658240242885841E-3</v>
      </c>
      <c r="S116" s="5">
        <f t="shared" ca="1" si="318"/>
        <v>6.7280668591693481E-3</v>
      </c>
      <c r="T116" s="5">
        <f t="shared" ca="1" si="319"/>
        <v>6.2200023298126898E-3</v>
      </c>
      <c r="U116" s="5">
        <f t="shared" ca="1" si="320"/>
        <v>6.8288404839675467E-3</v>
      </c>
      <c r="V116" s="5">
        <f t="shared" ca="1" si="321"/>
        <v>6.3185296155176636E-3</v>
      </c>
      <c r="W116" s="5">
        <f t="shared" ca="1" si="322"/>
        <v>7.1864917792775884E-3</v>
      </c>
      <c r="X116" s="5">
        <f t="shared" ca="1" si="323"/>
        <v>6.63577360394659E-3</v>
      </c>
      <c r="Y116" s="5">
        <f t="shared" ca="1" si="324"/>
        <v>7.3889784861042246E-3</v>
      </c>
      <c r="Z116" s="5">
        <f t="shared" ca="1" si="325"/>
        <v>7.2775659932215594E-3</v>
      </c>
      <c r="AA116" s="5">
        <f t="shared" ca="1" si="326"/>
        <v>6.8461658588790213E-3</v>
      </c>
      <c r="AB116" s="5">
        <f t="shared" ca="1" si="327"/>
        <v>7.6792594099525501E-3</v>
      </c>
      <c r="AC116" s="5">
        <f t="shared" ca="1" si="328"/>
        <v>6.8549235684505537E-3</v>
      </c>
      <c r="AD116" s="5">
        <f t="shared" ca="1" si="329"/>
        <v>7.0321451518303999E-3</v>
      </c>
      <c r="AE116" s="5">
        <f t="shared" ca="1" si="330"/>
        <v>7.2228057314855584E-3</v>
      </c>
      <c r="AF116" s="5">
        <f t="shared" ca="1" si="331"/>
        <v>6.9632547669377055E-3</v>
      </c>
      <c r="AG116" s="5">
        <f t="shared" ca="1" si="332"/>
        <v>7.1102220580404451E-3</v>
      </c>
      <c r="AH116" s="5">
        <f t="shared" ca="1" si="333"/>
        <v>6.7084294251517672E-3</v>
      </c>
      <c r="AI116" s="5">
        <f t="shared" ca="1" si="334"/>
        <v>7.1657083314157714E-3</v>
      </c>
      <c r="AJ116" s="5">
        <f t="shared" ca="1" si="335"/>
        <v>6.1113696072337504E-3</v>
      </c>
      <c r="AK116" s="5">
        <f t="shared" ca="1" si="336"/>
        <v>7.3125287775126276E-3</v>
      </c>
      <c r="AL116" s="5">
        <f t="shared" ca="1" si="337"/>
        <v>6.6544959500027586E-3</v>
      </c>
      <c r="AM116" s="5">
        <f t="shared" ca="1" si="338"/>
        <v>6.5685866709539195E-3</v>
      </c>
      <c r="AN116" s="5">
        <f t="shared" ca="1" si="339"/>
        <v>6.8476318119746766E-3</v>
      </c>
      <c r="AO116" s="5">
        <f t="shared" ca="1" si="340"/>
        <v>7.9263535147836191E-3</v>
      </c>
      <c r="AP116" s="5">
        <f t="shared" ca="1" si="341"/>
        <v>6.823659411557919E-3</v>
      </c>
      <c r="AQ116" s="5">
        <f t="shared" ca="1" si="342"/>
        <v>6.0903655208414884E-3</v>
      </c>
      <c r="AR116" s="5">
        <f t="shared" ca="1" si="343"/>
        <v>7.1458045333348064E-3</v>
      </c>
      <c r="AS116" s="5">
        <f t="shared" ca="1" si="344"/>
        <v>6.6978988543318439E-3</v>
      </c>
      <c r="AT116" s="5">
        <f t="shared" ca="1" si="345"/>
        <v>6.2030164981267321E-3</v>
      </c>
      <c r="AU116" s="5">
        <f t="shared" ca="1" si="346"/>
        <v>6.7948997801422295E-3</v>
      </c>
      <c r="AV116" s="5">
        <f t="shared" ca="1" si="347"/>
        <v>6.4932127255605369E-3</v>
      </c>
      <c r="AW116" s="5">
        <f t="shared" ca="1" si="348"/>
        <v>7.3741018250962518E-3</v>
      </c>
      <c r="AX116" s="5">
        <f t="shared" ca="1" si="349"/>
        <v>6.7548160269193811E-3</v>
      </c>
      <c r="AY116" s="5">
        <f t="shared" ca="1" si="350"/>
        <v>7.0949363064346342E-3</v>
      </c>
      <c r="AZ116" s="5">
        <f t="shared" ca="1" si="351"/>
        <v>7.7331915686830897E-3</v>
      </c>
      <c r="BA116" s="5">
        <f t="shared" ca="1" si="352"/>
        <v>6.7274468454852025E-3</v>
      </c>
      <c r="BB116" s="5">
        <f t="shared" ca="1" si="353"/>
        <v>6.6904975696664704E-3</v>
      </c>
      <c r="BC116" s="5">
        <f t="shared" ca="1" si="354"/>
        <v>7.188436448233089E-3</v>
      </c>
      <c r="BD116" s="5">
        <f t="shared" ca="1" si="355"/>
        <v>7.0097311094713356E-3</v>
      </c>
      <c r="BE116" s="5">
        <f t="shared" ca="1" si="356"/>
        <v>7.5317075035851219E-3</v>
      </c>
      <c r="BF116" s="5">
        <f t="shared" ca="1" si="357"/>
        <v>6.7122666294517535E-3</v>
      </c>
      <c r="BG116" s="5">
        <f t="shared" ca="1" si="358"/>
        <v>6.9165465267873689E-3</v>
      </c>
      <c r="BH116" s="5">
        <f t="shared" ca="1" si="359"/>
        <v>6.522867825189506E-3</v>
      </c>
      <c r="BI116" s="5">
        <f t="shared" ca="1" si="360"/>
        <v>7.6515304274814106E-3</v>
      </c>
      <c r="BJ116" s="5">
        <f t="shared" ca="1" si="361"/>
        <v>7.3168009700351972E-3</v>
      </c>
      <c r="BK116" s="5">
        <f t="shared" ca="1" si="362"/>
        <v>7.6492325224758869E-3</v>
      </c>
      <c r="BL116" s="5">
        <f t="shared" ca="1" si="363"/>
        <v>7.1766225218648644E-3</v>
      </c>
      <c r="BM116" s="5">
        <f t="shared" ca="1" si="364"/>
        <v>6.6259329844083371E-3</v>
      </c>
      <c r="BN116" s="5">
        <f t="shared" ca="1" si="365"/>
        <v>6.6086585404838121E-3</v>
      </c>
      <c r="BO116" s="5">
        <f t="shared" ca="1" si="366"/>
        <v>7.1095271287416268E-3</v>
      </c>
      <c r="BP116" s="5">
        <f t="shared" ca="1" si="367"/>
        <v>6.9097864086663692E-3</v>
      </c>
      <c r="BQ116" s="5">
        <f t="shared" ca="1" si="368"/>
        <v>6.4202706769455296E-3</v>
      </c>
      <c r="BR116" s="5">
        <f t="shared" ca="1" si="369"/>
        <v>6.8089947828571581E-3</v>
      </c>
      <c r="BS116" s="5">
        <f t="shared" ca="1" si="370"/>
        <v>6.8454345634767783E-3</v>
      </c>
      <c r="BT116" s="5">
        <f t="shared" ca="1" si="371"/>
        <v>6.692411608761239E-3</v>
      </c>
      <c r="BU116" s="5">
        <f t="shared" ca="1" si="372"/>
        <v>6.7453419571199521E-3</v>
      </c>
      <c r="BV116" s="5">
        <f t="shared" ca="1" si="373"/>
        <v>6.9148260227488738E-3</v>
      </c>
      <c r="BW116" s="5">
        <f t="shared" ca="1" si="374"/>
        <v>7.0883495128522033E-3</v>
      </c>
      <c r="BX116" s="5">
        <f t="shared" ca="1" si="375"/>
        <v>7.3696303427136026E-3</v>
      </c>
      <c r="BY116" s="5">
        <f t="shared" ca="1" si="376"/>
        <v>6.3970884518428925E-3</v>
      </c>
      <c r="BZ116" s="5">
        <f t="shared" ca="1" si="377"/>
        <v>6.9517518435581651E-3</v>
      </c>
      <c r="CA116" s="5">
        <f t="shared" ca="1" si="378"/>
        <v>6.3416522696842009E-3</v>
      </c>
      <c r="CB116" s="5">
        <f t="shared" ca="1" si="379"/>
        <v>6.8979771944265075E-3</v>
      </c>
      <c r="CC116" s="5">
        <f t="shared" ca="1" si="380"/>
        <v>6.6532960435630659E-3</v>
      </c>
      <c r="CD116" s="5">
        <f t="shared" ca="1" si="381"/>
        <v>7.045338554700748E-3</v>
      </c>
      <c r="CE116" s="5">
        <f t="shared" ca="1" si="382"/>
        <v>6.623274136802389E-3</v>
      </c>
      <c r="CF116" s="5">
        <f t="shared" ca="1" si="383"/>
        <v>7.1808898464425005E-3</v>
      </c>
      <c r="CG116" s="5">
        <f t="shared" ca="1" si="384"/>
        <v>6.7664958075642906E-3</v>
      </c>
      <c r="CH116" s="5">
        <f t="shared" ca="1" si="385"/>
        <v>6.1079791018198064E-3</v>
      </c>
      <c r="CI116" s="5">
        <f t="shared" ca="1" si="386"/>
        <v>7.6298092820995768E-3</v>
      </c>
      <c r="CJ116" s="5">
        <f t="shared" ca="1" si="387"/>
        <v>7.1115084131688055E-3</v>
      </c>
      <c r="CK116" s="5">
        <f t="shared" ca="1" si="388"/>
        <v>7.2905462140400541E-3</v>
      </c>
      <c r="CL116" s="5">
        <f t="shared" ca="1" si="389"/>
        <v>7.8435584939673449E-3</v>
      </c>
      <c r="CM116" s="5">
        <f t="shared" ca="1" si="390"/>
        <v>7.0714006870341208E-3</v>
      </c>
      <c r="CN116" s="5">
        <f t="shared" ca="1" si="391"/>
        <v>6.9306602822463816E-3</v>
      </c>
      <c r="CO116" s="5">
        <f t="shared" ca="1" si="392"/>
        <v>7.418332073123912E-3</v>
      </c>
      <c r="CP116" s="5">
        <f t="shared" ca="1" si="393"/>
        <v>6.2179108566945565E-3</v>
      </c>
      <c r="CQ116" s="5">
        <f t="shared" ca="1" si="394"/>
        <v>7.6737954681959037E-3</v>
      </c>
      <c r="CR116" s="5">
        <f t="shared" ca="1" si="395"/>
        <v>6.8938059250655097E-3</v>
      </c>
      <c r="CS116" s="5">
        <f t="shared" ca="1" si="396"/>
        <v>7.1064048465513561E-3</v>
      </c>
      <c r="CT116" s="5">
        <f t="shared" ca="1" si="397"/>
        <v>7.3058283338455288E-3</v>
      </c>
      <c r="CU116" s="5">
        <f t="shared" ca="1" si="398"/>
        <v>6.472560570616983E-3</v>
      </c>
      <c r="CV116" s="5">
        <f t="shared" ca="1" si="399"/>
        <v>7.4572668784103407E-3</v>
      </c>
      <c r="CW116" s="5">
        <f t="shared" ca="1" si="400"/>
        <v>6.8288462721596728E-3</v>
      </c>
      <c r="CX116" s="5">
        <f t="shared" ca="1" si="401"/>
        <v>6.8058255082868238E-3</v>
      </c>
      <c r="CY116" s="5">
        <f t="shared" ca="1" si="402"/>
        <v>6.8384802919721783E-3</v>
      </c>
      <c r="CZ116" s="5">
        <f t="shared" ca="1" si="403"/>
        <v>6.2529828260364665E-3</v>
      </c>
      <c r="DA116" s="5">
        <f t="shared" ca="1" si="404"/>
        <v>6.7864214816372006E-3</v>
      </c>
      <c r="DB116" s="5">
        <f t="shared" ca="1" si="405"/>
        <v>6.8629742841390378E-3</v>
      </c>
      <c r="DC116" s="5">
        <f t="shared" ca="1" si="406"/>
        <v>6.8365519302248006E-3</v>
      </c>
      <c r="DD116" s="5">
        <f t="shared" ca="1" si="407"/>
        <v>6.8806823546861944E-3</v>
      </c>
      <c r="DE116" s="5">
        <f t="shared" ca="1" si="408"/>
        <v>6.7871243713880933E-3</v>
      </c>
      <c r="DF116" s="5">
        <f t="shared" ca="1" si="409"/>
        <v>6.8826110336770528E-3</v>
      </c>
      <c r="DG116" s="5">
        <f t="shared" ca="1" si="410"/>
        <v>6.6809902799821169E-3</v>
      </c>
      <c r="DH116" s="5">
        <f t="shared" ca="1" si="411"/>
        <v>7.385864449442235E-3</v>
      </c>
      <c r="DI116" s="5">
        <f t="shared" ca="1" si="412"/>
        <v>7.08334060527528E-3</v>
      </c>
      <c r="DJ116" s="5">
        <f t="shared" ca="1" si="413"/>
        <v>7.1391447484545319E-3</v>
      </c>
    </row>
    <row r="117" spans="4:114" x14ac:dyDescent="0.2">
      <c r="E117" s="32">
        <v>48030</v>
      </c>
      <c r="F117" s="9">
        <v>3997.9944972931889</v>
      </c>
      <c r="G117" s="5">
        <f t="shared" ca="1" si="311"/>
        <v>4.8659100569955595E-3</v>
      </c>
      <c r="H117" s="5">
        <f t="shared" ca="1" si="312"/>
        <v>6.5961586382660507E-3</v>
      </c>
      <c r="I117" s="9">
        <f t="shared" ca="1" si="313"/>
        <v>340782.5176046124</v>
      </c>
      <c r="K117" s="36">
        <v>113</v>
      </c>
      <c r="N117" s="32">
        <v>48000</v>
      </c>
      <c r="O117" s="5">
        <f t="shared" ca="1" si="314"/>
        <v>7.3582074575285093E-3</v>
      </c>
      <c r="P117" s="5">
        <f t="shared" ca="1" si="315"/>
        <v>7.3369459715177518E-3</v>
      </c>
      <c r="Q117" s="5">
        <f t="shared" ca="1" si="316"/>
        <v>6.9116691646525117E-3</v>
      </c>
      <c r="R117" s="5">
        <f t="shared" ca="1" si="317"/>
        <v>6.2582044909380748E-3</v>
      </c>
      <c r="S117" s="5">
        <f t="shared" ca="1" si="318"/>
        <v>6.7074456493753506E-3</v>
      </c>
      <c r="T117" s="5">
        <f t="shared" ca="1" si="319"/>
        <v>6.1947191312923004E-3</v>
      </c>
      <c r="U117" s="5">
        <f t="shared" ca="1" si="320"/>
        <v>6.8448396942639416E-3</v>
      </c>
      <c r="V117" s="5">
        <f t="shared" ca="1" si="321"/>
        <v>6.3094916886922703E-3</v>
      </c>
      <c r="W117" s="5">
        <f t="shared" ca="1" si="322"/>
        <v>7.11000338997325E-3</v>
      </c>
      <c r="X117" s="5">
        <f t="shared" ca="1" si="323"/>
        <v>6.6141762293199305E-3</v>
      </c>
      <c r="Y117" s="5">
        <f t="shared" ca="1" si="324"/>
        <v>7.3299292485878844E-3</v>
      </c>
      <c r="Z117" s="5">
        <f t="shared" ca="1" si="325"/>
        <v>7.2471695919324097E-3</v>
      </c>
      <c r="AA117" s="5">
        <f t="shared" ca="1" si="326"/>
        <v>6.8555217478642036E-3</v>
      </c>
      <c r="AB117" s="5">
        <f t="shared" ca="1" si="327"/>
        <v>7.6079871706869412E-3</v>
      </c>
      <c r="AC117" s="5">
        <f t="shared" ca="1" si="328"/>
        <v>6.8501886879173647E-3</v>
      </c>
      <c r="AD117" s="5">
        <f t="shared" ca="1" si="329"/>
        <v>7.1420083914214049E-3</v>
      </c>
      <c r="AE117" s="5">
        <f t="shared" ca="1" si="330"/>
        <v>7.240703297362398E-3</v>
      </c>
      <c r="AF117" s="5">
        <f t="shared" ca="1" si="331"/>
        <v>7.0056314931785353E-3</v>
      </c>
      <c r="AG117" s="5">
        <f t="shared" ca="1" si="332"/>
        <v>7.11185528476364E-3</v>
      </c>
      <c r="AH117" s="5">
        <f t="shared" ca="1" si="333"/>
        <v>6.7489085385134253E-3</v>
      </c>
      <c r="AI117" s="5">
        <f t="shared" ca="1" si="334"/>
        <v>7.1437551121851612E-3</v>
      </c>
      <c r="AJ117" s="5">
        <f t="shared" ca="1" si="335"/>
        <v>6.056639165108858E-3</v>
      </c>
      <c r="AK117" s="5">
        <f t="shared" ca="1" si="336"/>
        <v>7.299582857999364E-3</v>
      </c>
      <c r="AL117" s="5">
        <f t="shared" ca="1" si="337"/>
        <v>6.7034824724652659E-3</v>
      </c>
      <c r="AM117" s="5">
        <f t="shared" ca="1" si="338"/>
        <v>6.5002785009171671E-3</v>
      </c>
      <c r="AN117" s="5">
        <f t="shared" ca="1" si="339"/>
        <v>6.8136054650655437E-3</v>
      </c>
      <c r="AO117" s="5">
        <f t="shared" ca="1" si="340"/>
        <v>8.0023494308099977E-3</v>
      </c>
      <c r="AP117" s="5">
        <f t="shared" ca="1" si="341"/>
        <v>6.7838014105750782E-3</v>
      </c>
      <c r="AQ117" s="5">
        <f t="shared" ca="1" si="342"/>
        <v>6.0748317199055754E-3</v>
      </c>
      <c r="AR117" s="5">
        <f t="shared" ca="1" si="343"/>
        <v>7.0955163594497456E-3</v>
      </c>
      <c r="AS117" s="5">
        <f t="shared" ca="1" si="344"/>
        <v>6.7815620556320308E-3</v>
      </c>
      <c r="AT117" s="5">
        <f t="shared" ca="1" si="345"/>
        <v>6.2683845793277465E-3</v>
      </c>
      <c r="AU117" s="5">
        <f t="shared" ca="1" si="346"/>
        <v>6.8222508973031209E-3</v>
      </c>
      <c r="AV117" s="5">
        <f t="shared" ca="1" si="347"/>
        <v>6.5489078866722656E-3</v>
      </c>
      <c r="AW117" s="5">
        <f t="shared" ca="1" si="348"/>
        <v>7.3454867395282295E-3</v>
      </c>
      <c r="AX117" s="5">
        <f t="shared" ca="1" si="349"/>
        <v>6.6880613222248409E-3</v>
      </c>
      <c r="AY117" s="5">
        <f t="shared" ca="1" si="350"/>
        <v>7.0111281763712884E-3</v>
      </c>
      <c r="AZ117" s="5">
        <f t="shared" ca="1" si="351"/>
        <v>7.6809241297796657E-3</v>
      </c>
      <c r="BA117" s="5">
        <f t="shared" ca="1" si="352"/>
        <v>6.7422735123178297E-3</v>
      </c>
      <c r="BB117" s="5">
        <f t="shared" ca="1" si="353"/>
        <v>6.6144859714274912E-3</v>
      </c>
      <c r="BC117" s="5">
        <f t="shared" ca="1" si="354"/>
        <v>7.2225840555097702E-3</v>
      </c>
      <c r="BD117" s="5">
        <f t="shared" ca="1" si="355"/>
        <v>6.9561583765265691E-3</v>
      </c>
      <c r="BE117" s="5">
        <f t="shared" ca="1" si="356"/>
        <v>7.4906260533225575E-3</v>
      </c>
      <c r="BF117" s="5">
        <f t="shared" ca="1" si="357"/>
        <v>6.7180488777693805E-3</v>
      </c>
      <c r="BG117" s="5">
        <f t="shared" ca="1" si="358"/>
        <v>7.0178940731123341E-3</v>
      </c>
      <c r="BH117" s="5">
        <f t="shared" ca="1" si="359"/>
        <v>6.5538355015413493E-3</v>
      </c>
      <c r="BI117" s="5">
        <f t="shared" ca="1" si="360"/>
        <v>7.5826350559511542E-3</v>
      </c>
      <c r="BJ117" s="5">
        <f t="shared" ca="1" si="361"/>
        <v>7.3552042254753057E-3</v>
      </c>
      <c r="BK117" s="5">
        <f t="shared" ca="1" si="362"/>
        <v>7.6271851007114208E-3</v>
      </c>
      <c r="BL117" s="5">
        <f t="shared" ca="1" si="363"/>
        <v>7.1372213205368462E-3</v>
      </c>
      <c r="BM117" s="5">
        <f t="shared" ca="1" si="364"/>
        <v>6.6402600817727815E-3</v>
      </c>
      <c r="BN117" s="5">
        <f t="shared" ca="1" si="365"/>
        <v>6.6200159006639227E-3</v>
      </c>
      <c r="BO117" s="5">
        <f t="shared" ca="1" si="366"/>
        <v>7.1154078863654739E-3</v>
      </c>
      <c r="BP117" s="5">
        <f t="shared" ca="1" si="367"/>
        <v>6.8555021775929701E-3</v>
      </c>
      <c r="BQ117" s="5">
        <f t="shared" ca="1" si="368"/>
        <v>6.4276436630194044E-3</v>
      </c>
      <c r="BR117" s="5">
        <f t="shared" ca="1" si="369"/>
        <v>6.7298690155873728E-3</v>
      </c>
      <c r="BS117" s="5">
        <f t="shared" ca="1" si="370"/>
        <v>6.8683623956712252E-3</v>
      </c>
      <c r="BT117" s="5">
        <f t="shared" ca="1" si="371"/>
        <v>6.6554459016855295E-3</v>
      </c>
      <c r="BU117" s="5">
        <f t="shared" ca="1" si="372"/>
        <v>6.7282749319244025E-3</v>
      </c>
      <c r="BV117" s="5">
        <f t="shared" ca="1" si="373"/>
        <v>6.8689902494262481E-3</v>
      </c>
      <c r="BW117" s="5">
        <f t="shared" ca="1" si="374"/>
        <v>7.0861865480412022E-3</v>
      </c>
      <c r="BX117" s="5">
        <f t="shared" ca="1" si="375"/>
        <v>7.3456492060377902E-3</v>
      </c>
      <c r="BY117" s="5">
        <f t="shared" ca="1" si="376"/>
        <v>6.3346008072648879E-3</v>
      </c>
      <c r="BZ117" s="5">
        <f t="shared" ca="1" si="377"/>
        <v>6.9204504472307332E-3</v>
      </c>
      <c r="CA117" s="5">
        <f t="shared" ca="1" si="378"/>
        <v>6.3533921286375175E-3</v>
      </c>
      <c r="CB117" s="5">
        <f t="shared" ca="1" si="379"/>
        <v>6.8845642498692938E-3</v>
      </c>
      <c r="CC117" s="5">
        <f t="shared" ca="1" si="380"/>
        <v>6.6126496683074371E-3</v>
      </c>
      <c r="CD117" s="5">
        <f t="shared" ca="1" si="381"/>
        <v>7.0666669903332435E-3</v>
      </c>
      <c r="CE117" s="5">
        <f t="shared" ca="1" si="382"/>
        <v>6.5620665524385108E-3</v>
      </c>
      <c r="CF117" s="5">
        <f t="shared" ca="1" si="383"/>
        <v>7.304978467134419E-3</v>
      </c>
      <c r="CG117" s="5">
        <f t="shared" ca="1" si="384"/>
        <v>6.8134341406183496E-3</v>
      </c>
      <c r="CH117" s="5">
        <f t="shared" ca="1" si="385"/>
        <v>6.1206334056100884E-3</v>
      </c>
      <c r="CI117" s="5">
        <f t="shared" ca="1" si="386"/>
        <v>7.6411977422840456E-3</v>
      </c>
      <c r="CJ117" s="5">
        <f t="shared" ca="1" si="387"/>
        <v>7.0649201039801367E-3</v>
      </c>
      <c r="CK117" s="5">
        <f t="shared" ca="1" si="388"/>
        <v>7.2748272698214145E-3</v>
      </c>
      <c r="CL117" s="5">
        <f t="shared" ca="1" si="389"/>
        <v>7.8049208621554719E-3</v>
      </c>
      <c r="CM117" s="5">
        <f t="shared" ca="1" si="390"/>
        <v>7.1270928333556178E-3</v>
      </c>
      <c r="CN117" s="5">
        <f t="shared" ca="1" si="391"/>
        <v>6.9032442408921042E-3</v>
      </c>
      <c r="CO117" s="5">
        <f t="shared" ca="1" si="392"/>
        <v>7.4250448281726333E-3</v>
      </c>
      <c r="CP117" s="5">
        <f t="shared" ca="1" si="393"/>
        <v>6.2269146752228551E-3</v>
      </c>
      <c r="CQ117" s="5">
        <f t="shared" ca="1" si="394"/>
        <v>7.7281909780531457E-3</v>
      </c>
      <c r="CR117" s="5">
        <f t="shared" ca="1" si="395"/>
        <v>6.9168619152662203E-3</v>
      </c>
      <c r="CS117" s="5">
        <f t="shared" ca="1" si="396"/>
        <v>7.2128554836671547E-3</v>
      </c>
      <c r="CT117" s="5">
        <f t="shared" ca="1" si="397"/>
        <v>7.2933342769448961E-3</v>
      </c>
      <c r="CU117" s="5">
        <f t="shared" ca="1" si="398"/>
        <v>6.4572713514036827E-3</v>
      </c>
      <c r="CV117" s="5">
        <f t="shared" ca="1" si="399"/>
        <v>7.395068812649298E-3</v>
      </c>
      <c r="CW117" s="5">
        <f t="shared" ca="1" si="400"/>
        <v>6.8205328184248234E-3</v>
      </c>
      <c r="CX117" s="5">
        <f t="shared" ca="1" si="401"/>
        <v>6.7791573244050073E-3</v>
      </c>
      <c r="CY117" s="5">
        <f t="shared" ca="1" si="402"/>
        <v>6.8663359895828214E-3</v>
      </c>
      <c r="CZ117" s="5">
        <f t="shared" ca="1" si="403"/>
        <v>6.2969215593913306E-3</v>
      </c>
      <c r="DA117" s="5">
        <f t="shared" ca="1" si="404"/>
        <v>6.7446933818619808E-3</v>
      </c>
      <c r="DB117" s="5">
        <f t="shared" ca="1" si="405"/>
        <v>6.8803331045617106E-3</v>
      </c>
      <c r="DC117" s="5">
        <f t="shared" ca="1" si="406"/>
        <v>6.8467946406673549E-3</v>
      </c>
      <c r="DD117" s="5">
        <f t="shared" ca="1" si="407"/>
        <v>6.8691469030864273E-3</v>
      </c>
      <c r="DE117" s="5">
        <f t="shared" ca="1" si="408"/>
        <v>6.7915928874143217E-3</v>
      </c>
      <c r="DF117" s="5">
        <f t="shared" ca="1" si="409"/>
        <v>6.8937013141429793E-3</v>
      </c>
      <c r="DG117" s="5">
        <f t="shared" ca="1" si="410"/>
        <v>6.6861625081678809E-3</v>
      </c>
      <c r="DH117" s="5">
        <f t="shared" ca="1" si="411"/>
        <v>7.3926797121883865E-3</v>
      </c>
      <c r="DI117" s="5">
        <f t="shared" ca="1" si="412"/>
        <v>7.1172280538110786E-3</v>
      </c>
      <c r="DJ117" s="5">
        <f t="shared" ca="1" si="413"/>
        <v>7.1781513870361772E-3</v>
      </c>
    </row>
    <row r="118" spans="4:114" x14ac:dyDescent="0.2">
      <c r="E118" s="32">
        <v>48061</v>
      </c>
      <c r="F118" s="9">
        <v>3997.9944972931889</v>
      </c>
      <c r="G118" s="5">
        <f t="shared" ca="1" si="311"/>
        <v>-5.7436813375167213E-2</v>
      </c>
      <c r="H118" s="5">
        <f t="shared" ca="1" si="312"/>
        <v>6.6035447594930061E-3</v>
      </c>
      <c r="I118" s="9">
        <f t="shared" ca="1" si="313"/>
        <v>344968.09476079664</v>
      </c>
      <c r="K118" s="36">
        <v>114</v>
      </c>
      <c r="N118" s="32">
        <v>48030</v>
      </c>
      <c r="O118" s="5">
        <f t="shared" ca="1" si="314"/>
        <v>7.3217701693965836E-3</v>
      </c>
      <c r="P118" s="5">
        <f t="shared" ca="1" si="315"/>
        <v>7.2723454898456696E-3</v>
      </c>
      <c r="Q118" s="5">
        <f t="shared" ca="1" si="316"/>
        <v>7.0439423363547454E-3</v>
      </c>
      <c r="R118" s="5">
        <f t="shared" ca="1" si="317"/>
        <v>6.3058011705833276E-3</v>
      </c>
      <c r="S118" s="5">
        <f t="shared" ca="1" si="318"/>
        <v>6.7757702921611472E-3</v>
      </c>
      <c r="T118" s="5">
        <f t="shared" ca="1" si="319"/>
        <v>6.2043831721370667E-3</v>
      </c>
      <c r="U118" s="5">
        <f t="shared" ca="1" si="320"/>
        <v>6.9365038019114358E-3</v>
      </c>
      <c r="V118" s="5">
        <f t="shared" ca="1" si="321"/>
        <v>6.3139001504819523E-3</v>
      </c>
      <c r="W118" s="5">
        <f t="shared" ca="1" si="322"/>
        <v>7.0675370565322099E-3</v>
      </c>
      <c r="X118" s="5">
        <f t="shared" ca="1" si="323"/>
        <v>6.6226936110059757E-3</v>
      </c>
      <c r="Y118" s="5">
        <f t="shared" ca="1" si="324"/>
        <v>7.2870822809419974E-3</v>
      </c>
      <c r="Z118" s="5">
        <f t="shared" ca="1" si="325"/>
        <v>7.2987695264815139E-3</v>
      </c>
      <c r="AA118" s="5">
        <f t="shared" ca="1" si="326"/>
        <v>6.9809564673793019E-3</v>
      </c>
      <c r="AB118" s="5">
        <f t="shared" ca="1" si="327"/>
        <v>7.6346384027561271E-3</v>
      </c>
      <c r="AC118" s="5">
        <f t="shared" ca="1" si="328"/>
        <v>6.8207693243468002E-3</v>
      </c>
      <c r="AD118" s="5">
        <f t="shared" ca="1" si="329"/>
        <v>7.058693569922247E-3</v>
      </c>
      <c r="AE118" s="5">
        <f t="shared" ca="1" si="330"/>
        <v>7.1984275931564817E-3</v>
      </c>
      <c r="AF118" s="5">
        <f t="shared" ca="1" si="331"/>
        <v>7.0033662497377396E-3</v>
      </c>
      <c r="AG118" s="5">
        <f t="shared" ca="1" si="332"/>
        <v>7.1206185659596494E-3</v>
      </c>
      <c r="AH118" s="5">
        <f t="shared" ca="1" si="333"/>
        <v>6.7117731385483255E-3</v>
      </c>
      <c r="AI118" s="5">
        <f t="shared" ca="1" si="334"/>
        <v>7.1668647338444602E-3</v>
      </c>
      <c r="AJ118" s="5">
        <f t="shared" ca="1" si="335"/>
        <v>6.1071633743847728E-3</v>
      </c>
      <c r="AK118" s="5">
        <f t="shared" ca="1" si="336"/>
        <v>7.3003000753028751E-3</v>
      </c>
      <c r="AL118" s="5">
        <f t="shared" ca="1" si="337"/>
        <v>6.6996250228207894E-3</v>
      </c>
      <c r="AM118" s="5">
        <f t="shared" ca="1" si="338"/>
        <v>6.4834955336404093E-3</v>
      </c>
      <c r="AN118" s="5">
        <f t="shared" ca="1" si="339"/>
        <v>6.8625722801933589E-3</v>
      </c>
      <c r="AO118" s="5">
        <f t="shared" ca="1" si="340"/>
        <v>8.0105324043540128E-3</v>
      </c>
      <c r="AP118" s="5">
        <f t="shared" ca="1" si="341"/>
        <v>6.7358091409742329E-3</v>
      </c>
      <c r="AQ118" s="5">
        <f t="shared" ca="1" si="342"/>
        <v>6.094100033945604E-3</v>
      </c>
      <c r="AR118" s="5">
        <f t="shared" ca="1" si="343"/>
        <v>7.0552519976101189E-3</v>
      </c>
      <c r="AS118" s="5">
        <f t="shared" ca="1" si="344"/>
        <v>6.7719440316448042E-3</v>
      </c>
      <c r="AT118" s="5">
        <f t="shared" ca="1" si="345"/>
        <v>6.2877747863972358E-3</v>
      </c>
      <c r="AU118" s="5">
        <f t="shared" ca="1" si="346"/>
        <v>6.8362276684080974E-3</v>
      </c>
      <c r="AV118" s="5">
        <f t="shared" ca="1" si="347"/>
        <v>6.5849713612980421E-3</v>
      </c>
      <c r="AW118" s="5">
        <f t="shared" ca="1" si="348"/>
        <v>7.4005110914665221E-3</v>
      </c>
      <c r="AX118" s="5">
        <f t="shared" ca="1" si="349"/>
        <v>6.6976047771241561E-3</v>
      </c>
      <c r="AY118" s="5">
        <f t="shared" ca="1" si="350"/>
        <v>7.0271462846316609E-3</v>
      </c>
      <c r="AZ118" s="5">
        <f t="shared" ca="1" si="351"/>
        <v>7.6889975543449479E-3</v>
      </c>
      <c r="BA118" s="5">
        <f t="shared" ca="1" si="352"/>
        <v>6.6816516256006002E-3</v>
      </c>
      <c r="BB118" s="5">
        <f t="shared" ca="1" si="353"/>
        <v>6.6770577349834666E-3</v>
      </c>
      <c r="BC118" s="5">
        <f t="shared" ca="1" si="354"/>
        <v>7.237289923582569E-3</v>
      </c>
      <c r="BD118" s="5">
        <f t="shared" ca="1" si="355"/>
        <v>6.9159286667331383E-3</v>
      </c>
      <c r="BE118" s="5">
        <f t="shared" ca="1" si="356"/>
        <v>7.5620582269511575E-3</v>
      </c>
      <c r="BF118" s="5">
        <f t="shared" ca="1" si="357"/>
        <v>6.7079805385545383E-3</v>
      </c>
      <c r="BG118" s="5">
        <f t="shared" ca="1" si="358"/>
        <v>7.0290495390226875E-3</v>
      </c>
      <c r="BH118" s="5">
        <f t="shared" ca="1" si="359"/>
        <v>6.5777446195802577E-3</v>
      </c>
      <c r="BI118" s="5">
        <f t="shared" ca="1" si="360"/>
        <v>7.6030858922627436E-3</v>
      </c>
      <c r="BJ118" s="5">
        <f t="shared" ca="1" si="361"/>
        <v>7.3603372341519441E-3</v>
      </c>
      <c r="BK118" s="5">
        <f t="shared" ca="1" si="362"/>
        <v>7.6341769852848011E-3</v>
      </c>
      <c r="BL118" s="5">
        <f t="shared" ca="1" si="363"/>
        <v>7.2408612761070378E-3</v>
      </c>
      <c r="BM118" s="5">
        <f t="shared" ca="1" si="364"/>
        <v>6.6578452060063716E-3</v>
      </c>
      <c r="BN118" s="5">
        <f t="shared" ca="1" si="365"/>
        <v>6.6499134577003294E-3</v>
      </c>
      <c r="BO118" s="5">
        <f t="shared" ca="1" si="366"/>
        <v>7.142605849739996E-3</v>
      </c>
      <c r="BP118" s="5">
        <f t="shared" ca="1" si="367"/>
        <v>6.8905814238524798E-3</v>
      </c>
      <c r="BQ118" s="5">
        <f t="shared" ca="1" si="368"/>
        <v>6.4239801618894239E-3</v>
      </c>
      <c r="BR118" s="5">
        <f t="shared" ca="1" si="369"/>
        <v>6.6755244393893846E-3</v>
      </c>
      <c r="BS118" s="5">
        <f t="shared" ca="1" si="370"/>
        <v>6.9070499206821817E-3</v>
      </c>
      <c r="BT118" s="5">
        <f t="shared" ca="1" si="371"/>
        <v>6.6261529094245979E-3</v>
      </c>
      <c r="BU118" s="5">
        <f t="shared" ca="1" si="372"/>
        <v>6.814106761253976E-3</v>
      </c>
      <c r="BV118" s="5">
        <f t="shared" ca="1" si="373"/>
        <v>6.8677206266441436E-3</v>
      </c>
      <c r="BW118" s="5">
        <f t="shared" ca="1" si="374"/>
        <v>7.1117258329773479E-3</v>
      </c>
      <c r="BX118" s="5">
        <f t="shared" ca="1" si="375"/>
        <v>7.3216115314571348E-3</v>
      </c>
      <c r="BY118" s="5">
        <f t="shared" ca="1" si="376"/>
        <v>6.2974064865630132E-3</v>
      </c>
      <c r="BZ118" s="5">
        <f t="shared" ca="1" si="377"/>
        <v>6.8977183572017644E-3</v>
      </c>
      <c r="CA118" s="5">
        <f t="shared" ca="1" si="378"/>
        <v>6.4306554620628129E-3</v>
      </c>
      <c r="CB118" s="5">
        <f t="shared" ca="1" si="379"/>
        <v>6.9023101909986909E-3</v>
      </c>
      <c r="CC118" s="5">
        <f t="shared" ca="1" si="380"/>
        <v>6.6079643523287912E-3</v>
      </c>
      <c r="CD118" s="5">
        <f t="shared" ca="1" si="381"/>
        <v>7.0633257692220017E-3</v>
      </c>
      <c r="CE118" s="5">
        <f t="shared" ca="1" si="382"/>
        <v>6.5224344217568427E-3</v>
      </c>
      <c r="CF118" s="5">
        <f t="shared" ca="1" si="383"/>
        <v>7.3670559190702192E-3</v>
      </c>
      <c r="CG118" s="5">
        <f t="shared" ca="1" si="384"/>
        <v>6.807128362757207E-3</v>
      </c>
      <c r="CH118" s="5">
        <f t="shared" ca="1" si="385"/>
        <v>6.1659420896559456E-3</v>
      </c>
      <c r="CI118" s="5">
        <f t="shared" ca="1" si="386"/>
        <v>7.690649291068591E-3</v>
      </c>
      <c r="CJ118" s="5">
        <f t="shared" ca="1" si="387"/>
        <v>7.0878717503453986E-3</v>
      </c>
      <c r="CK118" s="5">
        <f t="shared" ca="1" si="388"/>
        <v>7.2019189359250465E-3</v>
      </c>
      <c r="CL118" s="5">
        <f t="shared" ca="1" si="389"/>
        <v>7.8146418748090852E-3</v>
      </c>
      <c r="CM118" s="5">
        <f t="shared" ca="1" si="390"/>
        <v>7.1240740895284083E-3</v>
      </c>
      <c r="CN118" s="5">
        <f t="shared" ca="1" si="391"/>
        <v>6.9997947930404139E-3</v>
      </c>
      <c r="CO118" s="5">
        <f t="shared" ca="1" si="392"/>
        <v>7.4261722512404633E-3</v>
      </c>
      <c r="CP118" s="5">
        <f t="shared" ca="1" si="393"/>
        <v>6.2436695505240676E-3</v>
      </c>
      <c r="CQ118" s="5">
        <f t="shared" ca="1" si="394"/>
        <v>7.6336264288781649E-3</v>
      </c>
      <c r="CR118" s="5">
        <f t="shared" ca="1" si="395"/>
        <v>6.8906649640812371E-3</v>
      </c>
      <c r="CS118" s="5">
        <f t="shared" ca="1" si="396"/>
        <v>7.0911524994534828E-3</v>
      </c>
      <c r="CT118" s="5">
        <f t="shared" ca="1" si="397"/>
        <v>7.1577218402225466E-3</v>
      </c>
      <c r="CU118" s="5">
        <f t="shared" ca="1" si="398"/>
        <v>6.5087059756680542E-3</v>
      </c>
      <c r="CV118" s="5">
        <f t="shared" ca="1" si="399"/>
        <v>7.3414673389443318E-3</v>
      </c>
      <c r="CW118" s="5">
        <f t="shared" ca="1" si="400"/>
        <v>6.8498295049508736E-3</v>
      </c>
      <c r="CX118" s="5">
        <f t="shared" ca="1" si="401"/>
        <v>6.7314999775452567E-3</v>
      </c>
      <c r="CY118" s="5">
        <f t="shared" ca="1" si="402"/>
        <v>6.8141090605071527E-3</v>
      </c>
      <c r="CZ118" s="5">
        <f t="shared" ca="1" si="403"/>
        <v>6.268467057475754E-3</v>
      </c>
      <c r="DA118" s="5">
        <f t="shared" ca="1" si="404"/>
        <v>6.7450777860565362E-3</v>
      </c>
      <c r="DB118" s="5">
        <f t="shared" ca="1" si="405"/>
        <v>6.8523587649266466E-3</v>
      </c>
      <c r="DC118" s="5">
        <f t="shared" ca="1" si="406"/>
        <v>6.9051251776763795E-3</v>
      </c>
      <c r="DD118" s="5">
        <f t="shared" ca="1" si="407"/>
        <v>6.8826148067411587E-3</v>
      </c>
      <c r="DE118" s="5">
        <f t="shared" ca="1" si="408"/>
        <v>6.7607925410818094E-3</v>
      </c>
      <c r="DF118" s="5">
        <f t="shared" ca="1" si="409"/>
        <v>6.8364903330487871E-3</v>
      </c>
      <c r="DG118" s="5">
        <f t="shared" ca="1" si="410"/>
        <v>6.6898184336139444E-3</v>
      </c>
      <c r="DH118" s="5">
        <f t="shared" ca="1" si="411"/>
        <v>7.475511064209261E-3</v>
      </c>
      <c r="DI118" s="5">
        <f t="shared" ca="1" si="412"/>
        <v>7.1413464044133255E-3</v>
      </c>
      <c r="DJ118" s="5">
        <f t="shared" ca="1" si="413"/>
        <v>7.1319242435741717E-3</v>
      </c>
    </row>
    <row r="119" spans="4:114" x14ac:dyDescent="0.2">
      <c r="E119" s="32">
        <v>48092</v>
      </c>
      <c r="F119" s="9">
        <v>3997.9944972931889</v>
      </c>
      <c r="G119" s="5">
        <f t="shared" ca="1" si="311"/>
        <v>-3.1990436499029759E-2</v>
      </c>
      <c r="H119" s="5">
        <f t="shared" ca="1" si="312"/>
        <v>6.578113081067016E-3</v>
      </c>
      <c r="I119" s="9">
        <f t="shared" ca="1" si="313"/>
        <v>349155.24435989658</v>
      </c>
      <c r="K119" s="36">
        <v>115</v>
      </c>
      <c r="N119" s="32">
        <v>48061</v>
      </c>
      <c r="O119" s="5">
        <f t="shared" ca="1" si="314"/>
        <v>7.2977975784208528E-3</v>
      </c>
      <c r="P119" s="5">
        <f t="shared" ca="1" si="315"/>
        <v>7.3385967043945776E-3</v>
      </c>
      <c r="Q119" s="5">
        <f t="shared" ca="1" si="316"/>
        <v>7.0405086063381117E-3</v>
      </c>
      <c r="R119" s="5">
        <f t="shared" ca="1" si="317"/>
        <v>6.2999794588664308E-3</v>
      </c>
      <c r="S119" s="5">
        <f t="shared" ca="1" si="318"/>
        <v>6.8049178735974172E-3</v>
      </c>
      <c r="T119" s="5">
        <f t="shared" ca="1" si="319"/>
        <v>6.2500848368967363E-3</v>
      </c>
      <c r="U119" s="5">
        <f t="shared" ca="1" si="320"/>
        <v>6.9318614733495732E-3</v>
      </c>
      <c r="V119" s="5">
        <f t="shared" ca="1" si="321"/>
        <v>6.3164370185883282E-3</v>
      </c>
      <c r="W119" s="5">
        <f t="shared" ca="1" si="322"/>
        <v>6.9500281546097092E-3</v>
      </c>
      <c r="X119" s="5">
        <f t="shared" ca="1" si="323"/>
        <v>6.5773927341355549E-3</v>
      </c>
      <c r="Y119" s="5">
        <f t="shared" ca="1" si="324"/>
        <v>7.325511607126833E-3</v>
      </c>
      <c r="Z119" s="5">
        <f t="shared" ca="1" si="325"/>
        <v>7.3134001457801417E-3</v>
      </c>
      <c r="AA119" s="5">
        <f t="shared" ca="1" si="326"/>
        <v>7.0329005480559452E-3</v>
      </c>
      <c r="AB119" s="5">
        <f t="shared" ca="1" si="327"/>
        <v>7.5546046282899265E-3</v>
      </c>
      <c r="AC119" s="5">
        <f t="shared" ca="1" si="328"/>
        <v>6.8290369027506148E-3</v>
      </c>
      <c r="AD119" s="5">
        <f t="shared" ca="1" si="329"/>
        <v>6.9605197878211652E-3</v>
      </c>
      <c r="AE119" s="5">
        <f t="shared" ca="1" si="330"/>
        <v>7.1785715188022823E-3</v>
      </c>
      <c r="AF119" s="5">
        <f t="shared" ca="1" si="331"/>
        <v>7.0178851042171772E-3</v>
      </c>
      <c r="AG119" s="5">
        <f t="shared" ca="1" si="332"/>
        <v>7.219215684078093E-3</v>
      </c>
      <c r="AH119" s="5">
        <f t="shared" ca="1" si="333"/>
        <v>6.6656015722696077E-3</v>
      </c>
      <c r="AI119" s="5">
        <f t="shared" ca="1" si="334"/>
        <v>7.1681034794925519E-3</v>
      </c>
      <c r="AJ119" s="5">
        <f t="shared" ca="1" si="335"/>
        <v>6.1461678787869678E-3</v>
      </c>
      <c r="AK119" s="5">
        <f t="shared" ca="1" si="336"/>
        <v>7.3398392298675277E-3</v>
      </c>
      <c r="AL119" s="5">
        <f t="shared" ca="1" si="337"/>
        <v>6.7357228234578648E-3</v>
      </c>
      <c r="AM119" s="5">
        <f t="shared" ca="1" si="338"/>
        <v>6.4943496462136745E-3</v>
      </c>
      <c r="AN119" s="5">
        <f t="shared" ca="1" si="339"/>
        <v>6.9224282349271728E-3</v>
      </c>
      <c r="AO119" s="5">
        <f t="shared" ca="1" si="340"/>
        <v>7.9402003773298632E-3</v>
      </c>
      <c r="AP119" s="5">
        <f t="shared" ca="1" si="341"/>
        <v>6.7288615571190697E-3</v>
      </c>
      <c r="AQ119" s="5">
        <f t="shared" ca="1" si="342"/>
        <v>6.0589908005759556E-3</v>
      </c>
      <c r="AR119" s="5">
        <f t="shared" ca="1" si="343"/>
        <v>7.0746089647197785E-3</v>
      </c>
      <c r="AS119" s="5">
        <f t="shared" ca="1" si="344"/>
        <v>6.808235066494848E-3</v>
      </c>
      <c r="AT119" s="5">
        <f t="shared" ca="1" si="345"/>
        <v>6.1887036705231546E-3</v>
      </c>
      <c r="AU119" s="5">
        <f t="shared" ca="1" si="346"/>
        <v>6.8886306789458073E-3</v>
      </c>
      <c r="AV119" s="5">
        <f t="shared" ca="1" si="347"/>
        <v>6.6169674453383223E-3</v>
      </c>
      <c r="AW119" s="5">
        <f t="shared" ca="1" si="348"/>
        <v>7.4189181333152825E-3</v>
      </c>
      <c r="AX119" s="5">
        <f t="shared" ca="1" si="349"/>
        <v>6.6372536770015703E-3</v>
      </c>
      <c r="AY119" s="5">
        <f t="shared" ca="1" si="350"/>
        <v>7.0180142868717758E-3</v>
      </c>
      <c r="AZ119" s="5">
        <f t="shared" ca="1" si="351"/>
        <v>7.7529508789052253E-3</v>
      </c>
      <c r="BA119" s="5">
        <f t="shared" ca="1" si="352"/>
        <v>6.6614066656546858E-3</v>
      </c>
      <c r="BB119" s="5">
        <f t="shared" ca="1" si="353"/>
        <v>6.6595693239113914E-3</v>
      </c>
      <c r="BC119" s="5">
        <f t="shared" ca="1" si="354"/>
        <v>7.262594506140369E-3</v>
      </c>
      <c r="BD119" s="5">
        <f t="shared" ca="1" si="355"/>
        <v>6.8647091013494376E-3</v>
      </c>
      <c r="BE119" s="5">
        <f t="shared" ca="1" si="356"/>
        <v>7.5735091950581692E-3</v>
      </c>
      <c r="BF119" s="5">
        <f t="shared" ca="1" si="357"/>
        <v>6.7037250880680179E-3</v>
      </c>
      <c r="BG119" s="5">
        <f t="shared" ca="1" si="358"/>
        <v>7.035190079376359E-3</v>
      </c>
      <c r="BH119" s="5">
        <f t="shared" ca="1" si="359"/>
        <v>6.6601590904332977E-3</v>
      </c>
      <c r="BI119" s="5">
        <f t="shared" ca="1" si="360"/>
        <v>7.650474323655526E-3</v>
      </c>
      <c r="BJ119" s="5">
        <f t="shared" ca="1" si="361"/>
        <v>7.351028418706231E-3</v>
      </c>
      <c r="BK119" s="5">
        <f t="shared" ca="1" si="362"/>
        <v>7.6368075135723771E-3</v>
      </c>
      <c r="BL119" s="5">
        <f t="shared" ca="1" si="363"/>
        <v>7.235436224381428E-3</v>
      </c>
      <c r="BM119" s="5">
        <f t="shared" ca="1" si="364"/>
        <v>6.7188377629545989E-3</v>
      </c>
      <c r="BN119" s="5">
        <f t="shared" ca="1" si="365"/>
        <v>6.6050057111752079E-3</v>
      </c>
      <c r="BO119" s="5">
        <f t="shared" ca="1" si="366"/>
        <v>7.1413563677952081E-3</v>
      </c>
      <c r="BP119" s="5">
        <f t="shared" ca="1" si="367"/>
        <v>6.8625656723532748E-3</v>
      </c>
      <c r="BQ119" s="5">
        <f t="shared" ca="1" si="368"/>
        <v>6.4274278450027521E-3</v>
      </c>
      <c r="BR119" s="5">
        <f t="shared" ca="1" si="369"/>
        <v>6.5986456492924898E-3</v>
      </c>
      <c r="BS119" s="5">
        <f t="shared" ca="1" si="370"/>
        <v>6.9119021390911658E-3</v>
      </c>
      <c r="BT119" s="5">
        <f t="shared" ca="1" si="371"/>
        <v>6.6243407594894655E-3</v>
      </c>
      <c r="BU119" s="5">
        <f t="shared" ca="1" si="372"/>
        <v>6.8171978880804717E-3</v>
      </c>
      <c r="BV119" s="5">
        <f t="shared" ca="1" si="373"/>
        <v>6.8607101661023748E-3</v>
      </c>
      <c r="BW119" s="5">
        <f t="shared" ca="1" si="374"/>
        <v>7.0067288491318562E-3</v>
      </c>
      <c r="BX119" s="5">
        <f t="shared" ca="1" si="375"/>
        <v>7.2947177690532647E-3</v>
      </c>
      <c r="BY119" s="5">
        <f t="shared" ca="1" si="376"/>
        <v>6.3142038475276739E-3</v>
      </c>
      <c r="BZ119" s="5">
        <f t="shared" ca="1" si="377"/>
        <v>6.9169341027192953E-3</v>
      </c>
      <c r="CA119" s="5">
        <f t="shared" ca="1" si="378"/>
        <v>6.4575410581487547E-3</v>
      </c>
      <c r="CB119" s="5">
        <f t="shared" ca="1" si="379"/>
        <v>6.9602041155495693E-3</v>
      </c>
      <c r="CC119" s="5">
        <f t="shared" ca="1" si="380"/>
        <v>6.6056518330551671E-3</v>
      </c>
      <c r="CD119" s="5">
        <f t="shared" ca="1" si="381"/>
        <v>7.075450638087382E-3</v>
      </c>
      <c r="CE119" s="5">
        <f t="shared" ca="1" si="382"/>
        <v>6.5332025779010925E-3</v>
      </c>
      <c r="CF119" s="5">
        <f t="shared" ca="1" si="383"/>
        <v>7.3789317516148017E-3</v>
      </c>
      <c r="CG119" s="5">
        <f t="shared" ca="1" si="384"/>
        <v>6.7991339949170929E-3</v>
      </c>
      <c r="CH119" s="5">
        <f t="shared" ca="1" si="385"/>
        <v>6.1622762669105591E-3</v>
      </c>
      <c r="CI119" s="5">
        <f t="shared" ca="1" si="386"/>
        <v>7.7210986555192483E-3</v>
      </c>
      <c r="CJ119" s="5">
        <f t="shared" ca="1" si="387"/>
        <v>7.0446823053474401E-3</v>
      </c>
      <c r="CK119" s="5">
        <f t="shared" ca="1" si="388"/>
        <v>7.2281483374807562E-3</v>
      </c>
      <c r="CL119" s="5">
        <f t="shared" ca="1" si="389"/>
        <v>7.9138572242596714E-3</v>
      </c>
      <c r="CM119" s="5">
        <f t="shared" ca="1" si="390"/>
        <v>7.068470222620301E-3</v>
      </c>
      <c r="CN119" s="5">
        <f t="shared" ca="1" si="391"/>
        <v>6.959538102010613E-3</v>
      </c>
      <c r="CO119" s="5">
        <f t="shared" ca="1" si="392"/>
        <v>7.4507574348859403E-3</v>
      </c>
      <c r="CP119" s="5">
        <f t="shared" ca="1" si="393"/>
        <v>6.259756506081438E-3</v>
      </c>
      <c r="CQ119" s="5">
        <f t="shared" ca="1" si="394"/>
        <v>7.6474289495045474E-3</v>
      </c>
      <c r="CR119" s="5">
        <f t="shared" ca="1" si="395"/>
        <v>6.9262694749458072E-3</v>
      </c>
      <c r="CS119" s="5">
        <f t="shared" ca="1" si="396"/>
        <v>7.0788856292954032E-3</v>
      </c>
      <c r="CT119" s="5">
        <f t="shared" ca="1" si="397"/>
        <v>7.2335866880054479E-3</v>
      </c>
      <c r="CU119" s="5">
        <f t="shared" ca="1" si="398"/>
        <v>6.4575525783773582E-3</v>
      </c>
      <c r="CV119" s="5">
        <f t="shared" ca="1" si="399"/>
        <v>7.3615050601848085E-3</v>
      </c>
      <c r="CW119" s="5">
        <f t="shared" ca="1" si="400"/>
        <v>6.75089936437642E-3</v>
      </c>
      <c r="CX119" s="5">
        <f t="shared" ca="1" si="401"/>
        <v>6.775837289965397E-3</v>
      </c>
      <c r="CY119" s="5">
        <f t="shared" ca="1" si="402"/>
        <v>6.8754752355938689E-3</v>
      </c>
      <c r="CZ119" s="5">
        <f t="shared" ca="1" si="403"/>
        <v>6.2511598731087772E-3</v>
      </c>
      <c r="DA119" s="5">
        <f t="shared" ca="1" si="404"/>
        <v>6.7108086218863761E-3</v>
      </c>
      <c r="DB119" s="5">
        <f t="shared" ca="1" si="405"/>
        <v>6.8599465292521668E-3</v>
      </c>
      <c r="DC119" s="5">
        <f t="shared" ca="1" si="406"/>
        <v>6.8735231883690151E-3</v>
      </c>
      <c r="DD119" s="5">
        <f t="shared" ca="1" si="407"/>
        <v>6.8438541046649285E-3</v>
      </c>
      <c r="DE119" s="5">
        <f t="shared" ca="1" si="408"/>
        <v>6.7220975820207864E-3</v>
      </c>
      <c r="DF119" s="5">
        <f t="shared" ca="1" si="409"/>
        <v>6.7698522099563386E-3</v>
      </c>
      <c r="DG119" s="5">
        <f t="shared" ca="1" si="410"/>
        <v>6.7047134918176874E-3</v>
      </c>
      <c r="DH119" s="5">
        <f t="shared" ca="1" si="411"/>
        <v>7.4505385074737675E-3</v>
      </c>
      <c r="DI119" s="5">
        <f t="shared" ca="1" si="412"/>
        <v>7.1350047289070748E-3</v>
      </c>
      <c r="DJ119" s="5">
        <f t="shared" ca="1" si="413"/>
        <v>7.0992824579910654E-3</v>
      </c>
    </row>
    <row r="120" spans="4:114" x14ac:dyDescent="0.2">
      <c r="E120" s="32">
        <v>48122</v>
      </c>
      <c r="F120" s="9">
        <v>3997.9944972931889</v>
      </c>
      <c r="G120" s="5">
        <f t="shared" ca="1" si="311"/>
        <v>5.1446742488177079E-2</v>
      </c>
      <c r="H120" s="5">
        <f t="shared" ca="1" si="312"/>
        <v>6.5662005352859687E-3</v>
      </c>
      <c r="I120" s="9">
        <f t="shared" ca="1" si="313"/>
        <v>353344.34308298392</v>
      </c>
      <c r="K120" s="36">
        <v>116</v>
      </c>
      <c r="N120" s="32">
        <v>48092</v>
      </c>
      <c r="O120" s="5">
        <f t="shared" ca="1" si="314"/>
        <v>7.3916472835972163E-3</v>
      </c>
      <c r="P120" s="5">
        <f t="shared" ca="1" si="315"/>
        <v>7.3867848148346177E-3</v>
      </c>
      <c r="Q120" s="5">
        <f t="shared" ca="1" si="316"/>
        <v>6.9969489575868824E-3</v>
      </c>
      <c r="R120" s="5">
        <f t="shared" ca="1" si="317"/>
        <v>6.2932545208155962E-3</v>
      </c>
      <c r="S120" s="5">
        <f t="shared" ca="1" si="318"/>
        <v>6.740042526289047E-3</v>
      </c>
      <c r="T120" s="5">
        <f t="shared" ca="1" si="319"/>
        <v>6.3083933276347603E-3</v>
      </c>
      <c r="U120" s="5">
        <f t="shared" ca="1" si="320"/>
        <v>6.9856999484307286E-3</v>
      </c>
      <c r="V120" s="5">
        <f t="shared" ca="1" si="321"/>
        <v>6.3250755393281935E-3</v>
      </c>
      <c r="W120" s="5">
        <f t="shared" ca="1" si="322"/>
        <v>6.9350070557674939E-3</v>
      </c>
      <c r="X120" s="5">
        <f t="shared" ca="1" si="323"/>
        <v>6.6072512849599868E-3</v>
      </c>
      <c r="Y120" s="5">
        <f t="shared" ca="1" si="324"/>
        <v>7.3143662745326675E-3</v>
      </c>
      <c r="Z120" s="5">
        <f t="shared" ca="1" si="325"/>
        <v>7.3621616812843257E-3</v>
      </c>
      <c r="AA120" s="5">
        <f t="shared" ca="1" si="326"/>
        <v>7.0690451367914396E-3</v>
      </c>
      <c r="AB120" s="5">
        <f t="shared" ca="1" si="327"/>
        <v>7.5642196826048429E-3</v>
      </c>
      <c r="AC120" s="5">
        <f t="shared" ca="1" si="328"/>
        <v>6.783589909084147E-3</v>
      </c>
      <c r="AD120" s="5">
        <f t="shared" ca="1" si="329"/>
        <v>6.9810341912163246E-3</v>
      </c>
      <c r="AE120" s="5">
        <f t="shared" ca="1" si="330"/>
        <v>7.1159867155476753E-3</v>
      </c>
      <c r="AF120" s="5">
        <f t="shared" ca="1" si="331"/>
        <v>7.0324656208346796E-3</v>
      </c>
      <c r="AG120" s="5">
        <f t="shared" ca="1" si="332"/>
        <v>7.2066274425670466E-3</v>
      </c>
      <c r="AH120" s="5">
        <f t="shared" ca="1" si="333"/>
        <v>6.6183915034034556E-3</v>
      </c>
      <c r="AI120" s="5">
        <f t="shared" ca="1" si="334"/>
        <v>7.1396588005465519E-3</v>
      </c>
      <c r="AJ120" s="5">
        <f t="shared" ca="1" si="335"/>
        <v>6.1350921087141054E-3</v>
      </c>
      <c r="AK120" s="5">
        <f t="shared" ca="1" si="336"/>
        <v>7.3431457369264198E-3</v>
      </c>
      <c r="AL120" s="5">
        <f t="shared" ca="1" si="337"/>
        <v>6.6497686297875306E-3</v>
      </c>
      <c r="AM120" s="5">
        <f t="shared" ca="1" si="338"/>
        <v>6.5639277933896281E-3</v>
      </c>
      <c r="AN120" s="5">
        <f t="shared" ca="1" si="339"/>
        <v>6.9482757549355232E-3</v>
      </c>
      <c r="AO120" s="5">
        <f t="shared" ca="1" si="340"/>
        <v>7.9160715012764685E-3</v>
      </c>
      <c r="AP120" s="5">
        <f t="shared" ca="1" si="341"/>
        <v>6.7368064105360519E-3</v>
      </c>
      <c r="AQ120" s="5">
        <f t="shared" ca="1" si="342"/>
        <v>6.0113557106589591E-3</v>
      </c>
      <c r="AR120" s="5">
        <f t="shared" ca="1" si="343"/>
        <v>7.028701018370739E-3</v>
      </c>
      <c r="AS120" s="5">
        <f t="shared" ca="1" si="344"/>
        <v>6.8236388450167162E-3</v>
      </c>
      <c r="AT120" s="5">
        <f t="shared" ca="1" si="345"/>
        <v>6.2083141183839913E-3</v>
      </c>
      <c r="AU120" s="5">
        <f t="shared" ca="1" si="346"/>
        <v>6.908901814204939E-3</v>
      </c>
      <c r="AV120" s="5">
        <f t="shared" ca="1" si="347"/>
        <v>6.6833671217815145E-3</v>
      </c>
      <c r="AW120" s="5">
        <f t="shared" ca="1" si="348"/>
        <v>7.3840339540303867E-3</v>
      </c>
      <c r="AX120" s="5">
        <f t="shared" ca="1" si="349"/>
        <v>6.6620699917710477E-3</v>
      </c>
      <c r="AY120" s="5">
        <f t="shared" ca="1" si="350"/>
        <v>6.9666256049992145E-3</v>
      </c>
      <c r="AZ120" s="5">
        <f t="shared" ca="1" si="351"/>
        <v>7.7716540223163131E-3</v>
      </c>
      <c r="BA120" s="5">
        <f t="shared" ca="1" si="352"/>
        <v>6.7340188120547477E-3</v>
      </c>
      <c r="BB120" s="5">
        <f t="shared" ca="1" si="353"/>
        <v>6.6790541874097702E-3</v>
      </c>
      <c r="BC120" s="5">
        <f t="shared" ca="1" si="354"/>
        <v>7.2699787677725008E-3</v>
      </c>
      <c r="BD120" s="5">
        <f t="shared" ca="1" si="355"/>
        <v>6.8714043414047823E-3</v>
      </c>
      <c r="BE120" s="5">
        <f t="shared" ca="1" si="356"/>
        <v>7.5982230764100019E-3</v>
      </c>
      <c r="BF120" s="5">
        <f t="shared" ca="1" si="357"/>
        <v>6.6922571520434638E-3</v>
      </c>
      <c r="BG120" s="5">
        <f t="shared" ca="1" si="358"/>
        <v>7.0006500658494957E-3</v>
      </c>
      <c r="BH120" s="5">
        <f t="shared" ca="1" si="359"/>
        <v>6.6403150172054991E-3</v>
      </c>
      <c r="BI120" s="5">
        <f t="shared" ca="1" si="360"/>
        <v>7.6355626625843123E-3</v>
      </c>
      <c r="BJ120" s="5">
        <f t="shared" ca="1" si="361"/>
        <v>7.316129380580196E-3</v>
      </c>
      <c r="BK120" s="5">
        <f t="shared" ca="1" si="362"/>
        <v>7.6865966173424345E-3</v>
      </c>
      <c r="BL120" s="5">
        <f t="shared" ca="1" si="363"/>
        <v>7.2428430609728913E-3</v>
      </c>
      <c r="BM120" s="5">
        <f t="shared" ca="1" si="364"/>
        <v>6.7397607202710147E-3</v>
      </c>
      <c r="BN120" s="5">
        <f t="shared" ca="1" si="365"/>
        <v>6.6219353847606962E-3</v>
      </c>
      <c r="BO120" s="5">
        <f t="shared" ca="1" si="366"/>
        <v>7.1847007919831306E-3</v>
      </c>
      <c r="BP120" s="5">
        <f t="shared" ca="1" si="367"/>
        <v>6.9086727118176467E-3</v>
      </c>
      <c r="BQ120" s="5">
        <f t="shared" ca="1" si="368"/>
        <v>6.3697775504983813E-3</v>
      </c>
      <c r="BR120" s="5">
        <f t="shared" ca="1" si="369"/>
        <v>6.666241534557445E-3</v>
      </c>
      <c r="BS120" s="5">
        <f t="shared" ca="1" si="370"/>
        <v>6.8858779001268926E-3</v>
      </c>
      <c r="BT120" s="5">
        <f t="shared" ca="1" si="371"/>
        <v>6.6840376865589159E-3</v>
      </c>
      <c r="BU120" s="5">
        <f t="shared" ca="1" si="372"/>
        <v>6.7917600906828822E-3</v>
      </c>
      <c r="BV120" s="5">
        <f t="shared" ca="1" si="373"/>
        <v>6.8991575836163232E-3</v>
      </c>
      <c r="BW120" s="5">
        <f t="shared" ca="1" si="374"/>
        <v>7.0188405053145612E-3</v>
      </c>
      <c r="BX120" s="5">
        <f t="shared" ca="1" si="375"/>
        <v>7.2892638555394039E-3</v>
      </c>
      <c r="BY120" s="5">
        <f t="shared" ca="1" si="376"/>
        <v>6.2740130213810351E-3</v>
      </c>
      <c r="BZ120" s="5">
        <f t="shared" ca="1" si="377"/>
        <v>6.8448015049258869E-3</v>
      </c>
      <c r="CA120" s="5">
        <f t="shared" ca="1" si="378"/>
        <v>6.4841567050258958E-3</v>
      </c>
      <c r="CB120" s="5">
        <f t="shared" ca="1" si="379"/>
        <v>6.9849523779082177E-3</v>
      </c>
      <c r="CC120" s="5">
        <f t="shared" ca="1" si="380"/>
        <v>6.5987150704385281E-3</v>
      </c>
      <c r="CD120" s="5">
        <f t="shared" ca="1" si="381"/>
        <v>7.0267072641111688E-3</v>
      </c>
      <c r="CE120" s="5">
        <f t="shared" ca="1" si="382"/>
        <v>6.6117110897436753E-3</v>
      </c>
      <c r="CF120" s="5">
        <f t="shared" ca="1" si="383"/>
        <v>7.3923707806252863E-3</v>
      </c>
      <c r="CG120" s="5">
        <f t="shared" ca="1" si="384"/>
        <v>6.8358406359127271E-3</v>
      </c>
      <c r="CH120" s="5">
        <f t="shared" ca="1" si="385"/>
        <v>6.1452219114513026E-3</v>
      </c>
      <c r="CI120" s="5">
        <f t="shared" ca="1" si="386"/>
        <v>7.7535717857143459E-3</v>
      </c>
      <c r="CJ120" s="5">
        <f t="shared" ca="1" si="387"/>
        <v>7.0236340246231177E-3</v>
      </c>
      <c r="CK120" s="5">
        <f t="shared" ca="1" si="388"/>
        <v>7.23426324078445E-3</v>
      </c>
      <c r="CL120" s="5">
        <f t="shared" ca="1" si="389"/>
        <v>7.8375663943942714E-3</v>
      </c>
      <c r="CM120" s="5">
        <f t="shared" ca="1" si="390"/>
        <v>7.093323446158332E-3</v>
      </c>
      <c r="CN120" s="5">
        <f t="shared" ca="1" si="391"/>
        <v>6.9345271591094047E-3</v>
      </c>
      <c r="CO120" s="5">
        <f t="shared" ca="1" si="392"/>
        <v>7.4298990503318648E-3</v>
      </c>
      <c r="CP120" s="5">
        <f t="shared" ca="1" si="393"/>
        <v>6.2442559822329146E-3</v>
      </c>
      <c r="CQ120" s="5">
        <f t="shared" ca="1" si="394"/>
        <v>7.6695279888882844E-3</v>
      </c>
      <c r="CR120" s="5">
        <f t="shared" ca="1" si="395"/>
        <v>7.039867330291473E-3</v>
      </c>
      <c r="CS120" s="5">
        <f t="shared" ca="1" si="396"/>
        <v>7.182492384922968E-3</v>
      </c>
      <c r="CT120" s="5">
        <f t="shared" ca="1" si="397"/>
        <v>7.2425313385741886E-3</v>
      </c>
      <c r="CU120" s="5">
        <f t="shared" ca="1" si="398"/>
        <v>6.4588996381564146E-3</v>
      </c>
      <c r="CV120" s="5">
        <f t="shared" ca="1" si="399"/>
        <v>7.2991058620992619E-3</v>
      </c>
      <c r="CW120" s="5">
        <f t="shared" ca="1" si="400"/>
        <v>6.7803314546412063E-3</v>
      </c>
      <c r="CX120" s="5">
        <f t="shared" ca="1" si="401"/>
        <v>6.88167347066059E-3</v>
      </c>
      <c r="CY120" s="5">
        <f t="shared" ca="1" si="402"/>
        <v>6.9434781706754593E-3</v>
      </c>
      <c r="CZ120" s="5">
        <f t="shared" ca="1" si="403"/>
        <v>6.3641626331212599E-3</v>
      </c>
      <c r="DA120" s="5">
        <f t="shared" ca="1" si="404"/>
        <v>6.7577802629233807E-3</v>
      </c>
      <c r="DB120" s="5">
        <f t="shared" ca="1" si="405"/>
        <v>6.8961071896678954E-3</v>
      </c>
      <c r="DC120" s="5">
        <f t="shared" ca="1" si="406"/>
        <v>6.7870937730463241E-3</v>
      </c>
      <c r="DD120" s="5">
        <f t="shared" ca="1" si="407"/>
        <v>6.8314803353782105E-3</v>
      </c>
      <c r="DE120" s="5">
        <f t="shared" ca="1" si="408"/>
        <v>6.6564836453359283E-3</v>
      </c>
      <c r="DF120" s="5">
        <f t="shared" ca="1" si="409"/>
        <v>6.7489077368981494E-3</v>
      </c>
      <c r="DG120" s="5">
        <f t="shared" ca="1" si="410"/>
        <v>6.6734192794416902E-3</v>
      </c>
      <c r="DH120" s="5">
        <f t="shared" ca="1" si="411"/>
        <v>7.4285908061378246E-3</v>
      </c>
      <c r="DI120" s="5">
        <f t="shared" ca="1" si="412"/>
        <v>7.0648275961775735E-3</v>
      </c>
      <c r="DJ120" s="5">
        <f t="shared" ca="1" si="413"/>
        <v>7.1088303694578575E-3</v>
      </c>
    </row>
    <row r="121" spans="4:114" x14ac:dyDescent="0.2">
      <c r="E121" s="32">
        <v>48153</v>
      </c>
      <c r="F121" s="9">
        <v>3997.9944972931889</v>
      </c>
      <c r="G121" s="5">
        <f t="shared" ca="1" si="311"/>
        <v>1.0095480623542307E-2</v>
      </c>
      <c r="H121" s="5">
        <f t="shared" ca="1" si="312"/>
        <v>6.5981385175102819E-3</v>
      </c>
      <c r="I121" s="9">
        <f t="shared" ca="1" si="313"/>
        <v>357536.67557992769</v>
      </c>
      <c r="K121" s="36">
        <v>117</v>
      </c>
      <c r="N121" s="32">
        <v>48122</v>
      </c>
      <c r="O121" s="5">
        <f t="shared" ca="1" si="314"/>
        <v>7.4018488738687455E-3</v>
      </c>
      <c r="P121" s="5">
        <f t="shared" ca="1" si="315"/>
        <v>7.438572043316812E-3</v>
      </c>
      <c r="Q121" s="5">
        <f t="shared" ca="1" si="316"/>
        <v>6.9725362424901136E-3</v>
      </c>
      <c r="R121" s="5">
        <f t="shared" ca="1" si="317"/>
        <v>6.2535170480389098E-3</v>
      </c>
      <c r="S121" s="5">
        <f t="shared" ca="1" si="318"/>
        <v>6.670243981952366E-3</v>
      </c>
      <c r="T121" s="5">
        <f t="shared" ca="1" si="319"/>
        <v>6.3849472997482958E-3</v>
      </c>
      <c r="U121" s="5">
        <f t="shared" ca="1" si="320"/>
        <v>6.9288046561607917E-3</v>
      </c>
      <c r="V121" s="5">
        <f t="shared" ca="1" si="321"/>
        <v>6.31043545157916E-3</v>
      </c>
      <c r="W121" s="5">
        <f t="shared" ca="1" si="322"/>
        <v>6.930791434427268E-3</v>
      </c>
      <c r="X121" s="5">
        <f t="shared" ca="1" si="323"/>
        <v>6.5748799169731168E-3</v>
      </c>
      <c r="Y121" s="5">
        <f t="shared" ca="1" si="324"/>
        <v>7.3002716830836943E-3</v>
      </c>
      <c r="Z121" s="5">
        <f t="shared" ca="1" si="325"/>
        <v>7.4199890368115886E-3</v>
      </c>
      <c r="AA121" s="5">
        <f t="shared" ca="1" si="326"/>
        <v>7.0414607809244243E-3</v>
      </c>
      <c r="AB121" s="5">
        <f t="shared" ca="1" si="327"/>
        <v>7.5544008835175319E-3</v>
      </c>
      <c r="AC121" s="5">
        <f t="shared" ca="1" si="328"/>
        <v>6.6914707806898371E-3</v>
      </c>
      <c r="AD121" s="5">
        <f t="shared" ca="1" si="329"/>
        <v>7.0437565297842789E-3</v>
      </c>
      <c r="AE121" s="5">
        <f t="shared" ca="1" si="330"/>
        <v>7.1909361763051122E-3</v>
      </c>
      <c r="AF121" s="5">
        <f t="shared" ca="1" si="331"/>
        <v>7.0240041403077172E-3</v>
      </c>
      <c r="AG121" s="5">
        <f t="shared" ca="1" si="332"/>
        <v>7.2669638887130315E-3</v>
      </c>
      <c r="AH121" s="5">
        <f t="shared" ca="1" si="333"/>
        <v>6.6045142595925269E-3</v>
      </c>
      <c r="AI121" s="5">
        <f t="shared" ca="1" si="334"/>
        <v>7.1314437960246996E-3</v>
      </c>
      <c r="AJ121" s="5">
        <f t="shared" ca="1" si="335"/>
        <v>6.1130648260006642E-3</v>
      </c>
      <c r="AK121" s="5">
        <f t="shared" ca="1" si="336"/>
        <v>7.3640959069609874E-3</v>
      </c>
      <c r="AL121" s="5">
        <f t="shared" ca="1" si="337"/>
        <v>6.7005163380043442E-3</v>
      </c>
      <c r="AM121" s="5">
        <f t="shared" ca="1" si="338"/>
        <v>6.6018754227378188E-3</v>
      </c>
      <c r="AN121" s="5">
        <f t="shared" ca="1" si="339"/>
        <v>6.9672861386615098E-3</v>
      </c>
      <c r="AO121" s="5">
        <f t="shared" ca="1" si="340"/>
        <v>7.857299806114184E-3</v>
      </c>
      <c r="AP121" s="5">
        <f t="shared" ca="1" si="341"/>
        <v>6.7885537222849941E-3</v>
      </c>
      <c r="AQ121" s="5">
        <f t="shared" ca="1" si="342"/>
        <v>6.0418674750633838E-3</v>
      </c>
      <c r="AR121" s="5">
        <f t="shared" ca="1" si="343"/>
        <v>7.0186460501071258E-3</v>
      </c>
      <c r="AS121" s="5">
        <f t="shared" ca="1" si="344"/>
        <v>6.7298311546404943E-3</v>
      </c>
      <c r="AT121" s="5">
        <f t="shared" ca="1" si="345"/>
        <v>6.2381534307246259E-3</v>
      </c>
      <c r="AU121" s="5">
        <f t="shared" ca="1" si="346"/>
        <v>6.9113826512133833E-3</v>
      </c>
      <c r="AV121" s="5">
        <f t="shared" ca="1" si="347"/>
        <v>6.7241280235653287E-3</v>
      </c>
      <c r="AW121" s="5">
        <f t="shared" ca="1" si="348"/>
        <v>7.4076671983344146E-3</v>
      </c>
      <c r="AX121" s="5">
        <f t="shared" ca="1" si="349"/>
        <v>6.7054305324096442E-3</v>
      </c>
      <c r="AY121" s="5">
        <f t="shared" ca="1" si="350"/>
        <v>6.9458074327713787E-3</v>
      </c>
      <c r="AZ121" s="5">
        <f t="shared" ca="1" si="351"/>
        <v>7.8223603251803761E-3</v>
      </c>
      <c r="BA121" s="5">
        <f t="shared" ca="1" si="352"/>
        <v>6.720020027030954E-3</v>
      </c>
      <c r="BB121" s="5">
        <f t="shared" ca="1" si="353"/>
        <v>6.6856887319068498E-3</v>
      </c>
      <c r="BC121" s="5">
        <f t="shared" ca="1" si="354"/>
        <v>7.3273434000536665E-3</v>
      </c>
      <c r="BD121" s="5">
        <f t="shared" ca="1" si="355"/>
        <v>6.9058218315311967E-3</v>
      </c>
      <c r="BE121" s="5">
        <f t="shared" ca="1" si="356"/>
        <v>7.6264753553601135E-3</v>
      </c>
      <c r="BF121" s="5">
        <f t="shared" ca="1" si="357"/>
        <v>6.7256576513601164E-3</v>
      </c>
      <c r="BG121" s="5">
        <f t="shared" ca="1" si="358"/>
        <v>7.0373657880616718E-3</v>
      </c>
      <c r="BH121" s="5">
        <f t="shared" ca="1" si="359"/>
        <v>6.6449886597747991E-3</v>
      </c>
      <c r="BI121" s="5">
        <f t="shared" ca="1" si="360"/>
        <v>7.6745245251243063E-3</v>
      </c>
      <c r="BJ121" s="5">
        <f t="shared" ca="1" si="361"/>
        <v>7.300743845188461E-3</v>
      </c>
      <c r="BK121" s="5">
        <f t="shared" ca="1" si="362"/>
        <v>7.7503724284042784E-3</v>
      </c>
      <c r="BL121" s="5">
        <f t="shared" ca="1" si="363"/>
        <v>7.2430062395998467E-3</v>
      </c>
      <c r="BM121" s="5">
        <f t="shared" ca="1" si="364"/>
        <v>6.7233529446586345E-3</v>
      </c>
      <c r="BN121" s="5">
        <f t="shared" ca="1" si="365"/>
        <v>6.6697636463526732E-3</v>
      </c>
      <c r="BO121" s="5">
        <f t="shared" ca="1" si="366"/>
        <v>7.2144822190831522E-3</v>
      </c>
      <c r="BP121" s="5">
        <f t="shared" ca="1" si="367"/>
        <v>6.9859734986756107E-3</v>
      </c>
      <c r="BQ121" s="5">
        <f t="shared" ca="1" si="368"/>
        <v>6.2856609073328514E-3</v>
      </c>
      <c r="BR121" s="5">
        <f t="shared" ca="1" si="369"/>
        <v>6.6802589633043639E-3</v>
      </c>
      <c r="BS121" s="5">
        <f t="shared" ca="1" si="370"/>
        <v>6.9039953225464535E-3</v>
      </c>
      <c r="BT121" s="5">
        <f t="shared" ca="1" si="371"/>
        <v>6.6320727288982015E-3</v>
      </c>
      <c r="BU121" s="5">
        <f t="shared" ca="1" si="372"/>
        <v>6.7885956179935406E-3</v>
      </c>
      <c r="BV121" s="5">
        <f t="shared" ca="1" si="373"/>
        <v>6.8717202020313825E-3</v>
      </c>
      <c r="BW121" s="5">
        <f t="shared" ca="1" si="374"/>
        <v>7.0052803463936265E-3</v>
      </c>
      <c r="BX121" s="5">
        <f t="shared" ca="1" si="375"/>
        <v>7.3329978935096638E-3</v>
      </c>
      <c r="BY121" s="5">
        <f t="shared" ca="1" si="376"/>
        <v>6.3320641805181353E-3</v>
      </c>
      <c r="BZ121" s="5">
        <f t="shared" ca="1" si="377"/>
        <v>6.8300240719538115E-3</v>
      </c>
      <c r="CA121" s="5">
        <f t="shared" ca="1" si="378"/>
        <v>6.4663049642798287E-3</v>
      </c>
      <c r="CB121" s="5">
        <f t="shared" ca="1" si="379"/>
        <v>6.9929192733063777E-3</v>
      </c>
      <c r="CC121" s="5">
        <f t="shared" ca="1" si="380"/>
        <v>6.6628684619368557E-3</v>
      </c>
      <c r="CD121" s="5">
        <f t="shared" ca="1" si="381"/>
        <v>7.0858717393213538E-3</v>
      </c>
      <c r="CE121" s="5">
        <f t="shared" ca="1" si="382"/>
        <v>6.5403216845534079E-3</v>
      </c>
      <c r="CF121" s="5">
        <f t="shared" ca="1" si="383"/>
        <v>7.3541618246865696E-3</v>
      </c>
      <c r="CG121" s="5">
        <f t="shared" ca="1" si="384"/>
        <v>6.8558962776476178E-3</v>
      </c>
      <c r="CH121" s="5">
        <f t="shared" ca="1" si="385"/>
        <v>6.1639330147981782E-3</v>
      </c>
      <c r="CI121" s="5">
        <f t="shared" ca="1" si="386"/>
        <v>7.7064091806655121E-3</v>
      </c>
      <c r="CJ121" s="5">
        <f t="shared" ca="1" si="387"/>
        <v>7.0422221878359446E-3</v>
      </c>
      <c r="CK121" s="5">
        <f t="shared" ca="1" si="388"/>
        <v>7.1989229992047692E-3</v>
      </c>
      <c r="CL121" s="5">
        <f t="shared" ca="1" si="389"/>
        <v>7.8425443503448954E-3</v>
      </c>
      <c r="CM121" s="5">
        <f t="shared" ca="1" si="390"/>
        <v>7.0566898437775718E-3</v>
      </c>
      <c r="CN121" s="5">
        <f t="shared" ca="1" si="391"/>
        <v>7.0538141145587924E-3</v>
      </c>
      <c r="CO121" s="5">
        <f t="shared" ca="1" si="392"/>
        <v>7.4025491670508111E-3</v>
      </c>
      <c r="CP121" s="5">
        <f t="shared" ca="1" si="393"/>
        <v>6.2343912693265079E-3</v>
      </c>
      <c r="CQ121" s="5">
        <f t="shared" ca="1" si="394"/>
        <v>7.70464846327265E-3</v>
      </c>
      <c r="CR121" s="5">
        <f t="shared" ca="1" si="395"/>
        <v>7.0527773137670086E-3</v>
      </c>
      <c r="CS121" s="5">
        <f t="shared" ca="1" si="396"/>
        <v>7.246296365257747E-3</v>
      </c>
      <c r="CT121" s="5">
        <f t="shared" ca="1" si="397"/>
        <v>7.2750642968555761E-3</v>
      </c>
      <c r="CU121" s="5">
        <f t="shared" ca="1" si="398"/>
        <v>6.4922657625836825E-3</v>
      </c>
      <c r="CV121" s="5">
        <f t="shared" ca="1" si="399"/>
        <v>7.2988694037333796E-3</v>
      </c>
      <c r="CW121" s="5">
        <f t="shared" ca="1" si="400"/>
        <v>6.8168853150010937E-3</v>
      </c>
      <c r="CX121" s="5">
        <f t="shared" ca="1" si="401"/>
        <v>6.8547619920237704E-3</v>
      </c>
      <c r="CY121" s="5">
        <f t="shared" ca="1" si="402"/>
        <v>6.9210778549946336E-3</v>
      </c>
      <c r="CZ121" s="5">
        <f t="shared" ca="1" si="403"/>
        <v>6.333123980604637E-3</v>
      </c>
      <c r="DA121" s="5">
        <f t="shared" ca="1" si="404"/>
        <v>6.7607518133593779E-3</v>
      </c>
      <c r="DB121" s="5">
        <f t="shared" ca="1" si="405"/>
        <v>6.8527831651981896E-3</v>
      </c>
      <c r="DC121" s="5">
        <f t="shared" ca="1" si="406"/>
        <v>6.7130769442958127E-3</v>
      </c>
      <c r="DD121" s="5">
        <f t="shared" ca="1" si="407"/>
        <v>6.89574588288412E-3</v>
      </c>
      <c r="DE121" s="5">
        <f t="shared" ca="1" si="408"/>
        <v>6.7131404334866045E-3</v>
      </c>
      <c r="DF121" s="5">
        <f t="shared" ca="1" si="409"/>
        <v>6.7554932416870926E-3</v>
      </c>
      <c r="DG121" s="5">
        <f t="shared" ca="1" si="410"/>
        <v>6.7217557270463539E-3</v>
      </c>
      <c r="DH121" s="5">
        <f t="shared" ca="1" si="411"/>
        <v>7.4656171768176056E-3</v>
      </c>
      <c r="DI121" s="5">
        <f t="shared" ca="1" si="412"/>
        <v>7.0807269609384979E-3</v>
      </c>
      <c r="DJ121" s="5">
        <f t="shared" ca="1" si="413"/>
        <v>7.0496292406582919E-3</v>
      </c>
    </row>
    <row r="122" spans="4:114" x14ac:dyDescent="0.2">
      <c r="E122" s="32">
        <v>48183</v>
      </c>
      <c r="F122" s="9">
        <v>3997.9944972931889</v>
      </c>
      <c r="G122" s="5">
        <f t="shared" ca="1" si="311"/>
        <v>-3.6452420820375767E-2</v>
      </c>
      <c r="H122" s="5">
        <f t="shared" ca="1" si="312"/>
        <v>6.6082691356158969E-3</v>
      </c>
      <c r="I122" s="9">
        <f t="shared" ca="1" si="313"/>
        <v>361731.61584836175</v>
      </c>
      <c r="K122" s="36">
        <v>118</v>
      </c>
      <c r="N122" s="32">
        <v>48153</v>
      </c>
      <c r="O122" s="5">
        <f t="shared" ca="1" si="314"/>
        <v>7.482416175353228E-3</v>
      </c>
      <c r="P122" s="5">
        <f t="shared" ca="1" si="315"/>
        <v>7.4686295513324051E-3</v>
      </c>
      <c r="Q122" s="5">
        <f t="shared" ca="1" si="316"/>
        <v>7.0322629241906902E-3</v>
      </c>
      <c r="R122" s="5">
        <f t="shared" ca="1" si="317"/>
        <v>6.2875237357845042E-3</v>
      </c>
      <c r="S122" s="5">
        <f t="shared" ca="1" si="318"/>
        <v>6.6656431626811166E-3</v>
      </c>
      <c r="T122" s="5">
        <f t="shared" ca="1" si="319"/>
        <v>6.4119502025368359E-3</v>
      </c>
      <c r="U122" s="5">
        <f t="shared" ca="1" si="320"/>
        <v>6.9187683215118888E-3</v>
      </c>
      <c r="V122" s="5">
        <f t="shared" ca="1" si="321"/>
        <v>6.2872526043025023E-3</v>
      </c>
      <c r="W122" s="5">
        <f t="shared" ca="1" si="322"/>
        <v>6.8838936871545619E-3</v>
      </c>
      <c r="X122" s="5">
        <f t="shared" ca="1" si="323"/>
        <v>6.5252803145031991E-3</v>
      </c>
      <c r="Y122" s="5">
        <f t="shared" ca="1" si="324"/>
        <v>7.3242496126319995E-3</v>
      </c>
      <c r="Z122" s="5">
        <f t="shared" ca="1" si="325"/>
        <v>7.405144803904383E-3</v>
      </c>
      <c r="AA122" s="5">
        <f t="shared" ca="1" si="326"/>
        <v>7.0831583489434375E-3</v>
      </c>
      <c r="AB122" s="5">
        <f t="shared" ca="1" si="327"/>
        <v>7.5103593527091625E-3</v>
      </c>
      <c r="AC122" s="5">
        <f t="shared" ca="1" si="328"/>
        <v>6.7691423010333238E-3</v>
      </c>
      <c r="AD122" s="5">
        <f t="shared" ca="1" si="329"/>
        <v>7.0878965632087754E-3</v>
      </c>
      <c r="AE122" s="5">
        <f t="shared" ca="1" si="330"/>
        <v>7.1708573220649807E-3</v>
      </c>
      <c r="AF122" s="5">
        <f t="shared" ca="1" si="331"/>
        <v>7.0193415963473128E-3</v>
      </c>
      <c r="AG122" s="5">
        <f t="shared" ca="1" si="332"/>
        <v>7.2573851650197564E-3</v>
      </c>
      <c r="AH122" s="5">
        <f t="shared" ca="1" si="333"/>
        <v>6.6325211965004051E-3</v>
      </c>
      <c r="AI122" s="5">
        <f t="shared" ca="1" si="334"/>
        <v>7.1404997076396724E-3</v>
      </c>
      <c r="AJ122" s="5">
        <f t="shared" ca="1" si="335"/>
        <v>6.1334329715102345E-3</v>
      </c>
      <c r="AK122" s="5">
        <f t="shared" ca="1" si="336"/>
        <v>7.3431443772283772E-3</v>
      </c>
      <c r="AL122" s="5">
        <f t="shared" ca="1" si="337"/>
        <v>6.6770893149148197E-3</v>
      </c>
      <c r="AM122" s="5">
        <f t="shared" ca="1" si="338"/>
        <v>6.6942884158173099E-3</v>
      </c>
      <c r="AN122" s="5">
        <f t="shared" ca="1" si="339"/>
        <v>6.9778010606253108E-3</v>
      </c>
      <c r="AO122" s="5">
        <f t="shared" ca="1" si="340"/>
        <v>7.9243776975447527E-3</v>
      </c>
      <c r="AP122" s="5">
        <f t="shared" ca="1" si="341"/>
        <v>6.7702768934791435E-3</v>
      </c>
      <c r="AQ122" s="5">
        <f t="shared" ca="1" si="342"/>
        <v>6.070262370763968E-3</v>
      </c>
      <c r="AR122" s="5">
        <f t="shared" ca="1" si="343"/>
        <v>7.0517549359930239E-3</v>
      </c>
      <c r="AS122" s="5">
        <f t="shared" ca="1" si="344"/>
        <v>6.7000155803626834E-3</v>
      </c>
      <c r="AT122" s="5">
        <f t="shared" ca="1" si="345"/>
        <v>6.3255103818090734E-3</v>
      </c>
      <c r="AU122" s="5">
        <f t="shared" ca="1" si="346"/>
        <v>6.9855416699052299E-3</v>
      </c>
      <c r="AV122" s="5">
        <f t="shared" ca="1" si="347"/>
        <v>6.706700083398306E-3</v>
      </c>
      <c r="AW122" s="5">
        <f t="shared" ca="1" si="348"/>
        <v>7.3192647837412948E-3</v>
      </c>
      <c r="AX122" s="5">
        <f t="shared" ca="1" si="349"/>
        <v>6.718108938545634E-3</v>
      </c>
      <c r="AY122" s="5">
        <f t="shared" ca="1" si="350"/>
        <v>6.9185425987847724E-3</v>
      </c>
      <c r="AZ122" s="5">
        <f t="shared" ca="1" si="351"/>
        <v>7.8394939915899173E-3</v>
      </c>
      <c r="BA122" s="5">
        <f t="shared" ca="1" si="352"/>
        <v>6.7051281820245962E-3</v>
      </c>
      <c r="BB122" s="5">
        <f t="shared" ca="1" si="353"/>
        <v>6.8037638106045722E-3</v>
      </c>
      <c r="BC122" s="5">
        <f t="shared" ca="1" si="354"/>
        <v>7.3527995694654914E-3</v>
      </c>
      <c r="BD122" s="5">
        <f t="shared" ca="1" si="355"/>
        <v>6.9459798494928421E-3</v>
      </c>
      <c r="BE122" s="5">
        <f t="shared" ca="1" si="356"/>
        <v>7.6140390502359486E-3</v>
      </c>
      <c r="BF122" s="5">
        <f t="shared" ca="1" si="357"/>
        <v>6.7902416485656585E-3</v>
      </c>
      <c r="BG122" s="5">
        <f t="shared" ca="1" si="358"/>
        <v>7.0886803692419512E-3</v>
      </c>
      <c r="BH122" s="5">
        <f t="shared" ca="1" si="359"/>
        <v>6.6923201064530676E-3</v>
      </c>
      <c r="BI122" s="5">
        <f t="shared" ca="1" si="360"/>
        <v>7.6721845929878588E-3</v>
      </c>
      <c r="BJ122" s="5">
        <f t="shared" ca="1" si="361"/>
        <v>7.3220542662498674E-3</v>
      </c>
      <c r="BK122" s="5">
        <f t="shared" ca="1" si="362"/>
        <v>7.7581829410683454E-3</v>
      </c>
      <c r="BL122" s="5">
        <f t="shared" ca="1" si="363"/>
        <v>7.164511517841839E-3</v>
      </c>
      <c r="BM122" s="5">
        <f t="shared" ca="1" si="364"/>
        <v>6.7805505629817131E-3</v>
      </c>
      <c r="BN122" s="5">
        <f t="shared" ca="1" si="365"/>
        <v>6.6860389047030868E-3</v>
      </c>
      <c r="BO122" s="5">
        <f t="shared" ca="1" si="366"/>
        <v>7.1608943090378007E-3</v>
      </c>
      <c r="BP122" s="5">
        <f t="shared" ca="1" si="367"/>
        <v>7.0173870326764465E-3</v>
      </c>
      <c r="BQ122" s="5">
        <f t="shared" ca="1" si="368"/>
        <v>6.3623434078415855E-3</v>
      </c>
      <c r="BR122" s="5">
        <f t="shared" ca="1" si="369"/>
        <v>6.6585239551460035E-3</v>
      </c>
      <c r="BS122" s="5">
        <f t="shared" ca="1" si="370"/>
        <v>6.8472200270040572E-3</v>
      </c>
      <c r="BT122" s="5">
        <f t="shared" ca="1" si="371"/>
        <v>6.5846725264530077E-3</v>
      </c>
      <c r="BU122" s="5">
        <f t="shared" ca="1" si="372"/>
        <v>6.808715157974746E-3</v>
      </c>
      <c r="BV122" s="5">
        <f t="shared" ca="1" si="373"/>
        <v>6.8611259828411132E-3</v>
      </c>
      <c r="BW122" s="5">
        <f t="shared" ca="1" si="374"/>
        <v>6.9889157920556954E-3</v>
      </c>
      <c r="BX122" s="5">
        <f t="shared" ca="1" si="375"/>
        <v>7.2504205026160387E-3</v>
      </c>
      <c r="BY122" s="5">
        <f t="shared" ca="1" si="376"/>
        <v>6.4294308871990719E-3</v>
      </c>
      <c r="BZ122" s="5">
        <f t="shared" ca="1" si="377"/>
        <v>6.8073570423529415E-3</v>
      </c>
      <c r="CA122" s="5">
        <f t="shared" ca="1" si="378"/>
        <v>6.4363659107351638E-3</v>
      </c>
      <c r="CB122" s="5">
        <f t="shared" ca="1" si="379"/>
        <v>7.0526825768064908E-3</v>
      </c>
      <c r="CC122" s="5">
        <f t="shared" ca="1" si="380"/>
        <v>6.6939940797614006E-3</v>
      </c>
      <c r="CD122" s="5">
        <f t="shared" ca="1" si="381"/>
        <v>7.0577313440444009E-3</v>
      </c>
      <c r="CE122" s="5">
        <f t="shared" ca="1" si="382"/>
        <v>6.5037265602084903E-3</v>
      </c>
      <c r="CF122" s="5">
        <f t="shared" ca="1" si="383"/>
        <v>7.463451794984477E-3</v>
      </c>
      <c r="CG122" s="5">
        <f t="shared" ca="1" si="384"/>
        <v>6.8992531496449468E-3</v>
      </c>
      <c r="CH122" s="5">
        <f t="shared" ca="1" si="385"/>
        <v>6.1076614131915985E-3</v>
      </c>
      <c r="CI122" s="5">
        <f t="shared" ca="1" si="386"/>
        <v>7.6807027864940107E-3</v>
      </c>
      <c r="CJ122" s="5">
        <f t="shared" ca="1" si="387"/>
        <v>7.0732033004943951E-3</v>
      </c>
      <c r="CK122" s="5">
        <f t="shared" ca="1" si="388"/>
        <v>7.2423595828551941E-3</v>
      </c>
      <c r="CL122" s="5">
        <f t="shared" ca="1" si="389"/>
        <v>7.8260193760800317E-3</v>
      </c>
      <c r="CM122" s="5">
        <f t="shared" ca="1" si="390"/>
        <v>6.9360281936720778E-3</v>
      </c>
      <c r="CN122" s="5">
        <f t="shared" ca="1" si="391"/>
        <v>7.121513397272048E-3</v>
      </c>
      <c r="CO122" s="5">
        <f t="shared" ca="1" si="392"/>
        <v>7.3930455006761845E-3</v>
      </c>
      <c r="CP122" s="5">
        <f t="shared" ca="1" si="393"/>
        <v>6.2516806412296431E-3</v>
      </c>
      <c r="CQ122" s="5">
        <f t="shared" ca="1" si="394"/>
        <v>7.7060797624676101E-3</v>
      </c>
      <c r="CR122" s="5">
        <f t="shared" ca="1" si="395"/>
        <v>7.0402125693968974E-3</v>
      </c>
      <c r="CS122" s="5">
        <f t="shared" ca="1" si="396"/>
        <v>7.2470770725042493E-3</v>
      </c>
      <c r="CT122" s="5">
        <f t="shared" ca="1" si="397"/>
        <v>7.2644381864619568E-3</v>
      </c>
      <c r="CU122" s="5">
        <f t="shared" ca="1" si="398"/>
        <v>6.5826707112390899E-3</v>
      </c>
      <c r="CV122" s="5">
        <f t="shared" ca="1" si="399"/>
        <v>7.2813435279503458E-3</v>
      </c>
      <c r="CW122" s="5">
        <f t="shared" ca="1" si="400"/>
        <v>6.8606165146474539E-3</v>
      </c>
      <c r="CX122" s="5">
        <f t="shared" ca="1" si="401"/>
        <v>6.8236767757857749E-3</v>
      </c>
      <c r="CY122" s="5">
        <f t="shared" ca="1" si="402"/>
        <v>6.9171268861759555E-3</v>
      </c>
      <c r="CZ122" s="5">
        <f t="shared" ca="1" si="403"/>
        <v>6.240631119848951E-3</v>
      </c>
      <c r="DA122" s="5">
        <f t="shared" ca="1" si="404"/>
        <v>6.7480490900034299E-3</v>
      </c>
      <c r="DB122" s="5">
        <f t="shared" ca="1" si="405"/>
        <v>6.8195762672168493E-3</v>
      </c>
      <c r="DC122" s="5">
        <f t="shared" ca="1" si="406"/>
        <v>6.7352440816090681E-3</v>
      </c>
      <c r="DD122" s="5">
        <f t="shared" ca="1" si="407"/>
        <v>6.9785104375471975E-3</v>
      </c>
      <c r="DE122" s="5">
        <f t="shared" ca="1" si="408"/>
        <v>6.6897056907522625E-3</v>
      </c>
      <c r="DF122" s="5">
        <f t="shared" ca="1" si="409"/>
        <v>6.7858227660347863E-3</v>
      </c>
      <c r="DG122" s="5">
        <f t="shared" ca="1" si="410"/>
        <v>6.7314084135843034E-3</v>
      </c>
      <c r="DH122" s="5">
        <f t="shared" ca="1" si="411"/>
        <v>7.4857136561629406E-3</v>
      </c>
      <c r="DI122" s="5">
        <f t="shared" ca="1" si="412"/>
        <v>7.0432586793981273E-3</v>
      </c>
      <c r="DJ122" s="5">
        <f t="shared" ca="1" si="413"/>
        <v>7.050001577141452E-3</v>
      </c>
    </row>
    <row r="123" spans="4:114" x14ac:dyDescent="0.2">
      <c r="E123" s="32">
        <v>48214</v>
      </c>
      <c r="F123" s="9">
        <v>3997.9944972931889</v>
      </c>
      <c r="G123" s="5">
        <f t="shared" ca="1" si="311"/>
        <v>-3.222416094379827E-2</v>
      </c>
      <c r="H123" s="5">
        <f t="shared" ca="1" si="312"/>
        <v>6.5938580788037762E-3</v>
      </c>
      <c r="I123" s="9">
        <f ca="1">EXP(H123*Deltat)*I122</f>
        <v>361930.4377132841</v>
      </c>
      <c r="K123" s="36">
        <v>119</v>
      </c>
      <c r="N123" s="32">
        <v>48183</v>
      </c>
      <c r="O123" s="5">
        <f t="shared" ca="1" si="314"/>
        <v>7.4966606439469405E-3</v>
      </c>
      <c r="P123" s="5">
        <f t="shared" ca="1" si="315"/>
        <v>7.4352323734511528E-3</v>
      </c>
      <c r="Q123" s="5">
        <f t="shared" ca="1" si="316"/>
        <v>7.097577961588393E-3</v>
      </c>
      <c r="R123" s="5">
        <f t="shared" ca="1" si="317"/>
        <v>6.2121499866833992E-3</v>
      </c>
      <c r="S123" s="5">
        <f t="shared" ca="1" si="318"/>
        <v>6.6779191067855292E-3</v>
      </c>
      <c r="T123" s="5">
        <f t="shared" ca="1" si="319"/>
        <v>6.4761610255355895E-3</v>
      </c>
      <c r="U123" s="5">
        <f t="shared" ca="1" si="320"/>
        <v>6.8324979543278432E-3</v>
      </c>
      <c r="V123" s="5">
        <f t="shared" ca="1" si="321"/>
        <v>6.3231044968165371E-3</v>
      </c>
      <c r="W123" s="5">
        <f t="shared" ca="1" si="322"/>
        <v>6.9153722425688256E-3</v>
      </c>
      <c r="X123" s="5">
        <f t="shared" ca="1" si="323"/>
        <v>6.5082788616857741E-3</v>
      </c>
      <c r="Y123" s="5">
        <f t="shared" ca="1" si="324"/>
        <v>7.2027272708314405E-3</v>
      </c>
      <c r="Z123" s="5">
        <f t="shared" ca="1" si="325"/>
        <v>7.4256495444730702E-3</v>
      </c>
      <c r="AA123" s="5">
        <f t="shared" ca="1" si="326"/>
        <v>7.1434665473745929E-3</v>
      </c>
      <c r="AB123" s="5">
        <f t="shared" ca="1" si="327"/>
        <v>7.4835370677041671E-3</v>
      </c>
      <c r="AC123" s="5">
        <f t="shared" ca="1" si="328"/>
        <v>6.7841343549961235E-3</v>
      </c>
      <c r="AD123" s="5">
        <f t="shared" ca="1" si="329"/>
        <v>7.0467270198631892E-3</v>
      </c>
      <c r="AE123" s="5">
        <f t="shared" ca="1" si="330"/>
        <v>7.1915564208851748E-3</v>
      </c>
      <c r="AF123" s="5">
        <f t="shared" ca="1" si="331"/>
        <v>7.0810839476080512E-3</v>
      </c>
      <c r="AG123" s="5">
        <f t="shared" ca="1" si="332"/>
        <v>7.3243136412532526E-3</v>
      </c>
      <c r="AH123" s="5">
        <f t="shared" ca="1" si="333"/>
        <v>6.624240017146365E-3</v>
      </c>
      <c r="AI123" s="5">
        <f t="shared" ca="1" si="334"/>
        <v>7.133959580098638E-3</v>
      </c>
      <c r="AJ123" s="5">
        <f t="shared" ca="1" si="335"/>
        <v>6.1528396691436981E-3</v>
      </c>
      <c r="AK123" s="5">
        <f t="shared" ca="1" si="336"/>
        <v>7.3503307524621624E-3</v>
      </c>
      <c r="AL123" s="5">
        <f t="shared" ca="1" si="337"/>
        <v>6.7092106483925777E-3</v>
      </c>
      <c r="AM123" s="5">
        <f t="shared" ca="1" si="338"/>
        <v>6.6842249287420606E-3</v>
      </c>
      <c r="AN123" s="5">
        <f t="shared" ca="1" si="339"/>
        <v>6.9966106919858257E-3</v>
      </c>
      <c r="AO123" s="5">
        <f t="shared" ca="1" si="340"/>
        <v>7.9108104325420897E-3</v>
      </c>
      <c r="AP123" s="5">
        <f t="shared" ca="1" si="341"/>
        <v>6.8157224784613796E-3</v>
      </c>
      <c r="AQ123" s="5">
        <f t="shared" ca="1" si="342"/>
        <v>6.0837664753319665E-3</v>
      </c>
      <c r="AR123" s="5">
        <f t="shared" ca="1" si="343"/>
        <v>7.1133413830439867E-3</v>
      </c>
      <c r="AS123" s="5">
        <f t="shared" ca="1" si="344"/>
        <v>6.6544974281196314E-3</v>
      </c>
      <c r="AT123" s="5">
        <f t="shared" ca="1" si="345"/>
        <v>6.3284850786553401E-3</v>
      </c>
      <c r="AU123" s="5">
        <f t="shared" ca="1" si="346"/>
        <v>7.0389759008309544E-3</v>
      </c>
      <c r="AV123" s="5">
        <f t="shared" ca="1" si="347"/>
        <v>6.6680363940911412E-3</v>
      </c>
      <c r="AW123" s="5">
        <f t="shared" ca="1" si="348"/>
        <v>7.3367817815509807E-3</v>
      </c>
      <c r="AX123" s="5">
        <f t="shared" ca="1" si="349"/>
        <v>6.7022449605735196E-3</v>
      </c>
      <c r="AY123" s="5">
        <f t="shared" ca="1" si="350"/>
        <v>6.8425593118847982E-3</v>
      </c>
      <c r="AZ123" s="5">
        <f t="shared" ca="1" si="351"/>
        <v>7.841284559377151E-3</v>
      </c>
      <c r="BA123" s="5">
        <f t="shared" ca="1" si="352"/>
        <v>6.703972945911958E-3</v>
      </c>
      <c r="BB123" s="5">
        <f t="shared" ca="1" si="353"/>
        <v>6.8686756506022018E-3</v>
      </c>
      <c r="BC123" s="5">
        <f t="shared" ca="1" si="354"/>
        <v>7.3290301645485452E-3</v>
      </c>
      <c r="BD123" s="5">
        <f t="shared" ca="1" si="355"/>
        <v>6.9537559991826826E-3</v>
      </c>
      <c r="BE123" s="5">
        <f t="shared" ca="1" si="356"/>
        <v>7.6375274577667506E-3</v>
      </c>
      <c r="BF123" s="5">
        <f t="shared" ca="1" si="357"/>
        <v>6.6901322877617742E-3</v>
      </c>
      <c r="BG123" s="5">
        <f t="shared" ca="1" si="358"/>
        <v>7.1028414366699566E-3</v>
      </c>
      <c r="BH123" s="5">
        <f t="shared" ca="1" si="359"/>
        <v>6.7770582407512842E-3</v>
      </c>
      <c r="BI123" s="5">
        <f t="shared" ca="1" si="360"/>
        <v>7.6579813869363219E-3</v>
      </c>
      <c r="BJ123" s="5">
        <f t="shared" ca="1" si="361"/>
        <v>7.3262272720122784E-3</v>
      </c>
      <c r="BK123" s="5">
        <f t="shared" ca="1" si="362"/>
        <v>7.7809200831330553E-3</v>
      </c>
      <c r="BL123" s="5">
        <f t="shared" ca="1" si="363"/>
        <v>7.1318507413446449E-3</v>
      </c>
      <c r="BM123" s="5">
        <f t="shared" ca="1" si="364"/>
        <v>6.7957362057103924E-3</v>
      </c>
      <c r="BN123" s="5">
        <f t="shared" ca="1" si="365"/>
        <v>6.6037455028018872E-3</v>
      </c>
      <c r="BO123" s="5">
        <f t="shared" ca="1" si="366"/>
        <v>7.1741270993875197E-3</v>
      </c>
      <c r="BP123" s="5">
        <f t="shared" ca="1" si="367"/>
        <v>6.949715311620387E-3</v>
      </c>
      <c r="BQ123" s="5">
        <f t="shared" ca="1" si="368"/>
        <v>6.3542547492572467E-3</v>
      </c>
      <c r="BR123" s="5">
        <f t="shared" ca="1" si="369"/>
        <v>6.6363533346056464E-3</v>
      </c>
      <c r="BS123" s="5">
        <f t="shared" ca="1" si="370"/>
        <v>6.8027550505555482E-3</v>
      </c>
      <c r="BT123" s="5">
        <f t="shared" ca="1" si="371"/>
        <v>6.5837748130208075E-3</v>
      </c>
      <c r="BU123" s="5">
        <f t="shared" ca="1" si="372"/>
        <v>6.8883596151981348E-3</v>
      </c>
      <c r="BV123" s="5">
        <f t="shared" ca="1" si="373"/>
        <v>6.8023854669237178E-3</v>
      </c>
      <c r="BW123" s="5">
        <f t="shared" ca="1" si="374"/>
        <v>7.0182360453950234E-3</v>
      </c>
      <c r="BX123" s="5">
        <f t="shared" ca="1" si="375"/>
        <v>7.2746402962995853E-3</v>
      </c>
      <c r="BY123" s="5">
        <f t="shared" ca="1" si="376"/>
        <v>6.4949529564518934E-3</v>
      </c>
      <c r="BZ123" s="5">
        <f t="shared" ca="1" si="377"/>
        <v>6.8099361224206491E-3</v>
      </c>
      <c r="CA123" s="5">
        <f t="shared" ca="1" si="378"/>
        <v>6.4318802569398774E-3</v>
      </c>
      <c r="CB123" s="5">
        <f t="shared" ca="1" si="379"/>
        <v>6.9981579015308644E-3</v>
      </c>
      <c r="CC123" s="5">
        <f t="shared" ca="1" si="380"/>
        <v>6.713878264207755E-3</v>
      </c>
      <c r="CD123" s="5">
        <f t="shared" ca="1" si="381"/>
        <v>7.0982012461847368E-3</v>
      </c>
      <c r="CE123" s="5">
        <f t="shared" ca="1" si="382"/>
        <v>6.5286611345680831E-3</v>
      </c>
      <c r="CF123" s="5">
        <f t="shared" ca="1" si="383"/>
        <v>7.519147269028646E-3</v>
      </c>
      <c r="CG123" s="5">
        <f t="shared" ca="1" si="384"/>
        <v>6.8175718384242039E-3</v>
      </c>
      <c r="CH123" s="5">
        <f t="shared" ca="1" si="385"/>
        <v>6.0657938826794268E-3</v>
      </c>
      <c r="CI123" s="5">
        <f t="shared" ca="1" si="386"/>
        <v>7.6608531808239882E-3</v>
      </c>
      <c r="CJ123" s="5">
        <f t="shared" ca="1" si="387"/>
        <v>7.1661490269206932E-3</v>
      </c>
      <c r="CK123" s="5">
        <f t="shared" ca="1" si="388"/>
        <v>7.240777689669963E-3</v>
      </c>
      <c r="CL123" s="5">
        <f t="shared" ca="1" si="389"/>
        <v>7.8552739380710959E-3</v>
      </c>
      <c r="CM123" s="5">
        <f t="shared" ca="1" si="390"/>
        <v>6.9759905720871576E-3</v>
      </c>
      <c r="CN123" s="5">
        <f t="shared" ca="1" si="391"/>
        <v>7.0902805093532922E-3</v>
      </c>
      <c r="CO123" s="5">
        <f t="shared" ca="1" si="392"/>
        <v>7.3412978913751153E-3</v>
      </c>
      <c r="CP123" s="5">
        <f t="shared" ca="1" si="393"/>
        <v>6.2613308147279638E-3</v>
      </c>
      <c r="CQ123" s="5">
        <f t="shared" ca="1" si="394"/>
        <v>7.6990758024173779E-3</v>
      </c>
      <c r="CR123" s="5">
        <f t="shared" ca="1" si="395"/>
        <v>7.0650443155478148E-3</v>
      </c>
      <c r="CS123" s="5">
        <f t="shared" ca="1" si="396"/>
        <v>7.2393586911401412E-3</v>
      </c>
      <c r="CT123" s="5">
        <f t="shared" ca="1" si="397"/>
        <v>7.2734775323959307E-3</v>
      </c>
      <c r="CU123" s="5">
        <f t="shared" ca="1" si="398"/>
        <v>6.5628542554542887E-3</v>
      </c>
      <c r="CV123" s="5">
        <f t="shared" ca="1" si="399"/>
        <v>7.2501553710139421E-3</v>
      </c>
      <c r="CW123" s="5">
        <f t="shared" ca="1" si="400"/>
        <v>6.8163925038620538E-3</v>
      </c>
      <c r="CX123" s="5">
        <f t="shared" ca="1" si="401"/>
        <v>6.7691235913851025E-3</v>
      </c>
      <c r="CY123" s="5">
        <f t="shared" ca="1" si="402"/>
        <v>6.910677529089056E-3</v>
      </c>
      <c r="CZ123" s="5">
        <f t="shared" ca="1" si="403"/>
        <v>6.2315259642209322E-3</v>
      </c>
      <c r="DA123" s="5">
        <f t="shared" ca="1" si="404"/>
        <v>6.7676117052944337E-3</v>
      </c>
      <c r="DB123" s="5">
        <f t="shared" ca="1" si="405"/>
        <v>6.8602829821071366E-3</v>
      </c>
      <c r="DC123" s="5">
        <f t="shared" ca="1" si="406"/>
        <v>6.8040598309132144E-3</v>
      </c>
      <c r="DD123" s="5">
        <f t="shared" ca="1" si="407"/>
        <v>6.9958123043276027E-3</v>
      </c>
      <c r="DE123" s="5">
        <f t="shared" ca="1" si="408"/>
        <v>6.6767557406662709E-3</v>
      </c>
      <c r="DF123" s="5">
        <f t="shared" ca="1" si="409"/>
        <v>6.7967012015082099E-3</v>
      </c>
      <c r="DG123" s="5">
        <f t="shared" ca="1" si="410"/>
        <v>6.7222185835494304E-3</v>
      </c>
      <c r="DH123" s="5">
        <f t="shared" ca="1" si="411"/>
        <v>7.4977555997363457E-3</v>
      </c>
      <c r="DI123" s="5">
        <f t="shared" ca="1" si="412"/>
        <v>7.0993389849536345E-3</v>
      </c>
      <c r="DJ123" s="5">
        <f t="shared" ca="1" si="413"/>
        <v>7.0075985979529106E-3</v>
      </c>
    </row>
    <row r="124" spans="4:114" x14ac:dyDescent="0.2">
      <c r="D124" s="1"/>
      <c r="E124" s="32">
        <v>48245</v>
      </c>
      <c r="F124" s="5"/>
      <c r="G124" s="9"/>
      <c r="H124" s="5"/>
      <c r="I124" s="5"/>
      <c r="K124" s="36">
        <v>120</v>
      </c>
      <c r="N124" s="32">
        <v>48214</v>
      </c>
      <c r="O124" s="5">
        <f t="shared" ca="1" si="314"/>
        <v>7.4866013369289672E-3</v>
      </c>
      <c r="P124" s="5">
        <f t="shared" ca="1" si="315"/>
        <v>7.4134802601979683E-3</v>
      </c>
      <c r="Q124" s="5">
        <f t="shared" ca="1" si="316"/>
        <v>7.1378648090660484E-3</v>
      </c>
      <c r="R124" s="5">
        <f t="shared" ca="1" si="317"/>
        <v>6.1549485254303055E-3</v>
      </c>
      <c r="S124" s="5">
        <f t="shared" ca="1" si="318"/>
        <v>6.6188015895748747E-3</v>
      </c>
      <c r="T124" s="5">
        <f t="shared" ca="1" si="319"/>
        <v>6.5379186763274855E-3</v>
      </c>
      <c r="U124" s="5">
        <f t="shared" ca="1" si="320"/>
        <v>6.8216101397077953E-3</v>
      </c>
      <c r="V124" s="5">
        <f t="shared" ca="1" si="321"/>
        <v>6.3313850547918717E-3</v>
      </c>
      <c r="W124" s="5">
        <f t="shared" ca="1" si="322"/>
        <v>6.9412235311545542E-3</v>
      </c>
      <c r="X124" s="5">
        <f t="shared" ca="1" si="323"/>
        <v>6.5354382652369532E-3</v>
      </c>
      <c r="Y124" s="5">
        <f t="shared" ca="1" si="324"/>
        <v>7.2271515948846773E-3</v>
      </c>
      <c r="Z124" s="5">
        <f t="shared" ca="1" si="325"/>
        <v>7.483811905365588E-3</v>
      </c>
      <c r="AA124" s="5">
        <f t="shared" ca="1" si="326"/>
        <v>7.0854883286177719E-3</v>
      </c>
      <c r="AB124" s="5">
        <f t="shared" ca="1" si="327"/>
        <v>7.473744206189562E-3</v>
      </c>
      <c r="AC124" s="5">
        <f t="shared" ca="1" si="328"/>
        <v>6.8571775181743228E-3</v>
      </c>
      <c r="AD124" s="5">
        <f t="shared" ca="1" si="329"/>
        <v>7.0337378347092756E-3</v>
      </c>
      <c r="AE124" s="5">
        <f t="shared" ca="1" si="330"/>
        <v>7.1507001669720779E-3</v>
      </c>
      <c r="AF124" s="5">
        <f t="shared" ca="1" si="331"/>
        <v>7.1676965902792381E-3</v>
      </c>
      <c r="AG124" s="5">
        <f t="shared" ca="1" si="332"/>
        <v>7.2828521078467006E-3</v>
      </c>
      <c r="AH124" s="5">
        <f t="shared" ca="1" si="333"/>
        <v>6.660326534771493E-3</v>
      </c>
      <c r="AI124" s="5">
        <f t="shared" ca="1" si="334"/>
        <v>7.1019946035222646E-3</v>
      </c>
      <c r="AJ124" s="5">
        <f t="shared" ca="1" si="335"/>
        <v>6.1905023242789774E-3</v>
      </c>
      <c r="AK124" s="5">
        <f t="shared" ca="1" si="336"/>
        <v>7.3329223764132265E-3</v>
      </c>
      <c r="AL124" s="5">
        <f t="shared" ca="1" si="337"/>
        <v>6.6984150883449911E-3</v>
      </c>
      <c r="AM124" s="5">
        <f t="shared" ca="1" si="338"/>
        <v>6.6574949283460033E-3</v>
      </c>
      <c r="AN124" s="5">
        <f t="shared" ca="1" si="339"/>
        <v>7.045886283922379E-3</v>
      </c>
      <c r="AO124" s="5">
        <f t="shared" ca="1" si="340"/>
        <v>7.9289701481246675E-3</v>
      </c>
      <c r="AP124" s="5">
        <f t="shared" ca="1" si="341"/>
        <v>6.8123644244225626E-3</v>
      </c>
      <c r="AQ124" s="5">
        <f t="shared" ca="1" si="342"/>
        <v>6.0483724515551073E-3</v>
      </c>
      <c r="AR124" s="5">
        <f t="shared" ca="1" si="343"/>
        <v>7.1212380866436178E-3</v>
      </c>
      <c r="AS124" s="5">
        <f t="shared" ca="1" si="344"/>
        <v>6.6450372247518416E-3</v>
      </c>
      <c r="AT124" s="5">
        <f t="shared" ca="1" si="345"/>
        <v>6.3398340660817207E-3</v>
      </c>
      <c r="AU124" s="5">
        <f t="shared" ca="1" si="346"/>
        <v>7.0254004507994414E-3</v>
      </c>
      <c r="AV124" s="5">
        <f t="shared" ca="1" si="347"/>
        <v>6.7035782663865855E-3</v>
      </c>
      <c r="AW124" s="5">
        <f t="shared" ca="1" si="348"/>
        <v>7.3017696356450059E-3</v>
      </c>
      <c r="AX124" s="5">
        <f t="shared" ca="1" si="349"/>
        <v>6.7289236374518781E-3</v>
      </c>
      <c r="AY124" s="5">
        <f t="shared" ca="1" si="350"/>
        <v>6.8662658478851049E-3</v>
      </c>
      <c r="AZ124" s="5">
        <f t="shared" ca="1" si="351"/>
        <v>7.905771400987003E-3</v>
      </c>
      <c r="BA124" s="5">
        <f t="shared" ca="1" si="352"/>
        <v>6.7376411068669232E-3</v>
      </c>
      <c r="BB124" s="5">
        <f t="shared" ca="1" si="353"/>
        <v>6.9212848201773147E-3</v>
      </c>
      <c r="BC124" s="5">
        <f t="shared" ca="1" si="354"/>
        <v>7.3626688898338795E-3</v>
      </c>
      <c r="BD124" s="5">
        <f t="shared" ca="1" si="355"/>
        <v>6.999811659885751E-3</v>
      </c>
      <c r="BE124" s="5">
        <f t="shared" ca="1" si="356"/>
        <v>7.5764804555174632E-3</v>
      </c>
      <c r="BF124" s="5">
        <f t="shared" ca="1" si="357"/>
        <v>6.7263300897044348E-3</v>
      </c>
      <c r="BG124" s="5">
        <f t="shared" ca="1" si="358"/>
        <v>7.1050680429617001E-3</v>
      </c>
      <c r="BH124" s="5">
        <f t="shared" ca="1" si="359"/>
        <v>6.7192232044835203E-3</v>
      </c>
      <c r="BI124" s="5">
        <f t="shared" ca="1" si="360"/>
        <v>7.6422602020362398E-3</v>
      </c>
      <c r="BJ124" s="5">
        <f t="shared" ca="1" si="361"/>
        <v>7.2862879256959294E-3</v>
      </c>
      <c r="BK124" s="5">
        <f t="shared" ca="1" si="362"/>
        <v>7.8370340903453559E-3</v>
      </c>
      <c r="BL124" s="5">
        <f t="shared" ca="1" si="363"/>
        <v>7.2467307250484864E-3</v>
      </c>
      <c r="BM124" s="5">
        <f t="shared" ca="1" si="364"/>
        <v>6.7796299221574039E-3</v>
      </c>
      <c r="BN124" s="5">
        <f t="shared" ca="1" si="365"/>
        <v>6.5460001474481888E-3</v>
      </c>
      <c r="BO124" s="5">
        <f t="shared" ca="1" si="366"/>
        <v>7.1961043129570301E-3</v>
      </c>
      <c r="BP124" s="5">
        <f t="shared" ca="1" si="367"/>
        <v>6.9745104553211191E-3</v>
      </c>
      <c r="BQ124" s="5">
        <f t="shared" ca="1" si="368"/>
        <v>6.2866057536560549E-3</v>
      </c>
      <c r="BR124" s="5">
        <f t="shared" ca="1" si="369"/>
        <v>6.6202644591005812E-3</v>
      </c>
      <c r="BS124" s="5">
        <f t="shared" ca="1" si="370"/>
        <v>6.8123064122223966E-3</v>
      </c>
      <c r="BT124" s="5">
        <f t="shared" ca="1" si="371"/>
        <v>6.6483310998230547E-3</v>
      </c>
      <c r="BU124" s="5">
        <f t="shared" ca="1" si="372"/>
        <v>6.902794057766809E-3</v>
      </c>
      <c r="BV124" s="5">
        <f t="shared" ca="1" si="373"/>
        <v>6.7892374472611414E-3</v>
      </c>
      <c r="BW124" s="5">
        <f t="shared" ca="1" si="374"/>
        <v>7.0031413284567202E-3</v>
      </c>
      <c r="BX124" s="5">
        <f t="shared" ca="1" si="375"/>
        <v>7.2990306618172188E-3</v>
      </c>
      <c r="BY124" s="5">
        <f t="shared" ca="1" si="376"/>
        <v>6.4726286014413926E-3</v>
      </c>
      <c r="BZ124" s="5">
        <f t="shared" ca="1" si="377"/>
        <v>6.779663643983626E-3</v>
      </c>
      <c r="CA124" s="5">
        <f t="shared" ca="1" si="378"/>
        <v>6.3875112922619302E-3</v>
      </c>
      <c r="CB124" s="5">
        <f t="shared" ca="1" si="379"/>
        <v>6.9588920656477229E-3</v>
      </c>
      <c r="CC124" s="5">
        <f t="shared" ca="1" si="380"/>
        <v>6.6628866661795532E-3</v>
      </c>
      <c r="CD124" s="5">
        <f t="shared" ca="1" si="381"/>
        <v>7.1401848447846675E-3</v>
      </c>
      <c r="CE124" s="5">
        <f t="shared" ca="1" si="382"/>
        <v>6.5013938114544464E-3</v>
      </c>
      <c r="CF124" s="5">
        <f t="shared" ca="1" si="383"/>
        <v>7.4397875108118882E-3</v>
      </c>
      <c r="CG124" s="5">
        <f t="shared" ca="1" si="384"/>
        <v>6.8352199068809436E-3</v>
      </c>
      <c r="CH124" s="5">
        <f t="shared" ca="1" si="385"/>
        <v>6.0181924190934903E-3</v>
      </c>
      <c r="CI124" s="5">
        <f t="shared" ca="1" si="386"/>
        <v>7.6361849088819704E-3</v>
      </c>
      <c r="CJ124" s="5">
        <f t="shared" ca="1" si="387"/>
        <v>7.2561106370428148E-3</v>
      </c>
      <c r="CK124" s="5">
        <f t="shared" ca="1" si="388"/>
        <v>7.2379018726173574E-3</v>
      </c>
      <c r="CL124" s="5">
        <f t="shared" ca="1" si="389"/>
        <v>7.7982786486176367E-3</v>
      </c>
      <c r="CM124" s="5">
        <f t="shared" ca="1" si="390"/>
        <v>6.9622312933521526E-3</v>
      </c>
      <c r="CN124" s="5">
        <f t="shared" ca="1" si="391"/>
        <v>7.0935625539715261E-3</v>
      </c>
      <c r="CO124" s="5">
        <f t="shared" ca="1" si="392"/>
        <v>7.3815321108209875E-3</v>
      </c>
      <c r="CP124" s="5">
        <f t="shared" ca="1" si="393"/>
        <v>6.2008051309245995E-3</v>
      </c>
      <c r="CQ124" s="5">
        <f t="shared" ca="1" si="394"/>
        <v>7.7104044690970873E-3</v>
      </c>
      <c r="CR124" s="5">
        <f t="shared" ca="1" si="395"/>
        <v>7.135136059124263E-3</v>
      </c>
      <c r="CS124" s="5">
        <f t="shared" ca="1" si="396"/>
        <v>7.2618139175901252E-3</v>
      </c>
      <c r="CT124" s="5">
        <f t="shared" ca="1" si="397"/>
        <v>7.2516559472595114E-3</v>
      </c>
      <c r="CU124" s="5">
        <f t="shared" ca="1" si="398"/>
        <v>6.6097646315190113E-3</v>
      </c>
      <c r="CV124" s="5">
        <f t="shared" ca="1" si="399"/>
        <v>7.2947849167125422E-3</v>
      </c>
      <c r="CW124" s="5">
        <f t="shared" ca="1" si="400"/>
        <v>6.7919555243074929E-3</v>
      </c>
      <c r="CX124" s="5">
        <f t="shared" ca="1" si="401"/>
        <v>6.8253282803288464E-3</v>
      </c>
      <c r="CY124" s="5">
        <f t="shared" ca="1" si="402"/>
        <v>7.0050608428168732E-3</v>
      </c>
      <c r="CZ124" s="5">
        <f t="shared" ca="1" si="403"/>
        <v>6.2104247378716665E-3</v>
      </c>
      <c r="DA124" s="5">
        <f t="shared" ca="1" si="404"/>
        <v>6.7679762286978395E-3</v>
      </c>
      <c r="DB124" s="5">
        <f t="shared" ca="1" si="405"/>
        <v>6.8826180411656048E-3</v>
      </c>
      <c r="DC124" s="5">
        <f t="shared" ca="1" si="406"/>
        <v>6.8193087015955703E-3</v>
      </c>
      <c r="DD124" s="5">
        <f t="shared" ca="1" si="407"/>
        <v>7.0012864440401733E-3</v>
      </c>
      <c r="DE124" s="5">
        <f t="shared" ca="1" si="408"/>
        <v>6.6482792218671609E-3</v>
      </c>
      <c r="DF124" s="5">
        <f t="shared" ca="1" si="409"/>
        <v>6.8213272982097332E-3</v>
      </c>
      <c r="DG124" s="5">
        <f t="shared" ca="1" si="410"/>
        <v>6.811552025729457E-3</v>
      </c>
      <c r="DH124" s="5">
        <f t="shared" ca="1" si="411"/>
        <v>7.3953046751163371E-3</v>
      </c>
      <c r="DI124" s="5">
        <f t="shared" ca="1" si="412"/>
        <v>7.1033337948262351E-3</v>
      </c>
      <c r="DJ124" s="5">
        <f t="shared" ca="1" si="413"/>
        <v>6.9813989715055589E-3</v>
      </c>
    </row>
    <row r="125" spans="4:114" x14ac:dyDescent="0.2">
      <c r="R125" s="13"/>
    </row>
    <row r="126" spans="4:114" x14ac:dyDescent="0.2">
      <c r="R126" s="13"/>
    </row>
    <row r="127" spans="4:114" x14ac:dyDescent="0.2">
      <c r="R127" s="13"/>
    </row>
    <row r="128" spans="4:114" x14ac:dyDescent="0.2">
      <c r="R128" s="13"/>
    </row>
    <row r="129" spans="18:18" x14ac:dyDescent="0.2">
      <c r="R129" s="13"/>
    </row>
    <row r="130" spans="18:18" x14ac:dyDescent="0.2">
      <c r="R130" s="13"/>
    </row>
    <row r="131" spans="18:18" x14ac:dyDescent="0.2">
      <c r="R131" s="13"/>
    </row>
    <row r="132" spans="18:18" x14ac:dyDescent="0.2">
      <c r="R132" s="13"/>
    </row>
    <row r="133" spans="18:18" x14ac:dyDescent="0.2">
      <c r="R133" s="13"/>
    </row>
    <row r="134" spans="18:18" x14ac:dyDescent="0.2">
      <c r="R134" s="13"/>
    </row>
    <row r="135" spans="18:18" x14ac:dyDescent="0.2">
      <c r="R135" s="13"/>
    </row>
    <row r="136" spans="18:18" x14ac:dyDescent="0.2">
      <c r="R136" s="13"/>
    </row>
    <row r="137" spans="18:18" x14ac:dyDescent="0.2">
      <c r="R137" s="13"/>
    </row>
    <row r="138" spans="18:18" x14ac:dyDescent="0.2">
      <c r="R138" s="13"/>
    </row>
    <row r="139" spans="18:18" x14ac:dyDescent="0.2">
      <c r="R139" s="13"/>
    </row>
    <row r="140" spans="18:18" x14ac:dyDescent="0.2">
      <c r="R140" s="13"/>
    </row>
    <row r="141" spans="18:18" x14ac:dyDescent="0.2">
      <c r="R141" s="13"/>
    </row>
    <row r="142" spans="18:18" x14ac:dyDescent="0.2">
      <c r="R142" s="13"/>
    </row>
    <row r="143" spans="18:18" x14ac:dyDescent="0.2">
      <c r="R143" s="13"/>
    </row>
    <row r="144" spans="18:18" x14ac:dyDescent="0.2">
      <c r="R144" s="13"/>
    </row>
    <row r="145" spans="18:18" x14ac:dyDescent="0.2">
      <c r="R145" s="13"/>
    </row>
    <row r="146" spans="18:18" x14ac:dyDescent="0.2">
      <c r="R146" s="13"/>
    </row>
    <row r="147" spans="18:18" x14ac:dyDescent="0.2">
      <c r="R147" s="13"/>
    </row>
    <row r="148" spans="18:18" x14ac:dyDescent="0.2">
      <c r="R148" s="13"/>
    </row>
    <row r="149" spans="18:18" x14ac:dyDescent="0.2">
      <c r="R149" s="13"/>
    </row>
    <row r="150" spans="18:18" x14ac:dyDescent="0.2">
      <c r="R150" s="13"/>
    </row>
    <row r="151" spans="18:18" x14ac:dyDescent="0.2">
      <c r="R151" s="13"/>
    </row>
    <row r="152" spans="18:18" x14ac:dyDescent="0.2">
      <c r="R152" s="13"/>
    </row>
    <row r="153" spans="18:18" x14ac:dyDescent="0.2">
      <c r="R153" s="13"/>
    </row>
    <row r="154" spans="18:18" x14ac:dyDescent="0.2">
      <c r="R154" s="13"/>
    </row>
    <row r="155" spans="18:18" x14ac:dyDescent="0.2">
      <c r="R155" s="13"/>
    </row>
    <row r="156" spans="18:18" x14ac:dyDescent="0.2">
      <c r="R156" s="13"/>
    </row>
    <row r="157" spans="18:18" x14ac:dyDescent="0.2">
      <c r="R157" s="13"/>
    </row>
    <row r="158" spans="18:18" x14ac:dyDescent="0.2">
      <c r="R158" s="13"/>
    </row>
    <row r="159" spans="18:18" x14ac:dyDescent="0.2">
      <c r="R159" s="13"/>
    </row>
    <row r="160" spans="18:18" x14ac:dyDescent="0.2">
      <c r="R160" s="13"/>
    </row>
    <row r="161" spans="18:18" x14ac:dyDescent="0.2">
      <c r="R161" s="13"/>
    </row>
    <row r="162" spans="18:18" x14ac:dyDescent="0.2">
      <c r="R162" s="13"/>
    </row>
    <row r="163" spans="18:18" x14ac:dyDescent="0.2">
      <c r="R163" s="13"/>
    </row>
    <row r="164" spans="18:18" x14ac:dyDescent="0.2">
      <c r="R164" s="13"/>
    </row>
    <row r="165" spans="18:18" x14ac:dyDescent="0.2">
      <c r="R165" s="13"/>
    </row>
    <row r="166" spans="18:18" x14ac:dyDescent="0.2">
      <c r="R166" s="13"/>
    </row>
    <row r="167" spans="18:18" x14ac:dyDescent="0.2">
      <c r="R167" s="13"/>
    </row>
    <row r="168" spans="18:18" x14ac:dyDescent="0.2">
      <c r="R168" s="13"/>
    </row>
    <row r="169" spans="18:18" x14ac:dyDescent="0.2">
      <c r="R169" s="13"/>
    </row>
    <row r="170" spans="18:18" x14ac:dyDescent="0.2">
      <c r="R170" s="13"/>
    </row>
    <row r="171" spans="18:18" x14ac:dyDescent="0.2">
      <c r="R171" s="13"/>
    </row>
    <row r="172" spans="18:18" x14ac:dyDescent="0.2">
      <c r="R172" s="13"/>
    </row>
    <row r="173" spans="18:18" x14ac:dyDescent="0.2">
      <c r="R173" s="13"/>
    </row>
    <row r="174" spans="18:18" x14ac:dyDescent="0.2">
      <c r="R174" s="13"/>
    </row>
    <row r="175" spans="18:18" x14ac:dyDescent="0.2">
      <c r="R175" s="13"/>
    </row>
    <row r="176" spans="18:18" x14ac:dyDescent="0.2">
      <c r="R176" s="13"/>
    </row>
    <row r="177" spans="18:18" x14ac:dyDescent="0.2">
      <c r="R177" s="13"/>
    </row>
    <row r="178" spans="18:18" x14ac:dyDescent="0.2">
      <c r="R178" s="13"/>
    </row>
    <row r="179" spans="18:18" x14ac:dyDescent="0.2">
      <c r="R179" s="13"/>
    </row>
    <row r="180" spans="18:18" x14ac:dyDescent="0.2">
      <c r="R180" s="13"/>
    </row>
    <row r="181" spans="18:18" x14ac:dyDescent="0.2">
      <c r="R181" s="13"/>
    </row>
    <row r="182" spans="18:18" x14ac:dyDescent="0.2">
      <c r="R182" s="13"/>
    </row>
    <row r="183" spans="18:18" x14ac:dyDescent="0.2">
      <c r="R183" s="13"/>
    </row>
    <row r="184" spans="18:18" x14ac:dyDescent="0.2">
      <c r="R184" s="13"/>
    </row>
    <row r="185" spans="18:18" x14ac:dyDescent="0.2">
      <c r="R185" s="13"/>
    </row>
    <row r="186" spans="18:18" x14ac:dyDescent="0.2">
      <c r="R186" s="13"/>
    </row>
    <row r="187" spans="18:18" x14ac:dyDescent="0.2">
      <c r="R187" s="13"/>
    </row>
    <row r="188" spans="18:18" x14ac:dyDescent="0.2">
      <c r="R188" s="13"/>
    </row>
    <row r="189" spans="18:18" x14ac:dyDescent="0.2">
      <c r="R189" s="13"/>
    </row>
    <row r="190" spans="18:18" x14ac:dyDescent="0.2">
      <c r="R190" s="13"/>
    </row>
    <row r="191" spans="18:18" x14ac:dyDescent="0.2">
      <c r="R191" s="13"/>
    </row>
    <row r="192" spans="18:18" x14ac:dyDescent="0.2">
      <c r="R192" s="13"/>
    </row>
    <row r="193" spans="18:18" x14ac:dyDescent="0.2">
      <c r="R193" s="13"/>
    </row>
    <row r="194" spans="18:18" x14ac:dyDescent="0.2">
      <c r="R194" s="13"/>
    </row>
    <row r="195" spans="18:18" x14ac:dyDescent="0.2">
      <c r="R195" s="13"/>
    </row>
    <row r="196" spans="18:18" x14ac:dyDescent="0.2">
      <c r="R196" s="13"/>
    </row>
    <row r="197" spans="18:18" x14ac:dyDescent="0.2">
      <c r="R197" s="13"/>
    </row>
    <row r="198" spans="18:18" x14ac:dyDescent="0.2">
      <c r="R198" s="13"/>
    </row>
    <row r="199" spans="18:18" x14ac:dyDescent="0.2">
      <c r="R199" s="13"/>
    </row>
    <row r="200" spans="18:18" x14ac:dyDescent="0.2">
      <c r="R200" s="13"/>
    </row>
    <row r="201" spans="18:18" x14ac:dyDescent="0.2">
      <c r="R201" s="13"/>
    </row>
    <row r="202" spans="18:18" x14ac:dyDescent="0.2">
      <c r="R202" s="13"/>
    </row>
    <row r="203" spans="18:18" x14ac:dyDescent="0.2">
      <c r="R203" s="13"/>
    </row>
    <row r="204" spans="18:18" x14ac:dyDescent="0.2">
      <c r="R204" s="1"/>
    </row>
    <row r="205" spans="18:18" x14ac:dyDescent="0.2">
      <c r="R205" s="1"/>
    </row>
    <row r="206" spans="18:18" x14ac:dyDescent="0.2">
      <c r="R206" s="1"/>
    </row>
    <row r="207" spans="18:18" x14ac:dyDescent="0.2">
      <c r="R207" s="1"/>
    </row>
    <row r="208" spans="18:18" x14ac:dyDescent="0.2">
      <c r="R208" s="1"/>
    </row>
    <row r="209" spans="18:18" x14ac:dyDescent="0.2">
      <c r="R209" s="1"/>
    </row>
    <row r="210" spans="18:18" x14ac:dyDescent="0.2">
      <c r="R210" s="1"/>
    </row>
    <row r="211" spans="18:18" x14ac:dyDescent="0.2">
      <c r="R211" s="1"/>
    </row>
    <row r="212" spans="18:18" x14ac:dyDescent="0.2">
      <c r="R212" s="1"/>
    </row>
    <row r="213" spans="18:18" x14ac:dyDescent="0.2">
      <c r="R213" s="1"/>
    </row>
    <row r="214" spans="18:18" x14ac:dyDescent="0.2">
      <c r="R214" s="1"/>
    </row>
    <row r="215" spans="18:18" x14ac:dyDescent="0.2">
      <c r="R215" s="1"/>
    </row>
    <row r="216" spans="18:18" x14ac:dyDescent="0.2">
      <c r="R216" s="1"/>
    </row>
    <row r="217" spans="18:18" x14ac:dyDescent="0.2">
      <c r="R217" s="1"/>
    </row>
    <row r="218" spans="18:18" x14ac:dyDescent="0.2">
      <c r="R218" s="1"/>
    </row>
    <row r="219" spans="18:18" x14ac:dyDescent="0.2">
      <c r="R219" s="1"/>
    </row>
    <row r="220" spans="18:18" x14ac:dyDescent="0.2">
      <c r="R220" s="1"/>
    </row>
    <row r="221" spans="18:18" x14ac:dyDescent="0.2">
      <c r="R221" s="1"/>
    </row>
    <row r="222" spans="18:18" x14ac:dyDescent="0.2">
      <c r="R222" s="1"/>
    </row>
    <row r="223" spans="18:18" x14ac:dyDescent="0.2">
      <c r="R223" s="1"/>
    </row>
    <row r="224" spans="18:18" x14ac:dyDescent="0.2">
      <c r="R224" s="1"/>
    </row>
    <row r="225" spans="18:18" x14ac:dyDescent="0.2">
      <c r="R225" s="1"/>
    </row>
    <row r="226" spans="18:18" x14ac:dyDescent="0.2">
      <c r="R226" s="1"/>
    </row>
    <row r="227" spans="18:18" x14ac:dyDescent="0.2">
      <c r="R227" s="1"/>
    </row>
    <row r="228" spans="18:18" x14ac:dyDescent="0.2">
      <c r="R228" s="1"/>
    </row>
    <row r="229" spans="18:18" x14ac:dyDescent="0.2">
      <c r="R229" s="1"/>
    </row>
    <row r="230" spans="18:18" x14ac:dyDescent="0.2">
      <c r="R230" s="1"/>
    </row>
    <row r="231" spans="18:18" x14ac:dyDescent="0.2">
      <c r="R231" s="1"/>
    </row>
    <row r="232" spans="18:18" x14ac:dyDescent="0.2">
      <c r="R232" s="1"/>
    </row>
    <row r="233" spans="18:18" x14ac:dyDescent="0.2">
      <c r="R233" s="1"/>
    </row>
    <row r="234" spans="18:18" x14ac:dyDescent="0.2">
      <c r="R234" s="1"/>
    </row>
    <row r="235" spans="18:18" x14ac:dyDescent="0.2">
      <c r="R235" s="1"/>
    </row>
    <row r="236" spans="18:18" x14ac:dyDescent="0.2">
      <c r="R236" s="1"/>
    </row>
    <row r="237" spans="18:18" x14ac:dyDescent="0.2">
      <c r="R237" s="1"/>
    </row>
    <row r="238" spans="18:18" x14ac:dyDescent="0.2">
      <c r="R238" s="1"/>
    </row>
    <row r="239" spans="18:18" x14ac:dyDescent="0.2">
      <c r="R239" s="1"/>
    </row>
    <row r="240" spans="18:18" x14ac:dyDescent="0.2">
      <c r="R240" s="1"/>
    </row>
    <row r="241" spans="18:18" x14ac:dyDescent="0.2">
      <c r="R241" s="1"/>
    </row>
    <row r="242" spans="18:18" x14ac:dyDescent="0.2">
      <c r="R242" s="1"/>
    </row>
    <row r="243" spans="18:18" x14ac:dyDescent="0.2">
      <c r="R243" s="1"/>
    </row>
    <row r="244" spans="18:18" x14ac:dyDescent="0.2">
      <c r="R244" s="1"/>
    </row>
    <row r="245" spans="18:18" x14ac:dyDescent="0.2">
      <c r="R245" s="1"/>
    </row>
    <row r="246" spans="18:18" x14ac:dyDescent="0.2">
      <c r="R246" s="1"/>
    </row>
    <row r="247" spans="18:18" x14ac:dyDescent="0.2">
      <c r="R247" s="1"/>
    </row>
    <row r="248" spans="18:18" x14ac:dyDescent="0.2">
      <c r="R248" s="1"/>
    </row>
    <row r="249" spans="18:18" x14ac:dyDescent="0.2">
      <c r="R249" s="1"/>
    </row>
    <row r="250" spans="18:18" x14ac:dyDescent="0.2">
      <c r="R250" s="1"/>
    </row>
    <row r="251" spans="18:18" x14ac:dyDescent="0.2">
      <c r="R251" s="1"/>
    </row>
    <row r="252" spans="18:18" x14ac:dyDescent="0.2">
      <c r="R252" s="1"/>
    </row>
    <row r="253" spans="18:18" x14ac:dyDescent="0.2">
      <c r="R253" s="1"/>
    </row>
    <row r="254" spans="18:18" x14ac:dyDescent="0.2">
      <c r="R254" s="1"/>
    </row>
    <row r="255" spans="18:18" x14ac:dyDescent="0.2">
      <c r="R255" s="1"/>
    </row>
    <row r="256" spans="18:18" x14ac:dyDescent="0.2">
      <c r="R256" s="1"/>
    </row>
    <row r="257" spans="18:18" x14ac:dyDescent="0.2">
      <c r="R257" s="1"/>
    </row>
    <row r="258" spans="18:18" x14ac:dyDescent="0.2">
      <c r="R258" s="1"/>
    </row>
    <row r="259" spans="18:18" x14ac:dyDescent="0.2">
      <c r="R259" s="1"/>
    </row>
    <row r="260" spans="18:18" x14ac:dyDescent="0.2">
      <c r="R260" s="1"/>
    </row>
    <row r="261" spans="18:18" x14ac:dyDescent="0.2">
      <c r="R261" s="1"/>
    </row>
    <row r="262" spans="18:18" x14ac:dyDescent="0.2">
      <c r="R262" s="1"/>
    </row>
    <row r="263" spans="18:18" x14ac:dyDescent="0.2">
      <c r="R263" s="1"/>
    </row>
    <row r="264" spans="18:18" x14ac:dyDescent="0.2">
      <c r="R264" s="1"/>
    </row>
    <row r="265" spans="18:18" x14ac:dyDescent="0.2">
      <c r="R265" s="1"/>
    </row>
    <row r="266" spans="18:18" x14ac:dyDescent="0.2">
      <c r="R266" s="1"/>
    </row>
    <row r="267" spans="18:18" x14ac:dyDescent="0.2">
      <c r="R267" s="1"/>
    </row>
    <row r="268" spans="18:18" x14ac:dyDescent="0.2">
      <c r="R268" s="1"/>
    </row>
    <row r="269" spans="18:18" x14ac:dyDescent="0.2">
      <c r="R269" s="1"/>
    </row>
    <row r="270" spans="18:18" x14ac:dyDescent="0.2">
      <c r="R270" s="1"/>
    </row>
    <row r="271" spans="18:18" x14ac:dyDescent="0.2">
      <c r="R271" s="1"/>
    </row>
    <row r="272" spans="18:18" x14ac:dyDescent="0.2">
      <c r="R272" s="1"/>
    </row>
    <row r="273" spans="18:18" x14ac:dyDescent="0.2">
      <c r="R273" s="1"/>
    </row>
    <row r="274" spans="18:18" x14ac:dyDescent="0.2">
      <c r="R274" s="1"/>
    </row>
    <row r="275" spans="18:18" x14ac:dyDescent="0.2">
      <c r="R275" s="1"/>
    </row>
    <row r="276" spans="18:18" x14ac:dyDescent="0.2">
      <c r="R276" s="1"/>
    </row>
    <row r="277" spans="18:18" x14ac:dyDescent="0.2">
      <c r="R277" s="1"/>
    </row>
    <row r="278" spans="18:18" x14ac:dyDescent="0.2">
      <c r="R278" s="1"/>
    </row>
    <row r="279" spans="18:18" x14ac:dyDescent="0.2">
      <c r="R279" s="1"/>
    </row>
    <row r="280" spans="18:18" x14ac:dyDescent="0.2">
      <c r="R280" s="1"/>
    </row>
    <row r="281" spans="18:18" x14ac:dyDescent="0.2">
      <c r="R281" s="1"/>
    </row>
    <row r="282" spans="18:18" x14ac:dyDescent="0.2">
      <c r="R282" s="1"/>
    </row>
    <row r="283" spans="18:18" x14ac:dyDescent="0.2">
      <c r="R283" s="1"/>
    </row>
    <row r="284" spans="18:18" x14ac:dyDescent="0.2">
      <c r="R284" s="1"/>
    </row>
    <row r="285" spans="18:18" x14ac:dyDescent="0.2">
      <c r="R285" s="1"/>
    </row>
    <row r="286" spans="18:18" x14ac:dyDescent="0.2">
      <c r="R286" s="1"/>
    </row>
    <row r="287" spans="18:18" x14ac:dyDescent="0.2">
      <c r="R287" s="1"/>
    </row>
    <row r="288" spans="18:18" x14ac:dyDescent="0.2">
      <c r="R288" s="1"/>
    </row>
    <row r="289" spans="18:18" x14ac:dyDescent="0.2">
      <c r="R289" s="1"/>
    </row>
    <row r="290" spans="18:18" x14ac:dyDescent="0.2">
      <c r="R290" s="1"/>
    </row>
    <row r="291" spans="18:18" x14ac:dyDescent="0.2">
      <c r="R291" s="1"/>
    </row>
    <row r="292" spans="18:18" x14ac:dyDescent="0.2">
      <c r="R292" s="1"/>
    </row>
    <row r="293" spans="18:18" x14ac:dyDescent="0.2">
      <c r="R293" s="1"/>
    </row>
    <row r="294" spans="18:18" x14ac:dyDescent="0.2">
      <c r="R294" s="1"/>
    </row>
    <row r="295" spans="18:18" x14ac:dyDescent="0.2">
      <c r="R295" s="1"/>
    </row>
    <row r="296" spans="18:18" x14ac:dyDescent="0.2">
      <c r="R296" s="1"/>
    </row>
    <row r="297" spans="18:18" x14ac:dyDescent="0.2">
      <c r="R297" s="1"/>
    </row>
    <row r="298" spans="18:18" x14ac:dyDescent="0.2">
      <c r="R298" s="1"/>
    </row>
    <row r="299" spans="18:18" x14ac:dyDescent="0.2">
      <c r="R299" s="1"/>
    </row>
    <row r="300" spans="18:18" x14ac:dyDescent="0.2">
      <c r="R300" s="1"/>
    </row>
    <row r="301" spans="18:18" x14ac:dyDescent="0.2">
      <c r="R301" s="1"/>
    </row>
    <row r="302" spans="18:18" x14ac:dyDescent="0.2">
      <c r="R302" s="1"/>
    </row>
    <row r="303" spans="18:18" x14ac:dyDescent="0.2">
      <c r="R303" s="1"/>
    </row>
  </sheetData>
  <dataConsolidate/>
  <mergeCells count="5">
    <mergeCell ref="A9:D15"/>
    <mergeCell ref="I2:I3"/>
    <mergeCell ref="C17:D17"/>
    <mergeCell ref="C20:D20"/>
    <mergeCell ref="C23:D23"/>
  </mergeCells>
  <hyperlinks>
    <hyperlink ref="C17" location="'Task f '!E1" display="Sample simulation" xr:uid="{AA0E3E0E-7B2C-3048-8E27-DF8DD2227E98}"/>
    <hyperlink ref="C20:D20" location="'Task f '!K2" display="100 simulations" xr:uid="{271F3F5C-633B-BE48-8859-635816B2B43F}"/>
    <hyperlink ref="C23:D23" location="'Task f '!N2" display="100 trajectory" xr:uid="{C1E2C72D-DAA4-0145-8FA8-D1B421C15B03}"/>
    <hyperlink ref="C26" location="Answers!A50" display="Back to answers" xr:uid="{1B4DC143-4038-C34E-9D75-814CF6280F65}"/>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DE1AC-681D-124B-A26C-949468CB1CED}">
  <dimension ref="A1:H50"/>
  <sheetViews>
    <sheetView showGridLines="0" showRowColHeaders="0" zoomScale="142" workbookViewId="0">
      <selection activeCell="D8" sqref="D8"/>
    </sheetView>
  </sheetViews>
  <sheetFormatPr baseColWidth="10" defaultRowHeight="16" x14ac:dyDescent="0.2"/>
  <cols>
    <col min="1" max="1" width="24.5" bestFit="1" customWidth="1"/>
    <col min="2" max="2" width="15.5" bestFit="1" customWidth="1"/>
    <col min="3" max="4" width="7.83203125" bestFit="1" customWidth="1"/>
    <col min="9" max="9" width="24.5" bestFit="1" customWidth="1"/>
    <col min="10" max="10" width="15.5" bestFit="1" customWidth="1"/>
    <col min="11" max="12" width="7.83203125" bestFit="1" customWidth="1"/>
    <col min="13" max="13" width="10.83203125" bestFit="1" customWidth="1"/>
    <col min="14" max="18" width="2.1640625" bestFit="1" customWidth="1"/>
    <col min="19" max="108" width="3.1640625" bestFit="1" customWidth="1"/>
    <col min="109" max="109" width="4.1640625" bestFit="1" customWidth="1"/>
    <col min="110" max="110" width="12.5" bestFit="1" customWidth="1"/>
    <col min="111" max="111" width="10" bestFit="1" customWidth="1"/>
    <col min="112" max="119" width="2.1640625" bestFit="1" customWidth="1"/>
    <col min="120" max="209" width="3.1640625" bestFit="1" customWidth="1"/>
    <col min="210" max="210" width="4.1640625" bestFit="1" customWidth="1"/>
    <col min="211" max="211" width="12.5" bestFit="1" customWidth="1"/>
    <col min="212" max="212" width="10" bestFit="1" customWidth="1"/>
    <col min="213" max="220" width="2.1640625" bestFit="1" customWidth="1"/>
    <col min="221" max="310" width="3.1640625" bestFit="1" customWidth="1"/>
    <col min="311" max="311" width="4.1640625" bestFit="1" customWidth="1"/>
    <col min="312" max="312" width="12.5" bestFit="1" customWidth="1"/>
    <col min="313" max="313" width="10.83203125" bestFit="1" customWidth="1"/>
  </cols>
  <sheetData>
    <row r="1" spans="1:8" x14ac:dyDescent="0.2">
      <c r="A1" s="37" t="s">
        <v>123</v>
      </c>
      <c r="B1" s="17" t="s">
        <v>124</v>
      </c>
      <c r="C1" s="38" t="s">
        <v>127</v>
      </c>
      <c r="D1" s="38"/>
      <c r="E1" s="38"/>
      <c r="F1" s="38"/>
      <c r="G1" s="39"/>
    </row>
    <row r="2" spans="1:8" x14ac:dyDescent="0.2">
      <c r="A2" s="40"/>
      <c r="B2" s="41"/>
      <c r="C2" s="41"/>
      <c r="D2" s="41"/>
      <c r="E2" s="41"/>
      <c r="F2" s="41"/>
      <c r="G2" s="42"/>
    </row>
    <row r="3" spans="1:8" x14ac:dyDescent="0.2">
      <c r="A3" s="40" t="s">
        <v>123</v>
      </c>
      <c r="B3" s="17" t="s">
        <v>125</v>
      </c>
      <c r="C3" s="41" t="s">
        <v>128</v>
      </c>
      <c r="D3" s="41"/>
      <c r="E3" s="41"/>
      <c r="F3" s="41"/>
      <c r="G3" s="42"/>
    </row>
    <row r="4" spans="1:8" x14ac:dyDescent="0.2">
      <c r="A4" s="40"/>
      <c r="B4" s="41"/>
      <c r="C4" s="41"/>
      <c r="D4" s="41"/>
      <c r="E4" s="41"/>
      <c r="F4" s="41"/>
      <c r="G4" s="42"/>
    </row>
    <row r="5" spans="1:8" x14ac:dyDescent="0.2">
      <c r="A5" s="40" t="s">
        <v>123</v>
      </c>
      <c r="B5" s="17" t="s">
        <v>118</v>
      </c>
      <c r="C5" s="41" t="s">
        <v>129</v>
      </c>
      <c r="D5" s="41"/>
      <c r="E5" s="41"/>
      <c r="F5" s="41"/>
      <c r="G5" s="42"/>
    </row>
    <row r="6" spans="1:8" x14ac:dyDescent="0.2">
      <c r="A6" s="40"/>
      <c r="B6" s="41"/>
      <c r="C6" s="41"/>
      <c r="D6" s="41"/>
      <c r="E6" s="41"/>
      <c r="F6" s="41"/>
      <c r="G6" s="42"/>
    </row>
    <row r="7" spans="1:8" x14ac:dyDescent="0.2">
      <c r="A7" s="43" t="s">
        <v>123</v>
      </c>
      <c r="B7" s="17" t="s">
        <v>126</v>
      </c>
      <c r="C7" s="44" t="s">
        <v>184</v>
      </c>
      <c r="D7" s="44"/>
      <c r="E7" s="44"/>
      <c r="F7" s="44"/>
      <c r="G7" s="45"/>
    </row>
    <row r="9" spans="1:8" x14ac:dyDescent="0.2">
      <c r="A9" s="6" t="s">
        <v>10</v>
      </c>
    </row>
    <row r="10" spans="1:8" x14ac:dyDescent="0.2">
      <c r="A10" s="61" t="s">
        <v>131</v>
      </c>
      <c r="B10" s="62"/>
      <c r="C10" s="62"/>
      <c r="D10" s="62"/>
      <c r="E10" s="62"/>
      <c r="F10" s="62"/>
      <c r="G10" s="62"/>
      <c r="H10" s="62"/>
    </row>
    <row r="11" spans="1:8" x14ac:dyDescent="0.2">
      <c r="A11" s="62"/>
      <c r="B11" s="62"/>
      <c r="C11" s="62"/>
      <c r="D11" s="62"/>
      <c r="E11" s="62"/>
      <c r="F11" s="62"/>
      <c r="G11" s="62"/>
      <c r="H11" s="62"/>
    </row>
    <row r="12" spans="1:8" x14ac:dyDescent="0.2">
      <c r="A12" s="62"/>
      <c r="B12" s="62"/>
      <c r="C12" s="62"/>
      <c r="D12" s="62"/>
      <c r="E12" s="62"/>
      <c r="F12" s="62"/>
      <c r="G12" s="62"/>
      <c r="H12" s="62"/>
    </row>
    <row r="13" spans="1:8" ht="15" customHeight="1" x14ac:dyDescent="0.2">
      <c r="A13" s="62"/>
      <c r="B13" s="62"/>
      <c r="C13" s="62"/>
      <c r="D13" s="62"/>
      <c r="E13" s="62"/>
      <c r="F13" s="62"/>
      <c r="G13" s="62"/>
      <c r="H13" s="62"/>
    </row>
    <row r="14" spans="1:8" x14ac:dyDescent="0.2">
      <c r="A14" s="62"/>
      <c r="B14" s="62"/>
      <c r="C14" s="62"/>
      <c r="D14" s="62"/>
      <c r="E14" s="62"/>
      <c r="F14" s="62"/>
      <c r="G14" s="62"/>
      <c r="H14" s="62"/>
    </row>
    <row r="15" spans="1:8" x14ac:dyDescent="0.2">
      <c r="A15" s="62"/>
      <c r="B15" s="62"/>
      <c r="C15" s="62"/>
      <c r="D15" s="62"/>
      <c r="E15" s="62"/>
      <c r="F15" s="62"/>
      <c r="G15" s="62"/>
      <c r="H15" s="62"/>
    </row>
    <row r="17" spans="1:8" x14ac:dyDescent="0.2">
      <c r="A17" s="6" t="s">
        <v>132</v>
      </c>
    </row>
    <row r="18" spans="1:8" x14ac:dyDescent="0.2">
      <c r="A18" s="76" t="s">
        <v>181</v>
      </c>
      <c r="B18" s="77"/>
      <c r="C18" s="77"/>
      <c r="D18" s="77"/>
      <c r="E18" s="77"/>
      <c r="F18" s="77"/>
      <c r="G18" s="77"/>
      <c r="H18" s="77"/>
    </row>
    <row r="19" spans="1:8" x14ac:dyDescent="0.2">
      <c r="A19" s="77"/>
      <c r="B19" s="77"/>
      <c r="C19" s="77"/>
      <c r="D19" s="77"/>
      <c r="E19" s="77"/>
      <c r="F19" s="77"/>
      <c r="G19" s="77"/>
      <c r="H19" s="77"/>
    </row>
    <row r="20" spans="1:8" x14ac:dyDescent="0.2">
      <c r="A20" s="77"/>
      <c r="B20" s="77"/>
      <c r="C20" s="77"/>
      <c r="D20" s="77"/>
      <c r="E20" s="77"/>
      <c r="F20" s="77"/>
      <c r="G20" s="77"/>
      <c r="H20" s="77"/>
    </row>
    <row r="21" spans="1:8" x14ac:dyDescent="0.2">
      <c r="A21" s="77"/>
      <c r="B21" s="77"/>
      <c r="C21" s="77"/>
      <c r="D21" s="77"/>
      <c r="E21" s="77"/>
      <c r="F21" s="77"/>
      <c r="G21" s="77"/>
      <c r="H21" s="77"/>
    </row>
    <row r="22" spans="1:8" x14ac:dyDescent="0.2">
      <c r="A22" s="77"/>
      <c r="B22" s="77"/>
      <c r="C22" s="77"/>
      <c r="D22" s="77"/>
      <c r="E22" s="77"/>
      <c r="F22" s="77"/>
      <c r="G22" s="77"/>
      <c r="H22" s="77"/>
    </row>
    <row r="24" spans="1:8" x14ac:dyDescent="0.2">
      <c r="A24" s="17" t="s">
        <v>67</v>
      </c>
    </row>
    <row r="26" spans="1:8" x14ac:dyDescent="0.2">
      <c r="A26" s="51" t="s">
        <v>136</v>
      </c>
      <c r="B26" s="51" t="s">
        <v>133</v>
      </c>
    </row>
    <row r="27" spans="1:8" x14ac:dyDescent="0.2">
      <c r="A27" s="51" t="s">
        <v>135</v>
      </c>
      <c r="B27" s="53" t="s">
        <v>51</v>
      </c>
      <c r="C27" s="53" t="s">
        <v>39</v>
      </c>
      <c r="D27" s="53" t="s">
        <v>40</v>
      </c>
      <c r="E27" s="53" t="s">
        <v>134</v>
      </c>
    </row>
    <row r="28" spans="1:8" x14ac:dyDescent="0.2">
      <c r="A28" s="52" t="s">
        <v>137</v>
      </c>
      <c r="B28" s="12"/>
      <c r="C28" s="12"/>
      <c r="D28" s="12">
        <v>11</v>
      </c>
      <c r="E28" s="12">
        <v>11</v>
      </c>
    </row>
    <row r="29" spans="1:8" x14ac:dyDescent="0.2">
      <c r="A29" s="52" t="s">
        <v>138</v>
      </c>
      <c r="B29" s="12"/>
      <c r="C29" s="12"/>
      <c r="D29" s="12">
        <v>78</v>
      </c>
      <c r="E29" s="12">
        <v>78</v>
      </c>
    </row>
    <row r="30" spans="1:8" x14ac:dyDescent="0.2">
      <c r="A30" s="52" t="s">
        <v>139</v>
      </c>
      <c r="B30" s="12"/>
      <c r="C30" s="12"/>
      <c r="D30" s="12">
        <v>11</v>
      </c>
      <c r="E30" s="12">
        <v>11</v>
      </c>
    </row>
    <row r="31" spans="1:8" x14ac:dyDescent="0.2">
      <c r="A31" s="52" t="s">
        <v>140</v>
      </c>
      <c r="B31" s="12">
        <v>100</v>
      </c>
      <c r="C31" s="12"/>
      <c r="D31" s="12"/>
      <c r="E31" s="12">
        <v>100</v>
      </c>
    </row>
    <row r="32" spans="1:8" x14ac:dyDescent="0.2">
      <c r="A32" s="52" t="s">
        <v>155</v>
      </c>
      <c r="B32" s="12"/>
      <c r="C32" s="12">
        <v>1</v>
      </c>
      <c r="D32" s="12"/>
      <c r="E32" s="12">
        <v>1</v>
      </c>
    </row>
    <row r="33" spans="1:5" x14ac:dyDescent="0.2">
      <c r="A33" s="52" t="s">
        <v>156</v>
      </c>
      <c r="B33" s="12"/>
      <c r="C33" s="12">
        <v>2</v>
      </c>
      <c r="D33" s="12"/>
      <c r="E33" s="12">
        <v>2</v>
      </c>
    </row>
    <row r="34" spans="1:5" x14ac:dyDescent="0.2">
      <c r="A34" s="52" t="s">
        <v>141</v>
      </c>
      <c r="B34" s="12"/>
      <c r="C34" s="12">
        <v>1</v>
      </c>
      <c r="D34" s="12"/>
      <c r="E34" s="12">
        <v>1</v>
      </c>
    </row>
    <row r="35" spans="1:5" x14ac:dyDescent="0.2">
      <c r="A35" s="52" t="s">
        <v>142</v>
      </c>
      <c r="B35" s="12"/>
      <c r="C35" s="12">
        <v>6</v>
      </c>
      <c r="D35" s="12"/>
      <c r="E35" s="12">
        <v>6</v>
      </c>
    </row>
    <row r="36" spans="1:5" x14ac:dyDescent="0.2">
      <c r="A36" s="52" t="s">
        <v>143</v>
      </c>
      <c r="B36" s="12"/>
      <c r="C36" s="12">
        <v>5</v>
      </c>
      <c r="D36" s="12"/>
      <c r="E36" s="12">
        <v>5</v>
      </c>
    </row>
    <row r="37" spans="1:5" x14ac:dyDescent="0.2">
      <c r="A37" s="52" t="s">
        <v>144</v>
      </c>
      <c r="B37" s="12"/>
      <c r="C37" s="12">
        <v>8</v>
      </c>
      <c r="D37" s="12"/>
      <c r="E37" s="12">
        <v>8</v>
      </c>
    </row>
    <row r="38" spans="1:5" x14ac:dyDescent="0.2">
      <c r="A38" s="52" t="s">
        <v>145</v>
      </c>
      <c r="B38" s="12"/>
      <c r="C38" s="12">
        <v>8</v>
      </c>
      <c r="D38" s="12"/>
      <c r="E38" s="12">
        <v>8</v>
      </c>
    </row>
    <row r="39" spans="1:5" x14ac:dyDescent="0.2">
      <c r="A39" s="52" t="s">
        <v>146</v>
      </c>
      <c r="B39" s="12"/>
      <c r="C39" s="12">
        <v>14</v>
      </c>
      <c r="D39" s="12"/>
      <c r="E39" s="12">
        <v>14</v>
      </c>
    </row>
    <row r="40" spans="1:5" x14ac:dyDescent="0.2">
      <c r="A40" s="52" t="s">
        <v>147</v>
      </c>
      <c r="B40" s="12"/>
      <c r="C40" s="12">
        <v>10</v>
      </c>
      <c r="D40" s="12"/>
      <c r="E40" s="12">
        <v>10</v>
      </c>
    </row>
    <row r="41" spans="1:5" x14ac:dyDescent="0.2">
      <c r="A41" s="52" t="s">
        <v>148</v>
      </c>
      <c r="B41" s="12"/>
      <c r="C41" s="12">
        <v>8</v>
      </c>
      <c r="D41" s="12"/>
      <c r="E41" s="12">
        <v>8</v>
      </c>
    </row>
    <row r="42" spans="1:5" x14ac:dyDescent="0.2">
      <c r="A42" s="52" t="s">
        <v>149</v>
      </c>
      <c r="B42" s="12"/>
      <c r="C42" s="12">
        <v>7</v>
      </c>
      <c r="D42" s="12"/>
      <c r="E42" s="12">
        <v>7</v>
      </c>
    </row>
    <row r="43" spans="1:5" x14ac:dyDescent="0.2">
      <c r="A43" s="52" t="s">
        <v>150</v>
      </c>
      <c r="B43" s="12"/>
      <c r="C43" s="12">
        <v>9</v>
      </c>
      <c r="D43" s="12"/>
      <c r="E43" s="12">
        <v>9</v>
      </c>
    </row>
    <row r="44" spans="1:5" x14ac:dyDescent="0.2">
      <c r="A44" s="52" t="s">
        <v>151</v>
      </c>
      <c r="B44" s="12"/>
      <c r="C44" s="12">
        <v>9</v>
      </c>
      <c r="D44" s="12"/>
      <c r="E44" s="12">
        <v>9</v>
      </c>
    </row>
    <row r="45" spans="1:5" x14ac:dyDescent="0.2">
      <c r="A45" s="52" t="s">
        <v>152</v>
      </c>
      <c r="B45" s="12"/>
      <c r="C45" s="12">
        <v>3</v>
      </c>
      <c r="D45" s="12"/>
      <c r="E45" s="12">
        <v>3</v>
      </c>
    </row>
    <row r="46" spans="1:5" x14ac:dyDescent="0.2">
      <c r="A46" s="52" t="s">
        <v>157</v>
      </c>
      <c r="B46" s="12"/>
      <c r="C46" s="12">
        <v>5</v>
      </c>
      <c r="D46" s="12"/>
      <c r="E46" s="12">
        <v>5</v>
      </c>
    </row>
    <row r="47" spans="1:5" x14ac:dyDescent="0.2">
      <c r="A47" s="52" t="s">
        <v>158</v>
      </c>
      <c r="B47" s="12"/>
      <c r="C47" s="12">
        <v>1</v>
      </c>
      <c r="D47" s="12"/>
      <c r="E47" s="12">
        <v>1</v>
      </c>
    </row>
    <row r="48" spans="1:5" x14ac:dyDescent="0.2">
      <c r="A48" s="52" t="s">
        <v>153</v>
      </c>
      <c r="B48" s="12"/>
      <c r="C48" s="12">
        <v>2</v>
      </c>
      <c r="D48" s="12"/>
      <c r="E48" s="12">
        <v>2</v>
      </c>
    </row>
    <row r="49" spans="1:5" x14ac:dyDescent="0.2">
      <c r="A49" s="52" t="s">
        <v>154</v>
      </c>
      <c r="B49" s="12"/>
      <c r="C49" s="12">
        <v>1</v>
      </c>
      <c r="D49" s="12"/>
      <c r="E49" s="12">
        <v>1</v>
      </c>
    </row>
    <row r="50" spans="1:5" x14ac:dyDescent="0.2">
      <c r="A50" s="52" t="s">
        <v>134</v>
      </c>
      <c r="B50" s="12">
        <v>100</v>
      </c>
      <c r="C50" s="12">
        <v>100</v>
      </c>
      <c r="D50" s="12">
        <v>100</v>
      </c>
      <c r="E50" s="12">
        <v>300</v>
      </c>
    </row>
  </sheetData>
  <mergeCells count="2">
    <mergeCell ref="A10:H15"/>
    <mergeCell ref="A18:H22"/>
  </mergeCells>
  <hyperlinks>
    <hyperlink ref="B1" location="'Task g data'!D1" display="Option 1" xr:uid="{7F6ABA2F-3741-1A46-99F2-F8AA97432448}"/>
    <hyperlink ref="B3" location="'Task g data'!P1" display="Option 2" xr:uid="{FC8FD82E-6F77-6145-A35F-4E060F8C0A22}"/>
    <hyperlink ref="B5" location="'Task g data'!I1" display="Option 3" xr:uid="{E911A006-A645-DA41-BB99-933A4BA5B0AA}"/>
    <hyperlink ref="B7" location="'Task g data'!T1" display="Pivot " xr:uid="{3B99EADE-231B-EC41-9CDA-9AC388F0B83F}"/>
    <hyperlink ref="A24" location="Answers!A60" display="Back to answers" xr:uid="{2928F942-B1BD-6B4D-BCF7-B563744AD664}"/>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6BC5B-517E-1C4E-8F7E-D4846B27602A}">
  <sheetPr codeName="Sheet9">
    <outlinePr applyStyles="1" summaryBelow="0"/>
  </sheetPr>
  <dimension ref="A1:W303"/>
  <sheetViews>
    <sheetView showGridLines="0" showRowColHeaders="0" topLeftCell="C1" zoomScaleNormal="97" workbookViewId="0">
      <selection activeCell="G1" sqref="G1"/>
    </sheetView>
  </sheetViews>
  <sheetFormatPr baseColWidth="10" defaultRowHeight="16" outlineLevelRow="1" x14ac:dyDescent="0.2"/>
  <cols>
    <col min="1" max="1" width="6.83203125" hidden="1" customWidth="1"/>
    <col min="2" max="2" width="12.5" hidden="1" customWidth="1"/>
    <col min="6" max="6" width="16.6640625" bestFit="1" customWidth="1"/>
    <col min="7" max="7" width="13.1640625" bestFit="1" customWidth="1"/>
    <col min="11" max="11" width="13.83203125" bestFit="1" customWidth="1"/>
    <col min="12" max="13" width="14.33203125" bestFit="1" customWidth="1"/>
    <col min="14" max="14" width="13.1640625" bestFit="1" customWidth="1"/>
    <col min="17" max="17" width="26" bestFit="1" customWidth="1"/>
    <col min="18" max="18" width="13.1640625" bestFit="1" customWidth="1"/>
    <col min="20" max="20" width="10.83203125" customWidth="1"/>
    <col min="21" max="21" width="15.5" bestFit="1" customWidth="1"/>
    <col min="22" max="22" width="8" bestFit="1" customWidth="1"/>
    <col min="23" max="23" width="13.1640625" bestFit="1" customWidth="1"/>
    <col min="24" max="25" width="10.83203125" bestFit="1" customWidth="1"/>
    <col min="26" max="26" width="37.1640625" bestFit="1" customWidth="1"/>
    <col min="27" max="27" width="38.1640625" bestFit="1" customWidth="1"/>
    <col min="28" max="41" width="12.1640625" bestFit="1" customWidth="1"/>
    <col min="42" max="42" width="11.1640625" bestFit="1" customWidth="1"/>
    <col min="43" max="60" width="12.1640625" bestFit="1" customWidth="1"/>
    <col min="61" max="61" width="11.1640625" bestFit="1" customWidth="1"/>
    <col min="62" max="71" width="12.1640625" bestFit="1" customWidth="1"/>
    <col min="72" max="72" width="11.1640625" bestFit="1" customWidth="1"/>
    <col min="73" max="73" width="10.1640625" bestFit="1" customWidth="1"/>
    <col min="74" max="74" width="11.1640625" bestFit="1" customWidth="1"/>
    <col min="75" max="116" width="12.1640625" bestFit="1" customWidth="1"/>
    <col min="117" max="117" width="11.1640625" bestFit="1" customWidth="1"/>
    <col min="118" max="121" width="12.1640625" bestFit="1" customWidth="1"/>
    <col min="122" max="122" width="10.83203125" bestFit="1" customWidth="1"/>
    <col min="123" max="123" width="13.33203125" bestFit="1" customWidth="1"/>
    <col min="124" max="124" width="20.5" bestFit="1" customWidth="1"/>
    <col min="125" max="125" width="14.33203125" bestFit="1" customWidth="1"/>
    <col min="126" max="126" width="21.6640625" bestFit="1" customWidth="1"/>
    <col min="127" max="127" width="14.33203125" bestFit="1" customWidth="1"/>
    <col min="128" max="128" width="21.6640625" bestFit="1" customWidth="1"/>
    <col min="129" max="129" width="14.33203125" bestFit="1" customWidth="1"/>
    <col min="130" max="130" width="21.6640625" bestFit="1" customWidth="1"/>
    <col min="131" max="131" width="14.33203125" bestFit="1" customWidth="1"/>
    <col min="132" max="132" width="21.6640625" bestFit="1" customWidth="1"/>
    <col min="133" max="133" width="14.33203125" bestFit="1" customWidth="1"/>
    <col min="134" max="134" width="21.6640625" bestFit="1" customWidth="1"/>
    <col min="135" max="135" width="14.33203125" bestFit="1" customWidth="1"/>
    <col min="136" max="136" width="21.6640625" bestFit="1" customWidth="1"/>
    <col min="137" max="137" width="14.33203125" bestFit="1" customWidth="1"/>
    <col min="138" max="138" width="21.6640625" bestFit="1" customWidth="1"/>
    <col min="139" max="139" width="13.33203125" bestFit="1" customWidth="1"/>
    <col min="140" max="140" width="21.6640625" bestFit="1" customWidth="1"/>
    <col min="141" max="141" width="14.33203125" bestFit="1" customWidth="1"/>
    <col min="142" max="142" width="21.6640625" bestFit="1" customWidth="1"/>
    <col min="143" max="143" width="14.33203125" bestFit="1" customWidth="1"/>
    <col min="144" max="144" width="21.6640625" bestFit="1" customWidth="1"/>
    <col min="145" max="145" width="13.33203125" bestFit="1" customWidth="1"/>
    <col min="146" max="146" width="21.6640625" bestFit="1" customWidth="1"/>
    <col min="147" max="147" width="14.33203125" bestFit="1" customWidth="1"/>
    <col min="148" max="148" width="21.6640625" bestFit="1" customWidth="1"/>
    <col min="149" max="149" width="14.33203125" bestFit="1" customWidth="1"/>
    <col min="150" max="150" width="20.5" bestFit="1" customWidth="1"/>
    <col min="151" max="151" width="14.33203125" bestFit="1" customWidth="1"/>
    <col min="152" max="152" width="21.6640625" bestFit="1" customWidth="1"/>
    <col min="153" max="153" width="14.33203125" bestFit="1" customWidth="1"/>
    <col min="154" max="154" width="21.6640625" bestFit="1" customWidth="1"/>
    <col min="155" max="155" width="14.33203125" bestFit="1" customWidth="1"/>
    <col min="156" max="156" width="21.6640625" bestFit="1" customWidth="1"/>
    <col min="157" max="157" width="14.33203125" bestFit="1" customWidth="1"/>
    <col min="158" max="158" width="21.6640625" bestFit="1" customWidth="1"/>
    <col min="159" max="159" width="14.33203125" bestFit="1" customWidth="1"/>
    <col min="160" max="160" width="21.6640625" bestFit="1" customWidth="1"/>
    <col min="161" max="161" width="13.33203125" bestFit="1" customWidth="1"/>
    <col min="162" max="162" width="21.6640625" bestFit="1" customWidth="1"/>
    <col min="163" max="163" width="13.33203125" bestFit="1" customWidth="1"/>
    <col min="164" max="164" width="21.6640625" bestFit="1" customWidth="1"/>
    <col min="165" max="165" width="14.33203125" bestFit="1" customWidth="1"/>
    <col min="166" max="166" width="20.5" bestFit="1" customWidth="1"/>
    <col min="167" max="167" width="14.33203125" bestFit="1" customWidth="1"/>
    <col min="168" max="168" width="21.6640625" bestFit="1" customWidth="1"/>
    <col min="169" max="169" width="14.33203125" bestFit="1" customWidth="1"/>
    <col min="170" max="170" width="21.6640625" bestFit="1" customWidth="1"/>
    <col min="171" max="171" width="14.33203125" bestFit="1" customWidth="1"/>
    <col min="172" max="172" width="21.6640625" bestFit="1" customWidth="1"/>
    <col min="173" max="173" width="14.33203125" bestFit="1" customWidth="1"/>
    <col min="174" max="174" width="21.6640625" bestFit="1" customWidth="1"/>
    <col min="175" max="175" width="14.33203125" bestFit="1" customWidth="1"/>
    <col min="176" max="176" width="21.6640625" bestFit="1" customWidth="1"/>
    <col min="177" max="177" width="14.33203125" bestFit="1" customWidth="1"/>
    <col min="178" max="178" width="21.6640625" bestFit="1" customWidth="1"/>
    <col min="179" max="179" width="14.33203125" bestFit="1" customWidth="1"/>
    <col min="180" max="180" width="21.6640625" bestFit="1" customWidth="1"/>
    <col min="181" max="181" width="14.33203125" bestFit="1" customWidth="1"/>
    <col min="182" max="182" width="21.6640625" bestFit="1" customWidth="1"/>
    <col min="183" max="183" width="14.33203125" bestFit="1" customWidth="1"/>
    <col min="184" max="184" width="20.5" bestFit="1" customWidth="1"/>
    <col min="185" max="185" width="14.33203125" bestFit="1" customWidth="1"/>
    <col min="186" max="186" width="21.6640625" bestFit="1" customWidth="1"/>
    <col min="187" max="187" width="14.33203125" bestFit="1" customWidth="1"/>
    <col min="188" max="188" width="21.6640625" bestFit="1" customWidth="1"/>
    <col min="189" max="189" width="13.33203125" bestFit="1" customWidth="1"/>
    <col min="190" max="190" width="21.6640625" bestFit="1" customWidth="1"/>
    <col min="191" max="191" width="14.33203125" bestFit="1" customWidth="1"/>
    <col min="192" max="192" width="21.6640625" bestFit="1" customWidth="1"/>
    <col min="193" max="193" width="14.33203125" bestFit="1" customWidth="1"/>
    <col min="194" max="194" width="21.6640625" bestFit="1" customWidth="1"/>
    <col min="195" max="195" width="14.33203125" bestFit="1" customWidth="1"/>
    <col min="196" max="196" width="20.5" bestFit="1" customWidth="1"/>
    <col min="197" max="197" width="14.33203125" bestFit="1" customWidth="1"/>
    <col min="198" max="198" width="21.6640625" bestFit="1" customWidth="1"/>
    <col min="199" max="199" width="13.33203125" bestFit="1" customWidth="1"/>
    <col min="200" max="200" width="21.6640625" bestFit="1" customWidth="1"/>
    <col min="201" max="201" width="14.33203125" bestFit="1" customWidth="1"/>
    <col min="202" max="202" width="21.6640625" bestFit="1" customWidth="1"/>
    <col min="203" max="203" width="13.33203125" bestFit="1" customWidth="1"/>
    <col min="204" max="204" width="21.6640625" bestFit="1" customWidth="1"/>
    <col min="205" max="205" width="14.33203125" bestFit="1" customWidth="1"/>
    <col min="206" max="206" width="21.6640625" bestFit="1" customWidth="1"/>
    <col min="207" max="207" width="14.33203125" bestFit="1" customWidth="1"/>
    <col min="208" max="208" width="21.6640625" bestFit="1" customWidth="1"/>
    <col min="209" max="209" width="14.33203125" bestFit="1" customWidth="1"/>
    <col min="210" max="210" width="21.6640625" bestFit="1" customWidth="1"/>
    <col min="211" max="211" width="14.33203125" bestFit="1" customWidth="1"/>
    <col min="212" max="212" width="21.6640625" bestFit="1" customWidth="1"/>
    <col min="213" max="213" width="14.33203125" bestFit="1" customWidth="1"/>
    <col min="214" max="214" width="21.6640625" bestFit="1" customWidth="1"/>
    <col min="215" max="215" width="14.33203125" bestFit="1" customWidth="1"/>
    <col min="216" max="216" width="21.6640625" bestFit="1" customWidth="1"/>
    <col min="217" max="217" width="14.33203125" bestFit="1" customWidth="1"/>
    <col min="218" max="218" width="21.6640625" bestFit="1" customWidth="1"/>
    <col min="219" max="219" width="14.33203125" bestFit="1" customWidth="1"/>
    <col min="220" max="220" width="21.6640625" bestFit="1" customWidth="1"/>
  </cols>
  <sheetData>
    <row r="1" spans="1:23" x14ac:dyDescent="0.2">
      <c r="D1" s="78" t="s">
        <v>51</v>
      </c>
      <c r="E1" s="78"/>
      <c r="F1" s="78"/>
      <c r="G1" s="17" t="s">
        <v>130</v>
      </c>
      <c r="I1" s="78" t="s">
        <v>118</v>
      </c>
      <c r="J1" s="78"/>
      <c r="K1" s="78"/>
      <c r="L1" s="78"/>
      <c r="M1" s="78"/>
      <c r="N1" s="17" t="s">
        <v>130</v>
      </c>
      <c r="P1" s="78" t="s">
        <v>39</v>
      </c>
      <c r="Q1" s="78"/>
      <c r="R1" s="17" t="s">
        <v>130</v>
      </c>
      <c r="T1" s="78" t="s">
        <v>122</v>
      </c>
      <c r="U1" s="78"/>
      <c r="V1" s="78"/>
      <c r="W1" s="17" t="s">
        <v>130</v>
      </c>
    </row>
    <row r="2" spans="1:23" outlineLevel="1" x14ac:dyDescent="0.2">
      <c r="D2" s="6"/>
      <c r="E2" s="6"/>
      <c r="F2" s="6" t="s">
        <v>50</v>
      </c>
      <c r="I2" s="6"/>
      <c r="J2" s="6" t="s">
        <v>57</v>
      </c>
      <c r="K2" s="9">
        <f ca="1">K123</f>
        <v>361805.43728144793</v>
      </c>
      <c r="L2" s="6" t="s">
        <v>54</v>
      </c>
      <c r="M2" s="9">
        <f ca="1">AVERAGE(M4:M103)</f>
        <v>362448.77528508962</v>
      </c>
      <c r="P2" s="7" t="s">
        <v>54</v>
      </c>
      <c r="Q2" s="9">
        <f ca="1">AVERAGE(Q4:Q103)</f>
        <v>583344.28189170407</v>
      </c>
      <c r="T2" s="7"/>
      <c r="U2" s="7"/>
      <c r="V2" s="7"/>
    </row>
    <row r="3" spans="1:23" outlineLevel="1" x14ac:dyDescent="0.2">
      <c r="A3" t="s">
        <v>43</v>
      </c>
      <c r="D3" s="6" t="s">
        <v>56</v>
      </c>
      <c r="E3" s="6" t="s">
        <v>5</v>
      </c>
      <c r="F3" s="6" t="s">
        <v>59</v>
      </c>
      <c r="I3" s="6" t="s">
        <v>49</v>
      </c>
      <c r="J3" s="6" t="s">
        <v>42</v>
      </c>
      <c r="K3" s="6" t="s">
        <v>119</v>
      </c>
      <c r="L3" s="6" t="s">
        <v>38</v>
      </c>
      <c r="M3" s="6" t="s">
        <v>120</v>
      </c>
      <c r="P3" s="6" t="s">
        <v>38</v>
      </c>
      <c r="Q3" s="6" t="s">
        <v>53</v>
      </c>
      <c r="T3" s="6" t="s">
        <v>38</v>
      </c>
      <c r="U3" s="6" t="s">
        <v>121</v>
      </c>
      <c r="V3" s="6" t="s">
        <v>55</v>
      </c>
    </row>
    <row r="4" spans="1:23" outlineLevel="1" x14ac:dyDescent="0.2">
      <c r="A4" t="s">
        <v>47</v>
      </c>
      <c r="B4">
        <v>4.4048999999999998E-2</v>
      </c>
      <c r="D4" s="34" cm="1">
        <f t="array" ref="D4:D123">0.3*Table3[Monthly salary]</f>
        <v>1875</v>
      </c>
      <c r="E4" s="47">
        <v>44593</v>
      </c>
      <c r="F4" s="9">
        <f>'Task g data'!D4</f>
        <v>1875</v>
      </c>
      <c r="I4" s="5">
        <f t="shared" ref="I4:I35" ca="1" si="0">_xlfn.NORM.INV(RAND(),0,Deltat)</f>
        <v>-0.10893389861313224</v>
      </c>
      <c r="J4" s="5">
        <f>B8</f>
        <v>6.3870000000000003E-3</v>
      </c>
      <c r="K4" s="9">
        <f>EXP(B8*Deltat)*D4+D4</f>
        <v>3750.9982343815591</v>
      </c>
      <c r="L4" s="5">
        <v>1</v>
      </c>
      <c r="M4" s="9">
        <f ca="1">$K$2</f>
        <v>361805.43728144793</v>
      </c>
      <c r="P4" s="5">
        <v>1</v>
      </c>
      <c r="Q4" s="9">
        <f ca="1">0.6*'Task e simulation procedure'!P5+0.4*$F$124</f>
        <v>583951.51883556531</v>
      </c>
      <c r="T4" s="5">
        <v>1</v>
      </c>
      <c r="U4" s="9">
        <f t="shared" ref="U4:U67" ca="1" si="1">Q4</f>
        <v>583951.51883556531</v>
      </c>
      <c r="V4" s="5" t="s">
        <v>39</v>
      </c>
    </row>
    <row r="5" spans="1:23" outlineLevel="1" x14ac:dyDescent="0.2">
      <c r="A5" t="s">
        <v>46</v>
      </c>
      <c r="B5">
        <v>7.9109999999999996E-3</v>
      </c>
      <c r="D5" s="9">
        <v>1875</v>
      </c>
      <c r="E5" s="47">
        <v>44621</v>
      </c>
      <c r="F5" s="9">
        <f>(1+'Task d'!C13)*F4+'Task g data'!D5</f>
        <v>3753.932719667223</v>
      </c>
      <c r="I5" s="5">
        <f t="shared" ca="1" si="0"/>
        <v>-3.5009549446184006E-3</v>
      </c>
      <c r="J5" s="5">
        <f t="shared" ref="J5:J36" ca="1" si="2">J4+Kappa*(Theta-J4)*Deltat+Sigma*SQRT(J4)*I4</f>
        <v>6.3362063903806458E-3</v>
      </c>
      <c r="K5" s="9">
        <f t="shared" ref="K5:K36" ca="1" si="3">EXP(J5*Deltat)*K4+D5</f>
        <v>5627.9793489487292</v>
      </c>
      <c r="L5" s="5">
        <v>2</v>
      </c>
      <c r="M5" s="9">
        <f t="dataTable" ref="M5:M103" dt2D="0" dtr="0" r1="N1" ca="1"/>
        <v>363046.49349401356</v>
      </c>
      <c r="P5" s="5">
        <v>2</v>
      </c>
      <c r="Q5" s="9">
        <f>0.6*'Task e simulation procedure'!P6+0.4*$F$124</f>
        <v>584583.4867976642</v>
      </c>
      <c r="T5" s="5">
        <v>2</v>
      </c>
      <c r="U5" s="9">
        <f t="shared" si="1"/>
        <v>584583.4867976642</v>
      </c>
      <c r="V5" s="5" t="s">
        <v>39</v>
      </c>
    </row>
    <row r="6" spans="1:23" outlineLevel="1" x14ac:dyDescent="0.2">
      <c r="A6" t="s">
        <v>45</v>
      </c>
      <c r="B6">
        <v>6.4770000000000001E-3</v>
      </c>
      <c r="D6" s="9">
        <v>1875</v>
      </c>
      <c r="E6" s="48">
        <v>44652</v>
      </c>
      <c r="F6" s="9">
        <f>(1+'Task d'!C14)*F5+'Task g data'!D6</f>
        <v>5636.7667052480674</v>
      </c>
      <c r="I6" s="5">
        <f t="shared" ca="1" si="0"/>
        <v>2.4677443917491444E-2</v>
      </c>
      <c r="J6" s="5">
        <f t="shared" ca="1" si="2"/>
        <v>6.3401820728755118E-3</v>
      </c>
      <c r="K6" s="9">
        <f t="shared" ca="1" si="3"/>
        <v>7505.9536690995692</v>
      </c>
      <c r="L6" s="5">
        <v>3</v>
      </c>
      <c r="M6" s="9">
        <v>362735.8833495577</v>
      </c>
      <c r="P6" s="5">
        <v>3</v>
      </c>
      <c r="Q6" s="9">
        <f>0.6*'Task e simulation procedure'!P7+0.4*$F$124</f>
        <v>581752.7905442284</v>
      </c>
      <c r="T6" s="5">
        <v>3</v>
      </c>
      <c r="U6" s="9">
        <f t="shared" si="1"/>
        <v>581752.7905442284</v>
      </c>
      <c r="V6" s="5" t="s">
        <v>39</v>
      </c>
    </row>
    <row r="7" spans="1:23" outlineLevel="1" x14ac:dyDescent="0.2">
      <c r="A7" t="s">
        <v>44</v>
      </c>
      <c r="B7">
        <f>1/12</f>
        <v>8.3333333333333329E-2</v>
      </c>
      <c r="D7" s="9">
        <v>1875</v>
      </c>
      <c r="E7" s="48">
        <v>44682</v>
      </c>
      <c r="F7" s="9">
        <f>(1+'Task d'!C15)*F6+'Task g data'!D7</f>
        <v>7523.4802198100197</v>
      </c>
      <c r="I7" s="5">
        <f t="shared" ca="1" si="0"/>
        <v>-6.8448104345521883E-4</v>
      </c>
      <c r="J7" s="5">
        <f t="shared" ca="1" si="2"/>
        <v>6.3586751202954709E-3</v>
      </c>
      <c r="K7" s="9">
        <f t="shared" ca="1" si="3"/>
        <v>9384.9320497952285</v>
      </c>
      <c r="L7" s="5">
        <v>4</v>
      </c>
      <c r="M7" s="9">
        <v>363295.76466738223</v>
      </c>
      <c r="P7" s="5">
        <v>4</v>
      </c>
      <c r="Q7" s="9">
        <f>0.6*'Task e simulation procedure'!P8+0.4*$F$124</f>
        <v>584082.21596754575</v>
      </c>
      <c r="T7" s="5">
        <v>4</v>
      </c>
      <c r="U7" s="9">
        <f t="shared" si="1"/>
        <v>584082.21596754575</v>
      </c>
      <c r="V7" s="5" t="s">
        <v>39</v>
      </c>
    </row>
    <row r="8" spans="1:23" outlineLevel="1" x14ac:dyDescent="0.2">
      <c r="A8" t="s">
        <v>48</v>
      </c>
      <c r="B8">
        <v>6.3870000000000003E-3</v>
      </c>
      <c r="D8" s="9">
        <v>1875</v>
      </c>
      <c r="E8" s="48">
        <v>44713</v>
      </c>
      <c r="F8" s="9">
        <f>(1+'Task d'!C16)*F7+'Task g data'!D8</f>
        <v>9414.0610386812477</v>
      </c>
      <c r="I8" s="5">
        <f t="shared" ca="1" si="0"/>
        <v>-0.10526314285077013</v>
      </c>
      <c r="J8" s="5">
        <f t="shared" ca="1" si="2"/>
        <v>6.3640197930611283E-3</v>
      </c>
      <c r="K8" s="9">
        <f t="shared" ca="1" si="3"/>
        <v>11264.910527585796</v>
      </c>
      <c r="L8" s="5">
        <v>5</v>
      </c>
      <c r="M8" s="9">
        <v>361941.77208470704</v>
      </c>
      <c r="P8" s="5">
        <v>5</v>
      </c>
      <c r="Q8" s="9">
        <f>0.6*'Task e simulation procedure'!P9+0.4*$F$124</f>
        <v>579933.73373661563</v>
      </c>
      <c r="T8" s="5">
        <v>5</v>
      </c>
      <c r="U8" s="9">
        <f t="shared" si="1"/>
        <v>579933.73373661563</v>
      </c>
      <c r="V8" s="5" t="s">
        <v>39</v>
      </c>
    </row>
    <row r="9" spans="1:23" outlineLevel="1" x14ac:dyDescent="0.2">
      <c r="D9" s="9">
        <v>1875</v>
      </c>
      <c r="E9" s="48">
        <v>44743</v>
      </c>
      <c r="F9" s="9">
        <f>(1+'Task d'!C17)*F8+'Task g data'!D9</f>
        <v>11308.506242318394</v>
      </c>
      <c r="I9" s="5">
        <f t="shared" ca="1" si="0"/>
        <v>-7.933889530869398E-2</v>
      </c>
      <c r="J9" s="5">
        <f t="shared" ca="1" si="2"/>
        <v>6.315308754917111E-3</v>
      </c>
      <c r="K9" s="9">
        <f t="shared" ca="1" si="3"/>
        <v>13145.840536865426</v>
      </c>
      <c r="L9" s="5">
        <v>6</v>
      </c>
      <c r="M9" s="9">
        <v>361956.83096232696</v>
      </c>
      <c r="P9" s="5">
        <v>6</v>
      </c>
      <c r="Q9" s="9">
        <f>0.6*'Task e simulation procedure'!P10+0.4*$F$124</f>
        <v>579126.72657464421</v>
      </c>
      <c r="T9" s="5">
        <v>6</v>
      </c>
      <c r="U9" s="9">
        <f t="shared" si="1"/>
        <v>579126.72657464421</v>
      </c>
      <c r="V9" s="5" t="s">
        <v>39</v>
      </c>
    </row>
    <row r="10" spans="1:23" outlineLevel="1" x14ac:dyDescent="0.2">
      <c r="D10" s="9">
        <v>1875</v>
      </c>
      <c r="E10" s="48">
        <v>44774</v>
      </c>
      <c r="F10" s="9">
        <f>(1+'Task d'!C18)*F9+'Task g data'!D10</f>
        <v>13206.82200686167</v>
      </c>
      <c r="I10" s="5">
        <f t="shared" ca="1" si="0"/>
        <v>-0.15018884911797076</v>
      </c>
      <c r="J10" s="5">
        <f t="shared" ca="1" si="2"/>
        <v>6.280328808490979E-3</v>
      </c>
      <c r="K10" s="9">
        <f t="shared" ca="1" si="3"/>
        <v>15027.722354297815</v>
      </c>
      <c r="L10" s="5">
        <v>7</v>
      </c>
      <c r="M10" s="9">
        <v>361741.21146583615</v>
      </c>
      <c r="P10" s="5">
        <v>7</v>
      </c>
      <c r="Q10" s="9">
        <f>0.6*'Task e simulation procedure'!P11+0.4*$F$124</f>
        <v>591624.71377792826</v>
      </c>
      <c r="T10" s="5">
        <v>7</v>
      </c>
      <c r="U10" s="9">
        <f t="shared" si="1"/>
        <v>591624.71377792826</v>
      </c>
      <c r="V10" s="5" t="s">
        <v>39</v>
      </c>
    </row>
    <row r="11" spans="1:23" outlineLevel="1" x14ac:dyDescent="0.2">
      <c r="D11" s="9">
        <v>1875</v>
      </c>
      <c r="E11" s="48">
        <v>44805</v>
      </c>
      <c r="F11" s="9">
        <f>(1+'Task d'!C19)*F10+'Task g data'!D11</f>
        <v>15109.023392617933</v>
      </c>
      <c r="I11" s="5">
        <f t="shared" ca="1" si="0"/>
        <v>-7.706251531048483E-2</v>
      </c>
      <c r="J11" s="5">
        <f t="shared" ca="1" si="2"/>
        <v>6.2092237548546899E-3</v>
      </c>
      <c r="K11" s="9">
        <f t="shared" ca="1" si="3"/>
        <v>16910.50024061944</v>
      </c>
      <c r="L11" s="5">
        <v>8</v>
      </c>
      <c r="M11" s="9">
        <v>361975.22592216684</v>
      </c>
      <c r="P11" s="5">
        <v>8</v>
      </c>
      <c r="Q11" s="9">
        <f>0.6*'Task e simulation procedure'!P12+0.4*$F$124</f>
        <v>582293.28036847792</v>
      </c>
      <c r="T11" s="5">
        <v>8</v>
      </c>
      <c r="U11" s="9">
        <f t="shared" si="1"/>
        <v>582293.28036847792</v>
      </c>
      <c r="V11" s="5" t="s">
        <v>39</v>
      </c>
    </row>
    <row r="12" spans="1:23" outlineLevel="1" x14ac:dyDescent="0.2">
      <c r="D12" s="9">
        <v>1875</v>
      </c>
      <c r="E12" s="48">
        <v>44835</v>
      </c>
      <c r="F12" s="9">
        <f>(1+'Task d'!C20)*F11+'Task g data'!D12</f>
        <v>17015.134130694729</v>
      </c>
      <c r="I12" s="5">
        <f t="shared" ca="1" si="0"/>
        <v>2.4660826516378152E-2</v>
      </c>
      <c r="J12" s="5">
        <f t="shared" ca="1" si="2"/>
        <v>6.1761394826417987E-3</v>
      </c>
      <c r="K12" s="9">
        <f t="shared" ca="1" si="3"/>
        <v>18794.205948097195</v>
      </c>
      <c r="L12" s="5">
        <v>9</v>
      </c>
      <c r="M12" s="9">
        <v>362516.89049123105</v>
      </c>
      <c r="P12" s="5">
        <v>9</v>
      </c>
      <c r="Q12" s="9">
        <f>0.6*'Task e simulation procedure'!P13+0.4*$F$124</f>
        <v>587578.1614023475</v>
      </c>
      <c r="T12" s="5">
        <v>9</v>
      </c>
      <c r="U12" s="9">
        <f t="shared" si="1"/>
        <v>587578.1614023475</v>
      </c>
      <c r="V12" s="5" t="s">
        <v>39</v>
      </c>
    </row>
    <row r="13" spans="1:23" outlineLevel="1" x14ac:dyDescent="0.2">
      <c r="D13" s="9">
        <v>1875</v>
      </c>
      <c r="E13" s="48">
        <v>44866</v>
      </c>
      <c r="F13" s="9">
        <f>(1+'Task d'!C21)*F12+'Task g data'!D13</f>
        <v>18925.18640798968</v>
      </c>
      <c r="I13" s="5">
        <f t="shared" ca="1" si="0"/>
        <v>1.6042256038668223E-2</v>
      </c>
      <c r="J13" s="5">
        <f t="shared" ca="1" si="2"/>
        <v>6.1950605063787597E-3</v>
      </c>
      <c r="K13" s="9">
        <f t="shared" ca="1" si="3"/>
        <v>20678.911056622066</v>
      </c>
      <c r="L13" s="5">
        <v>10</v>
      </c>
      <c r="M13" s="9">
        <v>361951.54547810205</v>
      </c>
      <c r="P13" s="5">
        <v>10</v>
      </c>
      <c r="Q13" s="9">
        <f>0.6*'Task e simulation procedure'!P14+0.4*$F$124</f>
        <v>579638.29795271263</v>
      </c>
      <c r="T13" s="5">
        <v>10</v>
      </c>
      <c r="U13" s="9">
        <f t="shared" si="1"/>
        <v>579638.29795271263</v>
      </c>
      <c r="V13" s="5" t="s">
        <v>39</v>
      </c>
    </row>
    <row r="14" spans="1:23" outlineLevel="1" x14ac:dyDescent="0.2">
      <c r="D14" s="9">
        <v>1875</v>
      </c>
      <c r="E14" s="48">
        <v>44896</v>
      </c>
      <c r="F14" s="9">
        <f>(1+'Task d'!C22)*F13+'Task g data'!D14</f>
        <v>20839.220650722953</v>
      </c>
      <c r="I14" s="5">
        <f t="shared" ca="1" si="0"/>
        <v>-6.5642172363355233E-2</v>
      </c>
      <c r="J14" s="5">
        <f t="shared" ca="1" si="2"/>
        <v>6.2095375739369416E-3</v>
      </c>
      <c r="K14" s="9">
        <f t="shared" ca="1" si="3"/>
        <v>22564.614365257632</v>
      </c>
      <c r="L14" s="5">
        <v>11</v>
      </c>
      <c r="M14" s="9">
        <v>363124.34772833542</v>
      </c>
      <c r="P14" s="5">
        <v>11</v>
      </c>
      <c r="Q14" s="9">
        <f>0.6*'Task e simulation procedure'!P15+0.4*$F$124</f>
        <v>587924.57105454488</v>
      </c>
      <c r="T14" s="5">
        <v>11</v>
      </c>
      <c r="U14" s="9">
        <f t="shared" si="1"/>
        <v>587924.57105454488</v>
      </c>
      <c r="V14" s="5" t="s">
        <v>39</v>
      </c>
    </row>
    <row r="15" spans="1:23" outlineLevel="1" x14ac:dyDescent="0.2">
      <c r="D15" s="9">
        <v>1875</v>
      </c>
      <c r="E15" s="48">
        <v>44927</v>
      </c>
      <c r="F15" s="9">
        <f>(1+'Task d'!C23)*F14+'Task g data'!D15</f>
        <v>22757.285306682399</v>
      </c>
      <c r="I15" s="5">
        <f t="shared" ca="1" si="0"/>
        <v>-7.0076083630099345E-2</v>
      </c>
      <c r="J15" s="5">
        <f t="shared" ca="1" si="2"/>
        <v>6.1822800030976897E-3</v>
      </c>
      <c r="K15" s="9">
        <f t="shared" ca="1" si="3"/>
        <v>24451.242424010896</v>
      </c>
      <c r="L15" s="5">
        <v>12</v>
      </c>
      <c r="M15" s="9">
        <v>362413.76383749343</v>
      </c>
      <c r="P15" s="5">
        <v>12</v>
      </c>
      <c r="Q15" s="9">
        <f>0.6*'Task e simulation procedure'!P16+0.4*$F$124</f>
        <v>576795.39025205909</v>
      </c>
      <c r="T15" s="5">
        <v>12</v>
      </c>
      <c r="U15" s="9">
        <f t="shared" si="1"/>
        <v>576795.39025205909</v>
      </c>
      <c r="V15" s="5" t="s">
        <v>39</v>
      </c>
    </row>
    <row r="16" spans="1:23" outlineLevel="1" x14ac:dyDescent="0.2">
      <c r="D16" s="9">
        <v>1950</v>
      </c>
      <c r="E16" s="48">
        <v>44958</v>
      </c>
      <c r="F16" s="9">
        <f>(1+'Task d'!C24)*F15+'Task g data'!D16</f>
        <v>24754.436626335282</v>
      </c>
      <c r="I16" s="5">
        <f t="shared" ca="1" si="0"/>
        <v>-9.9579303543842566E-3</v>
      </c>
      <c r="J16" s="5">
        <f t="shared" ca="1" si="2"/>
        <v>6.1529380434995314E-3</v>
      </c>
      <c r="K16" s="9">
        <f t="shared" ca="1" si="3"/>
        <v>26413.782887075118</v>
      </c>
      <c r="L16" s="5">
        <v>13</v>
      </c>
      <c r="M16" s="9">
        <v>362740.65649077081</v>
      </c>
      <c r="P16" s="5">
        <v>13</v>
      </c>
      <c r="Q16" s="9">
        <f>0.6*'Task e simulation procedure'!P17+0.4*$F$124</f>
        <v>580369.32998576714</v>
      </c>
      <c r="T16" s="5">
        <v>13</v>
      </c>
      <c r="U16" s="9">
        <f t="shared" si="1"/>
        <v>580369.32998576714</v>
      </c>
      <c r="V16" s="5" t="s">
        <v>39</v>
      </c>
    </row>
    <row r="17" spans="4:22" outlineLevel="1" x14ac:dyDescent="0.2">
      <c r="D17" s="9">
        <v>1950</v>
      </c>
      <c r="E17" s="48">
        <v>44986</v>
      </c>
      <c r="F17" s="9">
        <f>(1+'Task d'!C25)*F16+'Task g data'!D17</f>
        <v>26755.894347483543</v>
      </c>
      <c r="I17" s="5">
        <f t="shared" ca="1" si="0"/>
        <v>3.1851306911044645E-2</v>
      </c>
      <c r="J17" s="5">
        <f t="shared" ca="1" si="2"/>
        <v>6.154332221417879E-3</v>
      </c>
      <c r="K17" s="9">
        <f t="shared" ca="1" si="3"/>
        <v>28377.332961023101</v>
      </c>
      <c r="L17" s="5">
        <v>14</v>
      </c>
      <c r="M17" s="9">
        <v>362634.59458353074</v>
      </c>
      <c r="P17" s="5">
        <v>14</v>
      </c>
      <c r="Q17" s="9">
        <f>0.6*'Task e simulation procedure'!P18+0.4*$F$124</f>
        <v>583149.65813396289</v>
      </c>
      <c r="T17" s="5">
        <v>14</v>
      </c>
      <c r="U17" s="9">
        <f t="shared" si="1"/>
        <v>583149.65813396289</v>
      </c>
      <c r="V17" s="5" t="s">
        <v>39</v>
      </c>
    </row>
    <row r="18" spans="4:22" outlineLevel="1" x14ac:dyDescent="0.2">
      <c r="D18" s="9">
        <v>1950</v>
      </c>
      <c r="E18" s="48">
        <v>45017</v>
      </c>
      <c r="F18" s="9">
        <f>(1+'Task d'!C26)*F17+'Task g data'!D18</f>
        <v>28761.731216655782</v>
      </c>
      <c r="I18" s="5">
        <f t="shared" ca="1" si="0"/>
        <v>-3.2560900627989199E-2</v>
      </c>
      <c r="J18" s="5">
        <f t="shared" ca="1" si="2"/>
        <v>6.1769647240306159E-3</v>
      </c>
      <c r="K18" s="9">
        <f t="shared" ca="1" si="3"/>
        <v>30341.943869883537</v>
      </c>
      <c r="L18" s="5">
        <v>15</v>
      </c>
      <c r="M18" s="9">
        <v>362179.75084172474</v>
      </c>
      <c r="P18" s="5">
        <v>15</v>
      </c>
      <c r="Q18" s="9">
        <f>0.6*'Task e simulation procedure'!P19+0.4*$F$124</f>
        <v>573763.60111258447</v>
      </c>
      <c r="T18" s="5">
        <v>15</v>
      </c>
      <c r="U18" s="9">
        <f t="shared" si="1"/>
        <v>573763.60111258447</v>
      </c>
      <c r="V18" s="5" t="s">
        <v>39</v>
      </c>
    </row>
    <row r="19" spans="4:22" outlineLevel="1" x14ac:dyDescent="0.2">
      <c r="D19" s="9">
        <v>1950</v>
      </c>
      <c r="E19" s="48">
        <v>45047</v>
      </c>
      <c r="F19" s="9">
        <f>(1+'Task d'!C27)*F18+'Task g data'!D19</f>
        <v>30772.027428236506</v>
      </c>
      <c r="I19" s="5">
        <f t="shared" ca="1" si="0"/>
        <v>9.351912834353672E-2</v>
      </c>
      <c r="J19" s="5">
        <f t="shared" ca="1" si="2"/>
        <v>6.166754768784968E-3</v>
      </c>
      <c r="K19" s="9">
        <f t="shared" ca="1" si="3"/>
        <v>32307.540487649654</v>
      </c>
      <c r="L19" s="5">
        <v>16</v>
      </c>
      <c r="M19" s="9">
        <v>362340.8131195968</v>
      </c>
      <c r="P19" s="5">
        <v>16</v>
      </c>
      <c r="Q19" s="9">
        <f>0.6*'Task e simulation procedure'!P20+0.4*$F$124</f>
        <v>579118.56867094547</v>
      </c>
      <c r="T19" s="5">
        <v>16</v>
      </c>
      <c r="U19" s="9">
        <f t="shared" si="1"/>
        <v>579118.56867094547</v>
      </c>
      <c r="V19" s="5" t="s">
        <v>39</v>
      </c>
    </row>
    <row r="20" spans="4:22" outlineLevel="1" x14ac:dyDescent="0.2">
      <c r="D20" s="9">
        <v>1950</v>
      </c>
      <c r="E20" s="48">
        <v>45078</v>
      </c>
      <c r="F20" s="9">
        <f>(1+'Task d'!C28)*F19+'Task g data'!D20</f>
        <v>32786.870393537647</v>
      </c>
      <c r="I20" s="5">
        <f t="shared" ca="1" si="0"/>
        <v>3.5574477210103331E-2</v>
      </c>
      <c r="J20" s="5">
        <f t="shared" ca="1" si="2"/>
        <v>6.2207241201404475E-3</v>
      </c>
      <c r="K20" s="9">
        <f t="shared" ca="1" si="3"/>
        <v>34274.292854132749</v>
      </c>
      <c r="L20" s="5">
        <v>17</v>
      </c>
      <c r="M20" s="9">
        <v>363011.64112848468</v>
      </c>
      <c r="P20" s="5">
        <v>17</v>
      </c>
      <c r="Q20" s="9">
        <f>0.6*'Task e simulation procedure'!P21+0.4*$F$124</f>
        <v>591894.73467897368</v>
      </c>
      <c r="T20" s="5">
        <v>17</v>
      </c>
      <c r="U20" s="9">
        <f t="shared" si="1"/>
        <v>591894.73467897368</v>
      </c>
      <c r="V20" s="5" t="s">
        <v>39</v>
      </c>
    </row>
    <row r="21" spans="4:22" outlineLevel="1" x14ac:dyDescent="0.2">
      <c r="D21" s="9">
        <v>1950</v>
      </c>
      <c r="E21" s="48">
        <v>45108</v>
      </c>
      <c r="F21" s="9">
        <f>(1+'Task d'!C29)*F20+'Task g data'!D21</f>
        <v>34806.354509225494</v>
      </c>
      <c r="I21" s="5">
        <f t="shared" ca="1" si="0"/>
        <v>1.0308961309664934E-2</v>
      </c>
      <c r="J21" s="5">
        <f t="shared" ca="1" si="2"/>
        <v>6.2451019626020027E-3</v>
      </c>
      <c r="K21" s="9">
        <f t="shared" ca="1" si="3"/>
        <v>36242.134700867238</v>
      </c>
      <c r="L21" s="5">
        <v>18</v>
      </c>
      <c r="M21" s="9">
        <v>362590.52270691004</v>
      </c>
      <c r="P21" s="5">
        <v>18</v>
      </c>
      <c r="Q21" s="9">
        <f>0.6*'Task e simulation procedure'!P22+0.4*$F$124</f>
        <v>579174.17609208939</v>
      </c>
      <c r="T21" s="5">
        <v>18</v>
      </c>
      <c r="U21" s="9">
        <f t="shared" si="1"/>
        <v>579174.17609208939</v>
      </c>
      <c r="V21" s="5" t="s">
        <v>39</v>
      </c>
    </row>
    <row r="22" spans="4:22" outlineLevel="1" x14ac:dyDescent="0.2">
      <c r="D22" s="9">
        <v>1950</v>
      </c>
      <c r="E22" s="48">
        <v>45139</v>
      </c>
      <c r="F22" s="9">
        <f>(1+'Task d'!C30)*F21+'Task g data'!D22</f>
        <v>36830.580925167669</v>
      </c>
      <c r="I22" s="5">
        <f t="shared" ca="1" si="0"/>
        <v>-6.7931219750110419E-2</v>
      </c>
      <c r="J22" s="5">
        <f t="shared" ca="1" si="2"/>
        <v>6.2564937112861334E-3</v>
      </c>
      <c r="K22" s="9">
        <f t="shared" ca="1" si="3"/>
        <v>38211.035351584156</v>
      </c>
      <c r="L22" s="5">
        <v>19</v>
      </c>
      <c r="M22" s="9">
        <v>362475.48364985583</v>
      </c>
      <c r="P22" s="5">
        <v>19</v>
      </c>
      <c r="Q22" s="9">
        <f>0.6*'Task e simulation procedure'!P23+0.4*$F$124</f>
        <v>578856.0651173112</v>
      </c>
      <c r="T22" s="5">
        <v>19</v>
      </c>
      <c r="U22" s="9">
        <f t="shared" si="1"/>
        <v>578856.0651173112</v>
      </c>
      <c r="V22" s="5" t="s">
        <v>39</v>
      </c>
    </row>
    <row r="23" spans="4:22" outlineLevel="1" x14ac:dyDescent="0.2">
      <c r="D23" s="9">
        <v>1950</v>
      </c>
      <c r="E23" s="48">
        <v>45170</v>
      </c>
      <c r="F23" s="9">
        <f>(1+'Task d'!C31)*F22+'Task g data'!D23</f>
        <v>38859.657311746414</v>
      </c>
      <c r="I23" s="5">
        <f t="shared" ca="1" si="0"/>
        <v>-7.7914286660498017E-2</v>
      </c>
      <c r="J23" s="5">
        <f t="shared" ca="1" si="2"/>
        <v>6.2277646205616275E-3</v>
      </c>
      <c r="K23" s="9">
        <f t="shared" ca="1" si="3"/>
        <v>40180.871276206643</v>
      </c>
      <c r="L23" s="5">
        <v>20</v>
      </c>
      <c r="M23" s="9">
        <v>363108.54437079694</v>
      </c>
      <c r="P23" s="5">
        <v>20</v>
      </c>
      <c r="Q23" s="9">
        <f>0.6*'Task e simulation procedure'!P24+0.4*$F$124</f>
        <v>591419.7877596803</v>
      </c>
      <c r="T23" s="5">
        <v>20</v>
      </c>
      <c r="U23" s="9">
        <f t="shared" si="1"/>
        <v>591419.7877596803</v>
      </c>
      <c r="V23" s="5" t="s">
        <v>39</v>
      </c>
    </row>
    <row r="24" spans="4:22" outlineLevel="1" x14ac:dyDescent="0.2">
      <c r="D24" s="9">
        <v>1950</v>
      </c>
      <c r="E24" s="48">
        <v>45200</v>
      </c>
      <c r="F24" s="9">
        <f>(1+'Task d'!C32)*F23+'Task g data'!D24</f>
        <v>40893.697626674824</v>
      </c>
      <c r="I24" s="5">
        <f t="shared" ca="1" si="0"/>
        <v>5.5159423826597206E-2</v>
      </c>
      <c r="J24" s="5">
        <f t="shared" ca="1" si="2"/>
        <v>6.1941182370301197E-3</v>
      </c>
      <c r="K24" s="9">
        <f t="shared" ca="1" si="3"/>
        <v>42151.617052283247</v>
      </c>
      <c r="L24" s="5">
        <v>21</v>
      </c>
      <c r="M24" s="9">
        <v>362113.1578712911</v>
      </c>
      <c r="P24" s="5">
        <v>21</v>
      </c>
      <c r="Q24" s="9">
        <f>0.6*'Task e simulation procedure'!P25+0.4*$F$124</f>
        <v>582417.59627910308</v>
      </c>
      <c r="T24" s="5">
        <v>21</v>
      </c>
      <c r="U24" s="9">
        <f t="shared" si="1"/>
        <v>582417.59627910308</v>
      </c>
      <c r="V24" s="5" t="s">
        <v>39</v>
      </c>
    </row>
    <row r="25" spans="4:22" outlineLevel="1" x14ac:dyDescent="0.2">
      <c r="D25" s="9">
        <v>1950</v>
      </c>
      <c r="E25" s="48">
        <v>45231</v>
      </c>
      <c r="F25" s="9">
        <f>(1+'Task d'!C33)*F24+'Task g data'!D25</f>
        <v>42932.821881332857</v>
      </c>
      <c r="I25" s="5">
        <f t="shared" ca="1" si="0"/>
        <v>4.4703441787704273E-2</v>
      </c>
      <c r="J25" s="5">
        <f t="shared" ca="1" si="2"/>
        <v>6.2285384119454851E-3</v>
      </c>
      <c r="K25" s="9">
        <f t="shared" ca="1" si="3"/>
        <v>44123.501311742861</v>
      </c>
      <c r="L25" s="5">
        <v>22</v>
      </c>
      <c r="M25" s="9">
        <v>362660.03071239049</v>
      </c>
      <c r="P25" s="5">
        <v>22</v>
      </c>
      <c r="Q25" s="9">
        <f>0.6*'Task e simulation procedure'!P26+0.4*$F$124</f>
        <v>583818.86786945036</v>
      </c>
      <c r="T25" s="5">
        <v>22</v>
      </c>
      <c r="U25" s="9">
        <f t="shared" si="1"/>
        <v>583818.86786945036</v>
      </c>
      <c r="V25" s="5" t="s">
        <v>39</v>
      </c>
    </row>
    <row r="26" spans="4:22" outlineLevel="1" x14ac:dyDescent="0.2">
      <c r="D26" s="9">
        <v>1950</v>
      </c>
      <c r="E26" s="48">
        <v>45261</v>
      </c>
      <c r="F26" s="9">
        <f>(1+'Task d'!C34)*F25+'Task g data'!D26</f>
        <v>44977.155906632041</v>
      </c>
      <c r="I26" s="5">
        <f t="shared" ca="1" si="0"/>
        <v>4.9471781234105339E-2</v>
      </c>
      <c r="J26" s="5">
        <f t="shared" ca="1" si="2"/>
        <v>6.2575654510279525E-3</v>
      </c>
      <c r="K26" s="9">
        <f t="shared" ca="1" si="3"/>
        <v>46096.516120031447</v>
      </c>
      <c r="L26" s="5">
        <v>23</v>
      </c>
      <c r="M26" s="9">
        <v>362884.67717971571</v>
      </c>
      <c r="P26" s="5">
        <v>23</v>
      </c>
      <c r="Q26" s="9">
        <f>0.6*'Task e simulation procedure'!P27+0.4*$F$124</f>
        <v>580877.00750612933</v>
      </c>
      <c r="T26" s="5">
        <v>23</v>
      </c>
      <c r="U26" s="9">
        <f t="shared" si="1"/>
        <v>580877.00750612933</v>
      </c>
      <c r="V26" s="5" t="s">
        <v>39</v>
      </c>
    </row>
    <row r="27" spans="4:22" outlineLevel="1" x14ac:dyDescent="0.2">
      <c r="D27" s="9">
        <v>1950</v>
      </c>
      <c r="E27" s="48">
        <v>45292</v>
      </c>
      <c r="F27" s="9">
        <f>(1+'Task d'!C35)*F26+'Task g data'!D27</f>
        <v>47026.831118399234</v>
      </c>
      <c r="I27" s="5">
        <f t="shared" ca="1" si="0"/>
        <v>-2.7787918723492112E-2</v>
      </c>
      <c r="J27" s="5">
        <f t="shared" ca="1" si="2"/>
        <v>6.2889822383027224E-3</v>
      </c>
      <c r="K27" s="9">
        <f t="shared" ca="1" si="3"/>
        <v>48070.680799207148</v>
      </c>
      <c r="L27" s="5">
        <v>24</v>
      </c>
      <c r="M27" s="9">
        <v>362030.64522340649</v>
      </c>
      <c r="P27" s="5">
        <v>24</v>
      </c>
      <c r="Q27" s="9">
        <f>0.6*'Task e simulation procedure'!P28+0.4*$F$124</f>
        <v>581113.95830233721</v>
      </c>
      <c r="T27" s="5">
        <v>24</v>
      </c>
      <c r="U27" s="9">
        <f t="shared" si="1"/>
        <v>581113.95830233721</v>
      </c>
      <c r="V27" s="5" t="s">
        <v>39</v>
      </c>
    </row>
    <row r="28" spans="4:22" outlineLevel="1" x14ac:dyDescent="0.2">
      <c r="D28" s="9">
        <v>2320.4999999999995</v>
      </c>
      <c r="E28" s="48">
        <v>45323</v>
      </c>
      <c r="F28" s="9">
        <f>(1+'Task d'!C36)*F27+'Task g data'!D28</f>
        <v>49452.484282262929</v>
      </c>
      <c r="I28" s="5">
        <f t="shared" ca="1" si="0"/>
        <v>0.19788349443438996</v>
      </c>
      <c r="J28" s="5">
        <f t="shared" ca="1" si="2"/>
        <v>6.2806631010897864E-3</v>
      </c>
      <c r="K28" s="9">
        <f t="shared" ca="1" si="3"/>
        <v>50416.347030420133</v>
      </c>
      <c r="L28" s="5">
        <v>25</v>
      </c>
      <c r="M28" s="9">
        <v>362829.17351243779</v>
      </c>
      <c r="P28" s="5">
        <v>25</v>
      </c>
      <c r="Q28" s="9">
        <f>0.6*'Task e simulation procedure'!P29+0.4*$F$124</f>
        <v>589371.40315735294</v>
      </c>
      <c r="T28" s="5">
        <v>25</v>
      </c>
      <c r="U28" s="9">
        <f t="shared" si="1"/>
        <v>589371.40315735294</v>
      </c>
      <c r="V28" s="5" t="s">
        <v>39</v>
      </c>
    </row>
    <row r="29" spans="4:22" outlineLevel="1" x14ac:dyDescent="0.2">
      <c r="D29" s="9">
        <v>2320.4999999999995</v>
      </c>
      <c r="E29" s="48">
        <v>45352</v>
      </c>
      <c r="F29" s="9">
        <f>(1+'Task d'!C37)*F28+'Task g data'!D29</f>
        <v>51884.593458440031</v>
      </c>
      <c r="I29" s="5">
        <f t="shared" ca="1" si="0"/>
        <v>-3.2581805389082464E-3</v>
      </c>
      <c r="J29" s="5">
        <f t="shared" ca="1" si="2"/>
        <v>6.388222516687983E-3</v>
      </c>
      <c r="K29" s="9">
        <f t="shared" ca="1" si="3"/>
        <v>52763.693412589484</v>
      </c>
      <c r="L29" s="5">
        <v>26</v>
      </c>
      <c r="M29" s="9">
        <v>363036.23282317235</v>
      </c>
      <c r="P29" s="5">
        <v>26</v>
      </c>
      <c r="Q29" s="9">
        <f>0.6*'Task e simulation procedure'!P30+0.4*$F$124</f>
        <v>587219.2621755529</v>
      </c>
      <c r="T29" s="5">
        <v>26</v>
      </c>
      <c r="U29" s="9">
        <f t="shared" si="1"/>
        <v>587219.2621755529</v>
      </c>
      <c r="V29" s="5" t="s">
        <v>39</v>
      </c>
    </row>
    <row r="30" spans="4:22" outlineLevel="1" x14ac:dyDescent="0.2">
      <c r="D30" s="9">
        <v>2320.4999999999995</v>
      </c>
      <c r="E30" s="48">
        <v>45383</v>
      </c>
      <c r="F30" s="9">
        <f>(1+'Task d'!C38)*F29+'Task g data'!D30</f>
        <v>54323.32347435956</v>
      </c>
      <c r="I30" s="5">
        <f t="shared" ca="1" si="0"/>
        <v>-0.10784422628638869</v>
      </c>
      <c r="J30" s="5">
        <f t="shared" ca="1" si="2"/>
        <v>6.3921255474158828E-3</v>
      </c>
      <c r="K30" s="9">
        <f t="shared" ca="1" si="3"/>
        <v>55112.306912353779</v>
      </c>
      <c r="L30" s="5">
        <v>27</v>
      </c>
      <c r="M30" s="9">
        <v>362853.0726935222</v>
      </c>
      <c r="P30" s="5">
        <v>27</v>
      </c>
      <c r="Q30" s="9">
        <f>0.6*'Task e simulation procedure'!P31+0.4*$F$124</f>
        <v>585397.33181846282</v>
      </c>
      <c r="T30" s="5">
        <v>27</v>
      </c>
      <c r="U30" s="9">
        <f t="shared" si="1"/>
        <v>585397.33181846282</v>
      </c>
      <c r="V30" s="5" t="s">
        <v>39</v>
      </c>
    </row>
    <row r="31" spans="4:22" outlineLevel="1" x14ac:dyDescent="0.2">
      <c r="D31" s="9">
        <v>2320.4999999999995</v>
      </c>
      <c r="E31" s="48">
        <v>45413</v>
      </c>
      <c r="F31" s="9">
        <f>(1+'Task d'!C39)*F30+'Task g data'!D31</f>
        <v>56768.844904485064</v>
      </c>
      <c r="I31" s="5">
        <f t="shared" ca="1" si="0"/>
        <v>4.0039803127877555E-2</v>
      </c>
      <c r="J31" s="5">
        <f t="shared" ca="1" si="2"/>
        <v>6.3418547793551707E-3</v>
      </c>
      <c r="K31" s="9">
        <f t="shared" ca="1" si="3"/>
        <v>57461.940797377974</v>
      </c>
      <c r="L31" s="5">
        <v>28</v>
      </c>
      <c r="M31" s="9">
        <v>362704.79689935473</v>
      </c>
      <c r="P31" s="5">
        <v>28</v>
      </c>
      <c r="Q31" s="9">
        <f>0.6*'Task e simulation procedure'!P32+0.4*$F$124</f>
        <v>586315.17202468764</v>
      </c>
      <c r="T31" s="5">
        <v>28</v>
      </c>
      <c r="U31" s="9">
        <f t="shared" si="1"/>
        <v>586315.17202468764</v>
      </c>
      <c r="V31" s="5" t="s">
        <v>39</v>
      </c>
    </row>
    <row r="32" spans="4:22" outlineLevel="1" x14ac:dyDescent="0.2">
      <c r="D32" s="9">
        <v>2320.4999999999995</v>
      </c>
      <c r="E32" s="48">
        <v>45444</v>
      </c>
      <c r="F32" s="9">
        <f>(1+'Task d'!C40)*F31+'Task g data'!D32</f>
        <v>59221.333788856842</v>
      </c>
      <c r="I32" s="5">
        <f t="shared" ca="1" si="0"/>
        <v>3.7970434164022571E-2</v>
      </c>
      <c r="J32" s="5">
        <f t="shared" ca="1" si="2"/>
        <v>6.3682672831886561E-3</v>
      </c>
      <c r="K32" s="9">
        <f t="shared" ca="1" si="3"/>
        <v>59812.943306801681</v>
      </c>
      <c r="L32" s="5">
        <v>29</v>
      </c>
      <c r="M32" s="9">
        <v>362518.76868189999</v>
      </c>
      <c r="P32" s="5">
        <v>29</v>
      </c>
      <c r="Q32" s="9">
        <f>0.6*'Task e simulation procedure'!P33+0.4*$F$124</f>
        <v>582549.4219930378</v>
      </c>
      <c r="T32" s="5">
        <v>29</v>
      </c>
      <c r="U32" s="9">
        <f t="shared" si="1"/>
        <v>582549.4219930378</v>
      </c>
      <c r="V32" s="5" t="s">
        <v>39</v>
      </c>
    </row>
    <row r="33" spans="4:22" outlineLevel="1" x14ac:dyDescent="0.2">
      <c r="D33" s="9">
        <v>2320.4999999999995</v>
      </c>
      <c r="E33" s="48">
        <v>45474</v>
      </c>
      <c r="F33" s="9">
        <f>(1+'Task d'!C41)*F32+'Task g data'!D33</f>
        <v>61680.971350743945</v>
      </c>
      <c r="I33" s="5">
        <f t="shared" ca="1" si="0"/>
        <v>-0.12495045225542985</v>
      </c>
      <c r="J33" s="5">
        <f t="shared" ca="1" si="2"/>
        <v>6.3935561928022177E-3</v>
      </c>
      <c r="K33" s="9">
        <f t="shared" ca="1" si="3"/>
        <v>62165.319915758788</v>
      </c>
      <c r="L33" s="5">
        <v>30</v>
      </c>
      <c r="M33" s="9">
        <v>362442.63678611652</v>
      </c>
      <c r="P33" s="5">
        <v>30</v>
      </c>
      <c r="Q33" s="9">
        <f>0.6*'Task e simulation procedure'!P34+0.4*$F$124</f>
        <v>574709.82977351127</v>
      </c>
      <c r="T33" s="5">
        <v>30</v>
      </c>
      <c r="U33" s="9">
        <f t="shared" si="1"/>
        <v>574709.82977351127</v>
      </c>
      <c r="V33" s="5" t="s">
        <v>39</v>
      </c>
    </row>
    <row r="34" spans="4:22" outlineLevel="1" x14ac:dyDescent="0.2">
      <c r="D34" s="9">
        <v>2320.4999999999995</v>
      </c>
      <c r="E34" s="48">
        <v>45505</v>
      </c>
      <c r="F34" s="9">
        <f>(1+'Task d'!C42)*F33+'Task g data'!D34</f>
        <v>64147.943713311513</v>
      </c>
      <c r="I34" s="5">
        <f t="shared" ca="1" si="0"/>
        <v>-1.7153147306682045E-2</v>
      </c>
      <c r="J34" s="5">
        <f t="shared" ca="1" si="2"/>
        <v>6.3344146252717285E-3</v>
      </c>
      <c r="K34" s="9">
        <f t="shared" ca="1" si="3"/>
        <v>64518.643654266918</v>
      </c>
      <c r="L34" s="5">
        <v>31</v>
      </c>
      <c r="M34" s="9">
        <v>362279.47957353859</v>
      </c>
      <c r="P34" s="5">
        <v>31</v>
      </c>
      <c r="Q34" s="9">
        <f>0.6*'Task e simulation procedure'!P35+0.4*$F$124</f>
        <v>575199.21093707497</v>
      </c>
      <c r="T34" s="5">
        <v>31</v>
      </c>
      <c r="U34" s="9">
        <f t="shared" si="1"/>
        <v>575199.21093707497</v>
      </c>
      <c r="V34" s="5" t="s">
        <v>39</v>
      </c>
    </row>
    <row r="35" spans="4:22" outlineLevel="1" x14ac:dyDescent="0.2">
      <c r="D35" s="9">
        <v>2320.4999999999995</v>
      </c>
      <c r="E35" s="48">
        <v>45536</v>
      </c>
      <c r="F35" s="9">
        <f>(1+'Task d'!C43)*F34+'Task g data'!D35</f>
        <v>66622.441615195421</v>
      </c>
      <c r="I35" s="5">
        <f t="shared" ca="1" si="0"/>
        <v>-9.2407418021131615E-2</v>
      </c>
      <c r="J35" s="5">
        <f t="shared" ca="1" si="2"/>
        <v>6.3313594597305192E-3</v>
      </c>
      <c r="K35" s="9">
        <f t="shared" ca="1" si="3"/>
        <v>66873.193529796205</v>
      </c>
      <c r="L35" s="5">
        <v>32</v>
      </c>
      <c r="M35" s="9">
        <v>362266.99152112514</v>
      </c>
      <c r="P35" s="5">
        <v>32</v>
      </c>
      <c r="Q35" s="9">
        <f>0.6*'Task e simulation procedure'!P36+0.4*$F$124</f>
        <v>580275.2636811859</v>
      </c>
      <c r="T35" s="5">
        <v>32</v>
      </c>
      <c r="U35" s="9">
        <f t="shared" si="1"/>
        <v>580275.2636811859</v>
      </c>
      <c r="V35" s="5" t="s">
        <v>39</v>
      </c>
    </row>
    <row r="36" spans="4:22" outlineLevel="1" x14ac:dyDescent="0.2">
      <c r="D36" s="9">
        <v>2320.4999999999995</v>
      </c>
      <c r="E36" s="48">
        <v>45566</v>
      </c>
      <c r="F36" s="9">
        <f>(1+'Task d'!C44)*F35+'Task g data'!D36</f>
        <v>69104.660124872549</v>
      </c>
      <c r="I36" s="5">
        <f t="shared" ref="I36:I67" ca="1" si="4">_xlfn.NORM.INV(RAND(),0,Deltat)</f>
        <v>-0.19433604322579723</v>
      </c>
      <c r="J36" s="5">
        <f t="shared" ca="1" si="2"/>
        <v>6.289533558026408E-3</v>
      </c>
      <c r="K36" s="9">
        <f t="shared" ca="1" si="3"/>
        <v>69228.752816336739</v>
      </c>
      <c r="L36" s="5">
        <v>33</v>
      </c>
      <c r="M36" s="9">
        <v>362348.31880480889</v>
      </c>
      <c r="P36" s="5">
        <v>33</v>
      </c>
      <c r="Q36" s="9">
        <f>0.6*'Task e simulation procedure'!P37+0.4*$F$124</f>
        <v>587808.54669804801</v>
      </c>
      <c r="T36" s="5">
        <v>33</v>
      </c>
      <c r="U36" s="9">
        <f t="shared" si="1"/>
        <v>587808.54669804801</v>
      </c>
      <c r="V36" s="5" t="s">
        <v>39</v>
      </c>
    </row>
    <row r="37" spans="4:22" outlineLevel="1" x14ac:dyDescent="0.2">
      <c r="D37" s="9">
        <v>2320.4999999999995</v>
      </c>
      <c r="E37" s="48">
        <v>45597</v>
      </c>
      <c r="F37" s="9">
        <f>(1+'Task d'!C45)*F36+'Task g data'!D37</f>
        <v>71594.798353689475</v>
      </c>
      <c r="I37" s="5">
        <f t="shared" ca="1" si="4"/>
        <v>1.563314740955182E-2</v>
      </c>
      <c r="J37" s="5">
        <f t="shared" ref="J37:J68" ca="1" si="5">J36+Kappa*(Theta-J36)*Deltat+Sigma*SQRT(J36)*I36</f>
        <v>6.1956612102364852E-3</v>
      </c>
      <c r="K37" s="9">
        <f t="shared" ref="K37:K68" ca="1" si="6">EXP(J37*Deltat)*K36+D37</f>
        <v>71585.005203317181</v>
      </c>
      <c r="L37" s="5">
        <v>34</v>
      </c>
      <c r="M37" s="9">
        <v>361860.11356430495</v>
      </c>
      <c r="P37" s="5">
        <v>34</v>
      </c>
      <c r="Q37" s="9">
        <f>0.6*'Task e simulation procedure'!P38+0.4*$F$124</f>
        <v>583928.59670034749</v>
      </c>
      <c r="T37" s="5">
        <v>34</v>
      </c>
      <c r="U37" s="9">
        <f t="shared" si="1"/>
        <v>583928.59670034749</v>
      </c>
      <c r="V37" s="5" t="s">
        <v>39</v>
      </c>
    </row>
    <row r="38" spans="4:22" outlineLevel="1" x14ac:dyDescent="0.2">
      <c r="D38" s="9">
        <v>2320.4999999999995</v>
      </c>
      <c r="E38" s="48">
        <v>45627</v>
      </c>
      <c r="F38" s="9">
        <f>(1+'Task d'!C46)*F37+'Task g data'!D38</f>
        <v>74093.059167414671</v>
      </c>
      <c r="I38" s="5">
        <f t="shared" ca="1" si="4"/>
        <v>-4.061372074068275E-2</v>
      </c>
      <c r="J38" s="5">
        <f t="shared" ca="1" si="5"/>
        <v>6.2099278970808641E-3</v>
      </c>
      <c r="K38" s="9">
        <f t="shared" ca="1" si="6"/>
        <v>73942.559600272856</v>
      </c>
      <c r="L38" s="5">
        <v>35</v>
      </c>
      <c r="M38" s="9">
        <v>363009.55794426193</v>
      </c>
      <c r="P38" s="5">
        <v>35</v>
      </c>
      <c r="Q38" s="9">
        <f>0.6*'Task e simulation procedure'!P39+0.4*$F$124</f>
        <v>583791.13353646267</v>
      </c>
      <c r="T38" s="5">
        <v>35</v>
      </c>
      <c r="U38" s="9">
        <f t="shared" si="1"/>
        <v>583791.13353646267</v>
      </c>
      <c r="V38" s="5" t="s">
        <v>39</v>
      </c>
    </row>
    <row r="39" spans="4:22" outlineLevel="1" x14ac:dyDescent="0.2">
      <c r="D39" s="9">
        <v>2320.4999999999995</v>
      </c>
      <c r="E39" s="48">
        <v>45658</v>
      </c>
      <c r="F39" s="9">
        <f>(1+'Task d'!C47)*F38+'Task g data'!D39</f>
        <v>76599.64889616998</v>
      </c>
      <c r="I39" s="5">
        <f t="shared" ca="1" si="4"/>
        <v>-4.5072149993973118E-2</v>
      </c>
      <c r="J39" s="5">
        <f t="shared" ca="1" si="5"/>
        <v>6.1954425536985278E-3</v>
      </c>
      <c r="K39" s="9">
        <f t="shared" ca="1" si="6"/>
        <v>76301.245030099279</v>
      </c>
      <c r="L39" s="5">
        <v>36</v>
      </c>
      <c r="M39" s="9">
        <v>362329.31947524328</v>
      </c>
      <c r="P39" s="5">
        <v>36</v>
      </c>
      <c r="Q39" s="9">
        <f>0.6*'Task e simulation procedure'!P40+0.4*$F$124</f>
        <v>584968.28227875999</v>
      </c>
      <c r="T39" s="5">
        <v>36</v>
      </c>
      <c r="U39" s="9">
        <f t="shared" si="1"/>
        <v>584968.28227875999</v>
      </c>
      <c r="V39" s="5" t="s">
        <v>39</v>
      </c>
    </row>
    <row r="40" spans="4:22" outlineLevel="1" x14ac:dyDescent="0.2">
      <c r="D40" s="9">
        <v>2413.3199999999997</v>
      </c>
      <c r="E40" s="48">
        <v>45689</v>
      </c>
      <c r="F40" s="9">
        <f>(1+'Task d'!C48)*F39+'Task g data'!D40</f>
        <v>79207.597042570531</v>
      </c>
      <c r="I40" s="5">
        <f t="shared" ca="1" si="4"/>
        <v>-9.9518274435505649E-2</v>
      </c>
      <c r="J40" s="5">
        <f t="shared" ca="1" si="5"/>
        <v>6.1787616127041553E-3</v>
      </c>
      <c r="K40" s="9">
        <f t="shared" ca="1" si="6"/>
        <v>78753.862413262308</v>
      </c>
      <c r="L40" s="5">
        <v>37</v>
      </c>
      <c r="M40" s="9">
        <v>362856.07079159754</v>
      </c>
      <c r="P40" s="5">
        <v>37</v>
      </c>
      <c r="Q40" s="9">
        <f>0.6*'Task e simulation procedure'!P41+0.4*$F$124</f>
        <v>581824.81964138011</v>
      </c>
      <c r="T40" s="5">
        <v>37</v>
      </c>
      <c r="U40" s="9">
        <f t="shared" si="1"/>
        <v>581824.81964138011</v>
      </c>
      <c r="V40" s="5" t="s">
        <v>39</v>
      </c>
    </row>
    <row r="41" spans="4:22" outlineLevel="1" x14ac:dyDescent="0.2">
      <c r="D41" s="9">
        <v>2413.3199999999997</v>
      </c>
      <c r="E41" s="48">
        <v>45717</v>
      </c>
      <c r="F41" s="9">
        <f>(1+'Task d'!C49)*F40+'Task g data'!D41</f>
        <v>81824.534598635772</v>
      </c>
      <c r="I41" s="5">
        <f t="shared" ca="1" si="4"/>
        <v>5.0705749274648916E-2</v>
      </c>
      <c r="J41" s="5">
        <f t="shared" ca="1" si="5"/>
        <v>6.1344529626810116E-3</v>
      </c>
      <c r="K41" s="9">
        <f t="shared" ca="1" si="6"/>
        <v>81207.452027437888</v>
      </c>
      <c r="L41" s="5">
        <v>38</v>
      </c>
      <c r="M41" s="9">
        <v>361508.50023726351</v>
      </c>
      <c r="P41" s="5">
        <v>38</v>
      </c>
      <c r="Q41" s="9">
        <f>0.6*'Task e simulation procedure'!P42+0.4*$F$124</f>
        <v>580244.51946305868</v>
      </c>
      <c r="T41" s="5">
        <v>38</v>
      </c>
      <c r="U41" s="9">
        <f t="shared" si="1"/>
        <v>580244.51946305868</v>
      </c>
      <c r="V41" s="5" t="s">
        <v>39</v>
      </c>
    </row>
    <row r="42" spans="4:22" outlineLevel="1" x14ac:dyDescent="0.2">
      <c r="D42" s="9">
        <v>2413.3199999999997</v>
      </c>
      <c r="E42" s="48">
        <v>45748</v>
      </c>
      <c r="F42" s="9">
        <f>(1+'Task d'!C50)*F41+'Task g data'!D42</f>
        <v>84450.682783088181</v>
      </c>
      <c r="I42" s="5">
        <f t="shared" ca="1" si="4"/>
        <v>6.4257508401352706E-2</v>
      </c>
      <c r="J42" s="5">
        <f t="shared" ca="1" si="5"/>
        <v>6.166697068979053E-3</v>
      </c>
      <c r="K42" s="9">
        <f t="shared" ca="1" si="6"/>
        <v>83662.514565118385</v>
      </c>
      <c r="L42" s="5">
        <v>39</v>
      </c>
      <c r="M42" s="9">
        <v>361993.41334756027</v>
      </c>
      <c r="P42" s="5">
        <v>39</v>
      </c>
      <c r="Q42" s="9">
        <f>0.6*'Task e simulation procedure'!P43+0.4*$F$124</f>
        <v>580859.31495601125</v>
      </c>
      <c r="T42" s="5">
        <v>39</v>
      </c>
      <c r="U42" s="9">
        <f t="shared" si="1"/>
        <v>580859.31495601125</v>
      </c>
      <c r="V42" s="5" t="s">
        <v>39</v>
      </c>
    </row>
    <row r="43" spans="4:22" outlineLevel="1" x14ac:dyDescent="0.2">
      <c r="D43" s="9">
        <v>2413.3199999999997</v>
      </c>
      <c r="E43" s="48">
        <v>45778</v>
      </c>
      <c r="F43" s="9">
        <f>(1+'Task d'!C51)*F42+'Task g data'!D43</f>
        <v>87086.265271535842</v>
      </c>
      <c r="I43" s="5">
        <f t="shared" ca="1" si="4"/>
        <v>5.3211849457289517E-2</v>
      </c>
      <c r="J43" s="5">
        <f t="shared" ca="1" si="5"/>
        <v>6.2057831324322799E-3</v>
      </c>
      <c r="K43" s="9">
        <f t="shared" ca="1" si="6"/>
        <v>86119.111706319003</v>
      </c>
      <c r="L43" s="5">
        <v>40</v>
      </c>
      <c r="M43" s="9">
        <v>362281.08622140455</v>
      </c>
      <c r="P43" s="5">
        <v>40</v>
      </c>
      <c r="Q43" s="9">
        <f>0.6*'Task e simulation procedure'!P44+0.4*$F$124</f>
        <v>589458.24996106513</v>
      </c>
      <c r="T43" s="5">
        <v>40</v>
      </c>
      <c r="U43" s="9">
        <f t="shared" si="1"/>
        <v>589458.24996106513</v>
      </c>
      <c r="V43" s="5" t="s">
        <v>39</v>
      </c>
    </row>
    <row r="44" spans="4:22" outlineLevel="1" x14ac:dyDescent="0.2">
      <c r="D44" s="9">
        <v>2413.3199999999997</v>
      </c>
      <c r="E44" s="48">
        <v>45809</v>
      </c>
      <c r="F44" s="9">
        <f>(1+'Task d'!C52)*F43+'Task g data'!D44</f>
        <v>89731.507884422375</v>
      </c>
      <c r="I44" s="5">
        <f t="shared" ca="1" si="4"/>
        <v>-0.15400014677076534</v>
      </c>
      <c r="J44" s="5">
        <f t="shared" ca="1" si="5"/>
        <v>6.2391932270566795E-3</v>
      </c>
      <c r="K44" s="9">
        <f t="shared" ca="1" si="6"/>
        <v>88577.219496836537</v>
      </c>
      <c r="L44" s="5">
        <v>41</v>
      </c>
      <c r="M44" s="9">
        <v>362777.67636200023</v>
      </c>
      <c r="P44" s="5">
        <v>41</v>
      </c>
      <c r="Q44" s="9">
        <f>0.6*'Task e simulation procedure'!P45+0.4*$F$124</f>
        <v>579112.08894244197</v>
      </c>
      <c r="T44" s="5">
        <v>41</v>
      </c>
      <c r="U44" s="9">
        <f t="shared" si="1"/>
        <v>579112.08894244197</v>
      </c>
      <c r="V44" s="5" t="s">
        <v>39</v>
      </c>
    </row>
    <row r="45" spans="4:22" outlineLevel="1" x14ac:dyDescent="0.2">
      <c r="D45" s="9">
        <v>2413.3199999999997</v>
      </c>
      <c r="E45" s="48">
        <v>45839</v>
      </c>
      <c r="F45" s="9">
        <f>(1+'Task d'!C53)*F44+'Task g data'!D45</f>
        <v>92386.638272217911</v>
      </c>
      <c r="I45" s="5">
        <f t="shared" ca="1" si="4"/>
        <v>5.4891747477822307E-2</v>
      </c>
      <c r="J45" s="5">
        <f t="shared" ca="1" si="5"/>
        <v>6.1665421617082047E-3</v>
      </c>
      <c r="K45" s="9">
        <f t="shared" ca="1" si="6"/>
        <v>91036.069124066038</v>
      </c>
      <c r="L45" s="5">
        <v>42</v>
      </c>
      <c r="M45" s="9">
        <v>362138.91051437234</v>
      </c>
      <c r="P45" s="5">
        <v>42</v>
      </c>
      <c r="Q45" s="9">
        <f>0.6*'Task e simulation procedure'!P46+0.4*$F$124</f>
        <v>587224.94306449813</v>
      </c>
      <c r="T45" s="5">
        <v>42</v>
      </c>
      <c r="U45" s="9">
        <f t="shared" si="1"/>
        <v>587224.94306449813</v>
      </c>
      <c r="V45" s="5" t="s">
        <v>39</v>
      </c>
    </row>
    <row r="46" spans="4:22" outlineLevel="1" x14ac:dyDescent="0.2">
      <c r="D46" s="9">
        <v>2413.3199999999997</v>
      </c>
      <c r="E46" s="48">
        <v>45870</v>
      </c>
      <c r="F46" s="9">
        <f>(1+'Task d'!C54)*F45+'Task g data'!D46</f>
        <v>95051.885597624991</v>
      </c>
      <c r="I46" s="5">
        <f t="shared" ca="1" si="4"/>
        <v>-8.9310736694213799E-2</v>
      </c>
      <c r="J46" s="5">
        <f t="shared" ca="1" si="5"/>
        <v>6.2008647555277536E-3</v>
      </c>
      <c r="K46" s="9">
        <f t="shared" ca="1" si="6"/>
        <v>93496.443143045442</v>
      </c>
      <c r="L46" s="5">
        <v>43</v>
      </c>
      <c r="M46" s="9">
        <v>363188.66991240549</v>
      </c>
      <c r="P46" s="5">
        <v>43</v>
      </c>
      <c r="Q46" s="9">
        <f>0.6*'Task e simulation procedure'!P47+0.4*$F$124</f>
        <v>582459.59879291989</v>
      </c>
      <c r="T46" s="5">
        <v>43</v>
      </c>
      <c r="U46" s="9">
        <f t="shared" si="1"/>
        <v>582459.59879291989</v>
      </c>
      <c r="V46" s="5" t="s">
        <v>39</v>
      </c>
    </row>
    <row r="47" spans="4:22" outlineLevel="1" x14ac:dyDescent="0.2">
      <c r="D47" s="9">
        <v>2413.3199999999997</v>
      </c>
      <c r="E47" s="48">
        <v>45901</v>
      </c>
      <c r="F47" s="9">
        <f>(1+'Task d'!C55)*F46+'Task g data'!D47</f>
        <v>97727.480214596668</v>
      </c>
      <c r="I47" s="5">
        <f t="shared" ca="1" si="4"/>
        <v>5.9920304229031648E-2</v>
      </c>
      <c r="J47" s="5">
        <f t="shared" ca="1" si="5"/>
        <v>6.1615906279492826E-3</v>
      </c>
      <c r="K47" s="9">
        <f t="shared" ca="1" si="6"/>
        <v>95957.782704178389</v>
      </c>
      <c r="L47" s="5">
        <v>44</v>
      </c>
      <c r="M47" s="9">
        <v>362188.55923378677</v>
      </c>
      <c r="P47" s="5">
        <v>44</v>
      </c>
      <c r="Q47" s="9">
        <f>0.6*'Task e simulation procedure'!P48+0.4*$F$124</f>
        <v>579479.74283859273</v>
      </c>
      <c r="T47" s="5">
        <v>44</v>
      </c>
      <c r="U47" s="9">
        <f t="shared" si="1"/>
        <v>579479.74283859273</v>
      </c>
      <c r="V47" s="5" t="s">
        <v>39</v>
      </c>
    </row>
    <row r="48" spans="4:22" outlineLevel="1" x14ac:dyDescent="0.2">
      <c r="D48" s="9">
        <v>2413.3199999999997</v>
      </c>
      <c r="E48" s="48">
        <v>45931</v>
      </c>
      <c r="F48" s="9">
        <f>(1+'Task d'!C56)*F47+'Task g data'!D48</f>
        <v>100413.6533439272</v>
      </c>
      <c r="I48" s="5">
        <f t="shared" ca="1" si="4"/>
        <v>-0.10351107824589267</v>
      </c>
      <c r="J48" s="5">
        <f t="shared" ca="1" si="5"/>
        <v>6.1984767915147978E-3</v>
      </c>
      <c r="K48" s="9">
        <f t="shared" ca="1" si="6"/>
        <v>98420.681515210337</v>
      </c>
      <c r="L48" s="5">
        <v>45</v>
      </c>
      <c r="M48" s="9">
        <v>362144.23812690936</v>
      </c>
      <c r="P48" s="5">
        <v>45</v>
      </c>
      <c r="Q48" s="9">
        <f>0.6*'Task e simulation procedure'!P49+0.4*$F$124</f>
        <v>586082.4118535805</v>
      </c>
      <c r="T48" s="5">
        <v>45</v>
      </c>
      <c r="U48" s="9">
        <f t="shared" si="1"/>
        <v>586082.4118535805</v>
      </c>
      <c r="V48" s="5" t="s">
        <v>39</v>
      </c>
    </row>
    <row r="49" spans="4:22" outlineLevel="1" x14ac:dyDescent="0.2">
      <c r="D49" s="9">
        <v>2413.3199999999997</v>
      </c>
      <c r="E49" s="48">
        <v>45962</v>
      </c>
      <c r="F49" s="9">
        <f>(1+'Task d'!C57)*F48+'Task g data'!D49</f>
        <v>103110.63674520727</v>
      </c>
      <c r="I49" s="5">
        <f t="shared" ca="1" si="4"/>
        <v>-9.9488853694379625E-2</v>
      </c>
      <c r="J49" s="5">
        <f t="shared" ca="1" si="5"/>
        <v>6.1519789241309139E-3</v>
      </c>
      <c r="K49" s="9">
        <f t="shared" ca="1" si="6"/>
        <v>100884.47128100894</v>
      </c>
      <c r="L49" s="5">
        <v>46</v>
      </c>
      <c r="M49" s="9">
        <v>361742.91566504986</v>
      </c>
      <c r="P49" s="5">
        <v>46</v>
      </c>
      <c r="Q49" s="9">
        <f>0.6*'Task e simulation procedure'!P50+0.4*$F$124</f>
        <v>587095.33996949438</v>
      </c>
      <c r="T49" s="5">
        <v>46</v>
      </c>
      <c r="U49" s="9">
        <f t="shared" si="1"/>
        <v>587095.33996949438</v>
      </c>
      <c r="V49" s="5" t="s">
        <v>39</v>
      </c>
    </row>
    <row r="50" spans="4:22" outlineLevel="1" x14ac:dyDescent="0.2">
      <c r="D50" s="9">
        <v>2413.3199999999997</v>
      </c>
      <c r="E50" s="48">
        <v>45992</v>
      </c>
      <c r="F50" s="9">
        <f>(1+'Task d'!C58)*F49+'Task g data'!D50</f>
        <v>105818.66238488563</v>
      </c>
      <c r="I50" s="5">
        <f t="shared" ca="1" si="4"/>
        <v>0.11804734321940882</v>
      </c>
      <c r="J50" s="5">
        <f t="shared" ca="1" si="5"/>
        <v>6.107893464359959E-3</v>
      </c>
      <c r="K50" s="9">
        <f t="shared" ca="1" si="6"/>
        <v>103349.15365162809</v>
      </c>
      <c r="L50" s="5">
        <v>47</v>
      </c>
      <c r="M50" s="9">
        <v>362887.4256626406</v>
      </c>
      <c r="P50" s="5">
        <v>47</v>
      </c>
      <c r="Q50" s="9">
        <f>0.6*'Task e simulation procedure'!P51+0.4*$F$124</f>
        <v>582755.60110072326</v>
      </c>
      <c r="T50" s="5">
        <v>47</v>
      </c>
      <c r="U50" s="9">
        <f t="shared" si="1"/>
        <v>582755.60110072326</v>
      </c>
      <c r="V50" s="5" t="s">
        <v>39</v>
      </c>
    </row>
    <row r="51" spans="4:22" outlineLevel="1" x14ac:dyDescent="0.2">
      <c r="D51" s="9">
        <v>2413.3199999999997</v>
      </c>
      <c r="E51" s="48">
        <v>46023</v>
      </c>
      <c r="F51" s="9">
        <f>(1+'Task d'!C59)*F50+'Task g data'!D51</f>
        <v>108537.96210022512</v>
      </c>
      <c r="I51" s="5">
        <f t="shared" ca="1" si="4"/>
        <v>-5.546031333309271E-2</v>
      </c>
      <c r="J51" s="5">
        <f t="shared" ca="1" si="5"/>
        <v>6.1742674364824749E-3</v>
      </c>
      <c r="K51" s="9">
        <f t="shared" ca="1" si="6"/>
        <v>105815.66277678142</v>
      </c>
      <c r="L51" s="5">
        <v>48</v>
      </c>
      <c r="M51" s="9">
        <v>362412.50659105327</v>
      </c>
      <c r="P51" s="5">
        <v>48</v>
      </c>
      <c r="Q51" s="9">
        <f>0.6*'Task e simulation procedure'!P52+0.4*$F$124</f>
        <v>586816.48628255457</v>
      </c>
      <c r="T51" s="5">
        <v>48</v>
      </c>
      <c r="U51" s="9">
        <f t="shared" si="1"/>
        <v>586816.48628255457</v>
      </c>
      <c r="V51" s="5" t="s">
        <v>39</v>
      </c>
    </row>
    <row r="52" spans="4:22" outlineLevel="1" x14ac:dyDescent="0.2">
      <c r="D52" s="9">
        <v>2871.8507999999997</v>
      </c>
      <c r="E52" s="48">
        <v>46054</v>
      </c>
      <c r="F52" s="9">
        <f>(1+'Task d'!C60)*F51+'Task g data'!D52</f>
        <v>111727.2980588896</v>
      </c>
      <c r="I52" s="5">
        <f t="shared" ca="1" si="4"/>
        <v>-4.1302467349155478E-2</v>
      </c>
      <c r="J52" s="5">
        <f t="shared" ca="1" si="5"/>
        <v>6.1524165737208234E-3</v>
      </c>
      <c r="K52" s="9">
        <f t="shared" ca="1" si="6"/>
        <v>108741.77932310652</v>
      </c>
      <c r="L52" s="5">
        <v>49</v>
      </c>
      <c r="M52" s="9">
        <v>363058.77692387224</v>
      </c>
      <c r="P52" s="5">
        <v>49</v>
      </c>
      <c r="Q52" s="9">
        <f>0.6*'Task e simulation procedure'!P53+0.4*$F$124</f>
        <v>586105.54267013026</v>
      </c>
      <c r="T52" s="5">
        <v>49</v>
      </c>
      <c r="U52" s="9">
        <f t="shared" si="1"/>
        <v>586105.54267013026</v>
      </c>
      <c r="V52" s="5" t="s">
        <v>39</v>
      </c>
    </row>
    <row r="53" spans="4:22" outlineLevel="1" x14ac:dyDescent="0.2">
      <c r="D53" s="9">
        <v>2871.8507999999997</v>
      </c>
      <c r="E53" s="48">
        <v>46082</v>
      </c>
      <c r="F53" s="9">
        <f>(1+'Task d'!C61)*F52+'Task g data'!D53</f>
        <v>114929.72671125978</v>
      </c>
      <c r="I53" s="5">
        <f t="shared" ca="1" si="4"/>
        <v>-6.0791658484089781E-2</v>
      </c>
      <c r="J53" s="5">
        <f t="shared" ca="1" si="5"/>
        <v>6.1378886435742965E-3</v>
      </c>
      <c r="K53" s="9">
        <f t="shared" ca="1" si="6"/>
        <v>111669.2647612266</v>
      </c>
      <c r="L53" s="5">
        <v>50</v>
      </c>
      <c r="M53" s="9">
        <v>362533.6599972822</v>
      </c>
      <c r="P53" s="5">
        <v>50</v>
      </c>
      <c r="Q53" s="9">
        <f>0.6*'Task e simulation procedure'!P54+0.4*$F$124</f>
        <v>579997.4539717501</v>
      </c>
      <c r="T53" s="5">
        <v>50</v>
      </c>
      <c r="U53" s="9">
        <f t="shared" si="1"/>
        <v>579997.4539717501</v>
      </c>
      <c r="V53" s="5" t="s">
        <v>39</v>
      </c>
    </row>
    <row r="54" spans="4:22" outlineLevel="1" x14ac:dyDescent="0.2">
      <c r="D54" s="9">
        <v>2871.8507999999997</v>
      </c>
      <c r="E54" s="48">
        <v>46113</v>
      </c>
      <c r="F54" s="9">
        <f>(1+'Task d'!C62)*F53+'Task g data'!D54</f>
        <v>118145.51248002051</v>
      </c>
      <c r="I54" s="5">
        <f t="shared" ca="1" si="4"/>
        <v>6.8795001557098445E-2</v>
      </c>
      <c r="J54" s="5">
        <f t="shared" ca="1" si="5"/>
        <v>6.113549265161596E-3</v>
      </c>
      <c r="K54" s="9">
        <f t="shared" ca="1" si="6"/>
        <v>114598.02135163733</v>
      </c>
      <c r="L54" s="5">
        <v>51</v>
      </c>
      <c r="M54" s="9">
        <v>362251.30048033985</v>
      </c>
      <c r="P54" s="5">
        <v>51</v>
      </c>
      <c r="Q54" s="9">
        <f>0.6*'Task e simulation procedure'!P55+0.4*$F$124</f>
        <v>587953.85070398683</v>
      </c>
      <c r="T54" s="5">
        <v>51</v>
      </c>
      <c r="U54" s="9">
        <f t="shared" si="1"/>
        <v>587953.85070398683</v>
      </c>
      <c r="V54" s="5" t="s">
        <v>39</v>
      </c>
    </row>
    <row r="55" spans="4:22" outlineLevel="1" x14ac:dyDescent="0.2">
      <c r="D55" s="9">
        <v>2871.8507999999997</v>
      </c>
      <c r="E55" s="48">
        <v>46143</v>
      </c>
      <c r="F55" s="9">
        <f>(1+'Task d'!C63)*F54+'Task g data'!D55</f>
        <v>121374.91858749154</v>
      </c>
      <c r="I55" s="5">
        <f t="shared" ca="1" si="4"/>
        <v>0.21104938561593048</v>
      </c>
      <c r="J55" s="5">
        <f t="shared" ca="1" si="5"/>
        <v>6.1549872047940643E-3</v>
      </c>
      <c r="K55" s="9">
        <f t="shared" ca="1" si="6"/>
        <v>117528.66634150312</v>
      </c>
      <c r="L55" s="5">
        <v>52</v>
      </c>
      <c r="M55" s="9">
        <v>362049.6632350352</v>
      </c>
      <c r="P55" s="5">
        <v>52</v>
      </c>
      <c r="Q55" s="9">
        <f>0.6*'Task e simulation procedure'!P56+0.4*$F$124</f>
        <v>593530.62419785303</v>
      </c>
      <c r="T55" s="5">
        <v>52</v>
      </c>
      <c r="U55" s="9">
        <f t="shared" si="1"/>
        <v>593530.62419785303</v>
      </c>
      <c r="V55" s="5" t="s">
        <v>39</v>
      </c>
    </row>
    <row r="56" spans="4:22" outlineLevel="1" x14ac:dyDescent="0.2">
      <c r="D56" s="9">
        <v>2871.8507999999997</v>
      </c>
      <c r="E56" s="48">
        <v>46174</v>
      </c>
      <c r="F56" s="9">
        <f>(1+'Task d'!C64)*F55+'Task g data'!D56</f>
        <v>124618.20663606247</v>
      </c>
      <c r="I56" s="5">
        <f t="shared" ca="1" si="4"/>
        <v>-1.6428695109878322E-2</v>
      </c>
      <c r="J56" s="5">
        <f t="shared" ca="1" si="5"/>
        <v>6.2686767337920115E-3</v>
      </c>
      <c r="K56" s="9">
        <f t="shared" ca="1" si="6"/>
        <v>120461.92894857588</v>
      </c>
      <c r="L56" s="5">
        <v>53</v>
      </c>
      <c r="M56" s="9">
        <v>362668.37238661968</v>
      </c>
      <c r="P56" s="5">
        <v>53</v>
      </c>
      <c r="Q56" s="9">
        <f>0.6*'Task e simulation procedure'!P57+0.4*$F$124</f>
        <v>590575.83279390726</v>
      </c>
      <c r="T56" s="5">
        <v>53</v>
      </c>
      <c r="U56" s="9">
        <f t="shared" si="1"/>
        <v>590575.83279390726</v>
      </c>
      <c r="V56" s="5" t="s">
        <v>39</v>
      </c>
    </row>
    <row r="57" spans="4:22" outlineLevel="1" x14ac:dyDescent="0.2">
      <c r="D57" s="9">
        <v>2871.8507999999997</v>
      </c>
      <c r="E57" s="48">
        <v>46204</v>
      </c>
      <c r="F57" s="9">
        <f>(1+'Task d'!C65)*F56+'Task g data'!D57</f>
        <v>127875.63618240251</v>
      </c>
      <c r="I57" s="5">
        <f t="shared" ca="1" si="4"/>
        <v>0.12268801313987004</v>
      </c>
      <c r="J57" s="5">
        <f t="shared" ca="1" si="5"/>
        <v>6.2662803890211772E-3</v>
      </c>
      <c r="K57" s="9">
        <f t="shared" ca="1" si="6"/>
        <v>123396.70019394366</v>
      </c>
      <c r="L57" s="5">
        <v>54</v>
      </c>
      <c r="M57" s="9">
        <v>364023.21514321392</v>
      </c>
      <c r="P57" s="5">
        <v>54</v>
      </c>
      <c r="Q57" s="9">
        <f>0.6*'Task e simulation procedure'!P58+0.4*$F$124</f>
        <v>578220.26271828194</v>
      </c>
      <c r="T57" s="5">
        <v>54</v>
      </c>
      <c r="U57" s="9">
        <f t="shared" si="1"/>
        <v>578220.26271828194</v>
      </c>
      <c r="V57" s="5" t="s">
        <v>39</v>
      </c>
    </row>
    <row r="58" spans="4:22" outlineLevel="1" x14ac:dyDescent="0.2">
      <c r="D58" s="9">
        <v>2871.8507999999997</v>
      </c>
      <c r="E58" s="48">
        <v>46235</v>
      </c>
      <c r="F58" s="9">
        <f>(1+'Task d'!C66)*F57+'Task g data'!D58</f>
        <v>131147.46430515501</v>
      </c>
      <c r="I58" s="5">
        <f t="shared" ca="1" si="4"/>
        <v>6.0254878853805385E-2</v>
      </c>
      <c r="J58" s="5">
        <f t="shared" ca="1" si="5"/>
        <v>6.3352221316616561E-3</v>
      </c>
      <c r="K58" s="9">
        <f t="shared" ca="1" si="6"/>
        <v>126333.71365209682</v>
      </c>
      <c r="L58" s="5">
        <v>55</v>
      </c>
      <c r="M58" s="9">
        <v>362218.89010432013</v>
      </c>
      <c r="P58" s="5">
        <v>55</v>
      </c>
      <c r="Q58" s="9">
        <f>0.6*'Task e simulation procedure'!P59+0.4*$F$124</f>
        <v>581716.32984180807</v>
      </c>
      <c r="T58" s="5">
        <v>55</v>
      </c>
      <c r="U58" s="9">
        <f t="shared" si="1"/>
        <v>581716.32984180807</v>
      </c>
      <c r="V58" s="5" t="s">
        <v>39</v>
      </c>
    </row>
    <row r="59" spans="4:22" outlineLevel="1" x14ac:dyDescent="0.2">
      <c r="D59" s="9">
        <v>2871.8507999999997</v>
      </c>
      <c r="E59" s="48">
        <v>46266</v>
      </c>
      <c r="F59" s="9">
        <f>(1+'Task d'!C67)*F58+'Task g data'!D59</f>
        <v>134433.9451658375</v>
      </c>
      <c r="I59" s="5">
        <f t="shared" ca="1" si="4"/>
        <v>-2.1365252229310419E-2</v>
      </c>
      <c r="J59" s="5">
        <f t="shared" ca="1" si="5"/>
        <v>6.3720696787361282E-3</v>
      </c>
      <c r="K59" s="9">
        <f t="shared" ca="1" si="6"/>
        <v>129272.66620174318</v>
      </c>
      <c r="L59" s="5">
        <v>56</v>
      </c>
      <c r="M59" s="9">
        <v>362502.47711137688</v>
      </c>
      <c r="P59" s="5">
        <v>56</v>
      </c>
      <c r="Q59" s="9">
        <f>0.6*'Task e simulation procedure'!P60+0.4*$F$124</f>
        <v>587441.81616845587</v>
      </c>
      <c r="T59" s="5">
        <v>56</v>
      </c>
      <c r="U59" s="9">
        <f t="shared" si="1"/>
        <v>587441.81616845587</v>
      </c>
      <c r="V59" s="5" t="s">
        <v>39</v>
      </c>
    </row>
    <row r="60" spans="4:22" outlineLevel="1" x14ac:dyDescent="0.2">
      <c r="D60" s="9">
        <v>2871.8507999999997</v>
      </c>
      <c r="E60" s="48">
        <v>46296</v>
      </c>
      <c r="F60" s="9">
        <f>(1+'Task d'!C68)*F59+'Task g data'!D60</f>
        <v>137735.32956263135</v>
      </c>
      <c r="I60" s="5">
        <f t="shared" ca="1" si="4"/>
        <v>-5.7349443607917175E-2</v>
      </c>
      <c r="J60" s="5">
        <f t="shared" ca="1" si="5"/>
        <v>6.3666722712457718E-3</v>
      </c>
      <c r="K60" s="9">
        <f t="shared" ca="1" si="6"/>
        <v>132213.12159103429</v>
      </c>
      <c r="L60" s="5">
        <v>57</v>
      </c>
      <c r="M60" s="9">
        <v>362635.11438089609</v>
      </c>
      <c r="P60" s="5">
        <v>57</v>
      </c>
      <c r="Q60" s="9">
        <f>0.6*'Task e simulation procedure'!P61+0.4*$F$124</f>
        <v>584342.9952278462</v>
      </c>
      <c r="T60" s="5">
        <v>57</v>
      </c>
      <c r="U60" s="9">
        <f t="shared" si="1"/>
        <v>584342.9952278462</v>
      </c>
      <c r="V60" s="5" t="s">
        <v>39</v>
      </c>
    </row>
    <row r="61" spans="4:22" outlineLevel="1" x14ac:dyDescent="0.2">
      <c r="D61" s="9">
        <v>2871.8507999999997</v>
      </c>
      <c r="E61" s="48">
        <v>46327</v>
      </c>
      <c r="F61" s="9">
        <f>(1+'Task d'!C69)*F60+'Task g data'!D61</f>
        <v>141051.86447680229</v>
      </c>
      <c r="I61" s="5">
        <f t="shared" ca="1" si="4"/>
        <v>6.6080400071154566E-2</v>
      </c>
      <c r="J61" s="5">
        <f t="shared" ca="1" si="5"/>
        <v>6.3427023984423672E-3</v>
      </c>
      <c r="K61" s="9">
        <f t="shared" ca="1" si="6"/>
        <v>135154.87323636946</v>
      </c>
      <c r="L61" s="5">
        <v>58</v>
      </c>
      <c r="M61" s="9">
        <v>361770.71945697849</v>
      </c>
      <c r="P61" s="5">
        <v>58</v>
      </c>
      <c r="Q61" s="9">
        <f>0.6*'Task e simulation procedure'!P62+0.4*$F$124</f>
        <v>588565.47447514907</v>
      </c>
      <c r="T61" s="5">
        <v>58</v>
      </c>
      <c r="U61" s="9">
        <f t="shared" si="1"/>
        <v>588565.47447514907</v>
      </c>
      <c r="V61" s="5" t="s">
        <v>39</v>
      </c>
    </row>
    <row r="62" spans="4:22" outlineLevel="1" x14ac:dyDescent="0.2">
      <c r="D62" s="9">
        <v>2871.8507999999997</v>
      </c>
      <c r="E62" s="48">
        <v>46357</v>
      </c>
      <c r="F62" s="9">
        <f>(1+'Task d'!C70)*F61+'Task g data'!D62</f>
        <v>144383.79261145127</v>
      </c>
      <c r="I62" s="5">
        <f t="shared" ca="1" si="4"/>
        <v>-0.12732352689576376</v>
      </c>
      <c r="J62" s="5">
        <f t="shared" ca="1" si="5"/>
        <v>6.38254583029882E-3</v>
      </c>
      <c r="K62" s="9">
        <f t="shared" ca="1" si="6"/>
        <v>138098.62917146843</v>
      </c>
      <c r="L62" s="5">
        <v>59</v>
      </c>
      <c r="M62" s="9">
        <v>362890.85545715241</v>
      </c>
      <c r="P62" s="5">
        <v>59</v>
      </c>
      <c r="Q62" s="9">
        <f>0.6*'Task e simulation procedure'!P63+0.4*$F$124</f>
        <v>583375.69281316362</v>
      </c>
      <c r="T62" s="5">
        <v>59</v>
      </c>
      <c r="U62" s="9">
        <f t="shared" si="1"/>
        <v>583375.69281316362</v>
      </c>
      <c r="V62" s="5" t="s">
        <v>39</v>
      </c>
    </row>
    <row r="63" spans="4:22" outlineLevel="1" x14ac:dyDescent="0.2">
      <c r="D63" s="9">
        <v>2871.8507999999997</v>
      </c>
      <c r="E63" s="48">
        <v>46388</v>
      </c>
      <c r="F63" s="9">
        <f>(1+'Task d'!C71)*F62+'Task g data'!D63</f>
        <v>147731.35192231336</v>
      </c>
      <c r="I63" s="5">
        <f t="shared" ca="1" si="4"/>
        <v>3.8480351565976248E-2</v>
      </c>
      <c r="J63" s="5">
        <f t="shared" ca="1" si="5"/>
        <v>6.3222724687189251E-3</v>
      </c>
      <c r="K63" s="9">
        <f t="shared" ca="1" si="6"/>
        <v>141043.25723812106</v>
      </c>
      <c r="L63" s="5">
        <v>60</v>
      </c>
      <c r="M63" s="9">
        <v>362026.38503584947</v>
      </c>
      <c r="P63" s="5">
        <v>60</v>
      </c>
      <c r="Q63" s="9">
        <f>0.6*'Task e simulation procedure'!P64+0.4*$F$124</f>
        <v>578848.87836887653</v>
      </c>
      <c r="T63" s="5">
        <v>60</v>
      </c>
      <c r="U63" s="9">
        <f t="shared" si="1"/>
        <v>578848.87836887653</v>
      </c>
      <c r="V63" s="5" t="s">
        <v>39</v>
      </c>
    </row>
    <row r="64" spans="4:22" outlineLevel="1" x14ac:dyDescent="0.2">
      <c r="D64" s="9">
        <v>2986.7248319999999</v>
      </c>
      <c r="E64" s="48">
        <v>46419</v>
      </c>
      <c r="F64" s="9">
        <f>(1+'Task d'!C72)*F63+'Task g data'!D64</f>
        <v>151209.64917232629</v>
      </c>
      <c r="I64" s="5">
        <f t="shared" ca="1" si="4"/>
        <v>-7.7860489058119613E-3</v>
      </c>
      <c r="J64" s="5">
        <f t="shared" ca="1" si="5"/>
        <v>6.3479218206796469E-3</v>
      </c>
      <c r="K64" s="9">
        <f t="shared" ca="1" si="6"/>
        <v>144104.61277214842</v>
      </c>
      <c r="L64" s="5">
        <v>61</v>
      </c>
      <c r="M64" s="9">
        <v>362873.54002187663</v>
      </c>
      <c r="P64" s="5">
        <v>61</v>
      </c>
      <c r="Q64" s="9">
        <f>0.6*'Task e simulation procedure'!P65+0.4*$F$124</f>
        <v>582828.05108946469</v>
      </c>
      <c r="T64" s="5">
        <v>61</v>
      </c>
      <c r="U64" s="9">
        <f t="shared" si="1"/>
        <v>582828.05108946469</v>
      </c>
      <c r="V64" s="5" t="s">
        <v>39</v>
      </c>
    </row>
    <row r="65" spans="4:22" outlineLevel="1" x14ac:dyDescent="0.2">
      <c r="D65" s="9">
        <v>2986.7248319999999</v>
      </c>
      <c r="E65" s="48">
        <v>46447</v>
      </c>
      <c r="F65" s="9">
        <f>(1+'Task d'!C73)*F64+'Task g data'!D65</f>
        <v>154704.42331498355</v>
      </c>
      <c r="I65" s="5">
        <f t="shared" ca="1" si="4"/>
        <v>3.2937501788352468E-2</v>
      </c>
      <c r="J65" s="5">
        <f t="shared" ca="1" si="5"/>
        <v>6.3496415188027825E-3</v>
      </c>
      <c r="K65" s="9">
        <f t="shared" ca="1" si="6"/>
        <v>147167.60883401826</v>
      </c>
      <c r="L65" s="5">
        <v>62</v>
      </c>
      <c r="M65" s="9">
        <v>362283.10036586103</v>
      </c>
      <c r="P65" s="5">
        <v>62</v>
      </c>
      <c r="Q65" s="9">
        <f>0.6*'Task e simulation procedure'!P66+0.4*$F$124</f>
        <v>575648.97113454225</v>
      </c>
      <c r="T65" s="5">
        <v>62</v>
      </c>
      <c r="U65" s="9">
        <f t="shared" si="1"/>
        <v>575648.97113454225</v>
      </c>
      <c r="V65" s="5" t="s">
        <v>39</v>
      </c>
    </row>
    <row r="66" spans="4:22" outlineLevel="1" x14ac:dyDescent="0.2">
      <c r="D66" s="9">
        <v>2986.7248319999999</v>
      </c>
      <c r="E66" s="48">
        <v>46478</v>
      </c>
      <c r="F66" s="9">
        <f>(1+'Task d'!C74)*F65+'Task g data'!D66</f>
        <v>158215.90384664742</v>
      </c>
      <c r="I66" s="5">
        <f t="shared" ca="1" si="4"/>
        <v>-9.6972698827814008E-2</v>
      </c>
      <c r="J66" s="5">
        <f t="shared" ca="1" si="5"/>
        <v>6.3723724932246142E-3</v>
      </c>
      <c r="K66" s="9">
        <f t="shared" ca="1" si="6"/>
        <v>150232.50498841627</v>
      </c>
      <c r="L66" s="5">
        <v>63</v>
      </c>
      <c r="M66" s="9">
        <v>362173.37381266517</v>
      </c>
      <c r="P66" s="5">
        <v>63</v>
      </c>
      <c r="Q66" s="9">
        <f>0.6*'Task e simulation procedure'!P67+0.4*$F$124</f>
        <v>587255.35539394501</v>
      </c>
      <c r="T66" s="5">
        <v>63</v>
      </c>
      <c r="U66" s="9">
        <f t="shared" si="1"/>
        <v>587255.35539394501</v>
      </c>
      <c r="V66" s="5" t="s">
        <v>39</v>
      </c>
    </row>
    <row r="67" spans="4:22" outlineLevel="1" x14ac:dyDescent="0.2">
      <c r="D67" s="9">
        <v>2986.7248319999999</v>
      </c>
      <c r="E67" s="48">
        <v>46508</v>
      </c>
      <c r="F67" s="9">
        <f>(1+'Task d'!C75)*F66+'Task g data'!D67</f>
        <v>161744.31349299874</v>
      </c>
      <c r="I67" s="5">
        <f t="shared" ca="1" si="4"/>
        <v>0.12971963810307827</v>
      </c>
      <c r="J67" s="5">
        <f t="shared" ca="1" si="5"/>
        <v>6.3278816076964874E-3</v>
      </c>
      <c r="K67" s="9">
        <f t="shared" ca="1" si="6"/>
        <v>153298.47183710043</v>
      </c>
      <c r="L67" s="5">
        <v>64</v>
      </c>
      <c r="M67" s="9">
        <v>362347.79114111816</v>
      </c>
      <c r="P67" s="5">
        <v>64</v>
      </c>
      <c r="Q67" s="9">
        <f>0.6*'Task e simulation procedure'!P68+0.4*$F$124</f>
        <v>588435.67739120568</v>
      </c>
      <c r="T67" s="5">
        <v>64</v>
      </c>
      <c r="U67" s="9">
        <f t="shared" si="1"/>
        <v>588435.67739120568</v>
      </c>
      <c r="V67" s="5" t="s">
        <v>39</v>
      </c>
    </row>
    <row r="68" spans="4:22" outlineLevel="1" x14ac:dyDescent="0.2">
      <c r="D68" s="9">
        <v>2986.7248319999999</v>
      </c>
      <c r="E68" s="48">
        <v>46539</v>
      </c>
      <c r="F68" s="9">
        <f>(1+'Task d'!C76)*F67+'Task g data'!D68</f>
        <v>165289.86767963762</v>
      </c>
      <c r="I68" s="5">
        <f t="shared" ref="I68:I99" ca="1" si="7">_xlfn.NORM.INV(RAND(),0,Deltat)</f>
        <v>-3.3261833838698129E-2</v>
      </c>
      <c r="J68" s="5">
        <f t="shared" ca="1" si="5"/>
        <v>6.4005285852438195E-3</v>
      </c>
      <c r="K68" s="9">
        <f t="shared" ca="1" si="6"/>
        <v>156366.98441661772</v>
      </c>
      <c r="L68" s="5">
        <v>65</v>
      </c>
      <c r="M68" s="9">
        <v>362793.64582750306</v>
      </c>
      <c r="P68" s="5">
        <v>65</v>
      </c>
      <c r="Q68" s="9">
        <f>0.6*'Task e simulation procedure'!P69+0.4*$F$124</f>
        <v>584477.47023517452</v>
      </c>
      <c r="T68" s="5">
        <v>65</v>
      </c>
      <c r="U68" s="9">
        <f t="shared" ref="U68:U100" si="8">Q68</f>
        <v>584477.47023517452</v>
      </c>
      <c r="V68" s="5" t="s">
        <v>39</v>
      </c>
    </row>
    <row r="69" spans="4:22" outlineLevel="1" x14ac:dyDescent="0.2">
      <c r="D69" s="9">
        <v>2986.7248319999999</v>
      </c>
      <c r="E69" s="48">
        <v>46569</v>
      </c>
      <c r="F69" s="9">
        <f>(1+'Task d'!C77)*F68+'Task g data'!D69</f>
        <v>168852.77399293866</v>
      </c>
      <c r="I69" s="5">
        <f t="shared" ca="1" si="7"/>
        <v>-2.2083115489991618E-3</v>
      </c>
      <c r="J69" s="5">
        <f t="shared" ref="J69:J100" ca="1" si="9">J68+Kappa*(Theta-J68)*Deltat+Sigma*SQRT(J68)*I68</f>
        <v>6.3888374846525894E-3</v>
      </c>
      <c r="K69" s="9">
        <f t="shared" ref="K69:K100" ca="1" si="10">EXP(J69*Deltat)*K68+D69</f>
        <v>159436.98168485358</v>
      </c>
      <c r="L69" s="5">
        <v>66</v>
      </c>
      <c r="M69" s="9">
        <v>361956.68937005405</v>
      </c>
      <c r="P69" s="5">
        <v>66</v>
      </c>
      <c r="Q69" s="9">
        <f>0.6*'Task e simulation procedure'!P70+0.4*$F$124</f>
        <v>580579.7143342481</v>
      </c>
      <c r="T69" s="5">
        <v>66</v>
      </c>
      <c r="U69" s="9">
        <f t="shared" si="8"/>
        <v>580579.7143342481</v>
      </c>
      <c r="V69" s="5" t="s">
        <v>39</v>
      </c>
    </row>
    <row r="70" spans="4:22" outlineLevel="1" x14ac:dyDescent="0.2">
      <c r="D70" s="9">
        <v>2986.7248319999999</v>
      </c>
      <c r="E70" s="48">
        <v>46600</v>
      </c>
      <c r="F70" s="9">
        <f>(1+'Task d'!C78)*F69+'Task g data'!D70</f>
        <v>172433.23163087852</v>
      </c>
      <c r="I70" s="5">
        <f t="shared" ca="1" si="7"/>
        <v>-1.4803248962818032E-2</v>
      </c>
      <c r="J70" s="5">
        <f t="shared" ca="1" si="9"/>
        <v>6.3932817023044852E-3</v>
      </c>
      <c r="K70" s="9">
        <f t="shared" ca="1" si="10"/>
        <v>162508.67294357938</v>
      </c>
      <c r="L70" s="5">
        <v>67</v>
      </c>
      <c r="M70" s="9">
        <v>362205.61896999215</v>
      </c>
      <c r="P70" s="5">
        <v>67</v>
      </c>
      <c r="Q70" s="9">
        <f>0.6*'Task e simulation procedure'!P71+0.4*$F$124</f>
        <v>571331.00072710519</v>
      </c>
      <c r="T70" s="5">
        <v>67</v>
      </c>
      <c r="U70" s="9">
        <f t="shared" si="8"/>
        <v>571331.00072710519</v>
      </c>
      <c r="V70" s="5" t="s">
        <v>39</v>
      </c>
    </row>
    <row r="71" spans="4:22" outlineLevel="1" x14ac:dyDescent="0.2">
      <c r="D71" s="9">
        <v>2986.7248319999999</v>
      </c>
      <c r="E71" s="48">
        <v>46631</v>
      </c>
      <c r="F71" s="9">
        <f>(1+'Task d'!C79)*F70+'Task g data'!D71</f>
        <v>176031.43084365551</v>
      </c>
      <c r="I71" s="5">
        <f t="shared" ca="1" si="7"/>
        <v>4.4160975201345362E-2</v>
      </c>
      <c r="J71" s="5">
        <f t="shared" ca="1" si="9"/>
        <v>6.3911864422871957E-3</v>
      </c>
      <c r="K71" s="9">
        <f t="shared" ca="1" si="10"/>
        <v>165581.97276400935</v>
      </c>
      <c r="L71" s="5">
        <v>68</v>
      </c>
      <c r="M71" s="9">
        <v>363104.55991165299</v>
      </c>
      <c r="P71" s="5">
        <v>68</v>
      </c>
      <c r="Q71" s="9">
        <f>0.6*'Task e simulation procedure'!P72+0.4*$F$124</f>
        <v>588412.31108530844</v>
      </c>
      <c r="T71" s="5">
        <v>68</v>
      </c>
      <c r="U71" s="9">
        <f t="shared" si="8"/>
        <v>588412.31108530844</v>
      </c>
      <c r="V71" s="5" t="s">
        <v>39</v>
      </c>
    </row>
    <row r="72" spans="4:22" outlineLevel="1" x14ac:dyDescent="0.2">
      <c r="D72" s="9">
        <v>2986.7248319999999</v>
      </c>
      <c r="E72" s="48">
        <v>46661</v>
      </c>
      <c r="F72" s="9">
        <f>(1+'Task d'!C80)*F71+'Task g data'!D72</f>
        <v>179647.5523638186</v>
      </c>
      <c r="I72" s="5">
        <f t="shared" ca="1" si="7"/>
        <v>-4.855565237404276E-2</v>
      </c>
      <c r="J72" s="5">
        <f t="shared" ca="1" si="9"/>
        <v>6.4196319874643094E-3</v>
      </c>
      <c r="K72" s="9">
        <f t="shared" ca="1" si="10"/>
        <v>168657.30257177714</v>
      </c>
      <c r="L72" s="5">
        <v>69</v>
      </c>
      <c r="M72" s="9">
        <v>362479.06100106111</v>
      </c>
      <c r="P72" s="5">
        <v>69</v>
      </c>
      <c r="Q72" s="9">
        <f>0.6*'Task e simulation procedure'!P73+0.4*$F$124</f>
        <v>576940.70039272658</v>
      </c>
      <c r="T72" s="5">
        <v>69</v>
      </c>
      <c r="U72" s="9">
        <f t="shared" si="8"/>
        <v>576940.70039272658</v>
      </c>
      <c r="V72" s="5" t="s">
        <v>39</v>
      </c>
    </row>
    <row r="73" spans="4:22" outlineLevel="1" x14ac:dyDescent="0.2">
      <c r="D73" s="9">
        <v>2986.7248319999999</v>
      </c>
      <c r="E73" s="48">
        <v>46692</v>
      </c>
      <c r="F73" s="9">
        <f>(1+'Task d'!C81)*F72+'Task g data'!D73</f>
        <v>183281.76682577783</v>
      </c>
      <c r="I73" s="5">
        <f t="shared" ca="1" si="7"/>
        <v>9.9102216943556753E-2</v>
      </c>
      <c r="J73" s="5">
        <f t="shared" ca="1" si="9"/>
        <v>6.3999082708024284E-3</v>
      </c>
      <c r="K73" s="9">
        <f t="shared" ca="1" si="10"/>
        <v>171734.000666309</v>
      </c>
      <c r="L73" s="5">
        <v>70</v>
      </c>
      <c r="M73" s="9">
        <v>363164.43998002628</v>
      </c>
      <c r="P73" s="5">
        <v>70</v>
      </c>
      <c r="Q73" s="9">
        <f>0.6*'Task e simulation procedure'!P74+0.4*$F$124</f>
        <v>584947.20589695219</v>
      </c>
      <c r="T73" s="5">
        <v>70</v>
      </c>
      <c r="U73" s="9">
        <f t="shared" si="8"/>
        <v>584947.20589695219</v>
      </c>
      <c r="V73" s="5" t="s">
        <v>39</v>
      </c>
    </row>
    <row r="74" spans="4:22" outlineLevel="1" x14ac:dyDescent="0.2">
      <c r="D74" s="9">
        <v>2986.7248319999999</v>
      </c>
      <c r="E74" s="48">
        <v>46722</v>
      </c>
      <c r="F74" s="9">
        <f>(1+'Task d'!C82)*F73+'Task g data'!D74</f>
        <v>186934.23417443753</v>
      </c>
      <c r="I74" s="5">
        <f t="shared" ca="1" si="7"/>
        <v>-2.7415922697030876E-2</v>
      </c>
      <c r="J74" s="5">
        <f t="shared" ca="1" si="9"/>
        <v>6.4568055475000266E-3</v>
      </c>
      <c r="K74" s="9">
        <f t="shared" ca="1" si="10"/>
        <v>174813.15478334209</v>
      </c>
      <c r="L74" s="5">
        <v>71</v>
      </c>
      <c r="M74" s="9">
        <v>362224.05868903239</v>
      </c>
      <c r="P74" s="5">
        <v>71</v>
      </c>
      <c r="Q74" s="9">
        <f>0.6*'Task e simulation procedure'!P75+0.4*$F$124</f>
        <v>581679.53050670028</v>
      </c>
      <c r="T74" s="5">
        <v>71</v>
      </c>
      <c r="U74" s="9">
        <f t="shared" si="8"/>
        <v>581679.53050670028</v>
      </c>
      <c r="V74" s="5" t="s">
        <v>39</v>
      </c>
    </row>
    <row r="75" spans="4:22" outlineLevel="1" x14ac:dyDescent="0.2">
      <c r="D75" s="9">
        <v>2986.7248319999999</v>
      </c>
      <c r="E75" s="48">
        <v>46753</v>
      </c>
      <c r="F75" s="9">
        <f>(1+'Task d'!C83)*F74+'Task g data'!D75</f>
        <v>190605.10306281535</v>
      </c>
      <c r="I75" s="5">
        <f t="shared" ca="1" si="7"/>
        <v>-5.4993920587944733E-3</v>
      </c>
      <c r="J75" s="5">
        <f t="shared" ca="1" si="9"/>
        <v>6.4478747920107818E-3</v>
      </c>
      <c r="K75" s="9">
        <f t="shared" ca="1" si="10"/>
        <v>177893.83596670107</v>
      </c>
      <c r="L75" s="5">
        <v>72</v>
      </c>
      <c r="M75" s="9">
        <v>362985.73241881706</v>
      </c>
      <c r="P75" s="5">
        <v>72</v>
      </c>
      <c r="Q75" s="9">
        <f>0.6*'Task e simulation procedure'!P76+0.4*$F$124</f>
        <v>583508.98266999726</v>
      </c>
      <c r="T75" s="5">
        <v>72</v>
      </c>
      <c r="U75" s="9">
        <f t="shared" si="8"/>
        <v>583508.98266999726</v>
      </c>
      <c r="V75" s="5" t="s">
        <v>39</v>
      </c>
    </row>
    <row r="76" spans="4:22" outlineLevel="1" x14ac:dyDescent="0.2">
      <c r="D76" s="9">
        <v>3554.2025500799996</v>
      </c>
      <c r="E76" s="48">
        <v>46784</v>
      </c>
      <c r="F76" s="9">
        <f>(1+'Task d'!C84)*F75+'Task g data'!D76</f>
        <v>194861.9879565865</v>
      </c>
      <c r="I76" s="5">
        <f t="shared" ca="1" si="7"/>
        <v>-3.7946737864895545E-2</v>
      </c>
      <c r="J76" s="5">
        <f t="shared" ca="1" si="9"/>
        <v>6.4503853557416101E-3</v>
      </c>
      <c r="K76" s="9">
        <f t="shared" ca="1" si="10"/>
        <v>181543.68787131083</v>
      </c>
      <c r="L76" s="5">
        <v>73</v>
      </c>
      <c r="M76" s="9">
        <v>361631.56480799359</v>
      </c>
      <c r="P76" s="5">
        <v>73</v>
      </c>
      <c r="Q76" s="9">
        <f>0.6*'Task e simulation procedure'!P77+0.4*$F$124</f>
        <v>580127.00037148921</v>
      </c>
      <c r="T76" s="5">
        <v>73</v>
      </c>
      <c r="U76" s="9">
        <f t="shared" si="8"/>
        <v>580127.00037148921</v>
      </c>
      <c r="V76" s="5" t="s">
        <v>39</v>
      </c>
    </row>
    <row r="77" spans="4:22" outlineLevel="1" x14ac:dyDescent="0.2">
      <c r="D77" s="9">
        <v>3554.2025500799996</v>
      </c>
      <c r="E77" s="48">
        <v>46813</v>
      </c>
      <c r="F77" s="9">
        <f>(1+'Task d'!C85)*F76+'Task g data'!D77</f>
        <v>199139.64219333365</v>
      </c>
      <c r="I77" s="5">
        <f t="shared" ca="1" si="7"/>
        <v>-1.5273906624367208E-2</v>
      </c>
      <c r="J77" s="5">
        <f t="shared" ca="1" si="9"/>
        <v>6.4360071784661564E-3</v>
      </c>
      <c r="K77" s="9">
        <f t="shared" ca="1" si="10"/>
        <v>185195.2845768134</v>
      </c>
      <c r="L77" s="5">
        <v>74</v>
      </c>
      <c r="M77" s="9">
        <v>362234.55897682032</v>
      </c>
      <c r="P77" s="5">
        <v>74</v>
      </c>
      <c r="Q77" s="9">
        <f>0.6*'Task e simulation procedure'!P78+0.4*$F$124</f>
        <v>575947.33565181098</v>
      </c>
      <c r="T77" s="5">
        <v>74</v>
      </c>
      <c r="U77" s="9">
        <f t="shared" si="8"/>
        <v>575947.33565181098</v>
      </c>
      <c r="V77" s="5" t="s">
        <v>39</v>
      </c>
    </row>
    <row r="78" spans="4:22" outlineLevel="1" x14ac:dyDescent="0.2">
      <c r="D78" s="9">
        <v>3554.2025500799996</v>
      </c>
      <c r="E78" s="48">
        <v>46844</v>
      </c>
      <c r="F78" s="9">
        <f>(1+'Task d'!C86)*F77+'Task g data'!D78</f>
        <v>203438.21339831583</v>
      </c>
      <c r="I78" s="5">
        <f t="shared" ca="1" si="7"/>
        <v>2.808113711133161E-2</v>
      </c>
      <c r="J78" s="5">
        <f t="shared" ca="1" si="9"/>
        <v>6.4334849486513412E-3</v>
      </c>
      <c r="K78" s="9">
        <f t="shared" ca="1" si="10"/>
        <v>188848.80133652478</v>
      </c>
      <c r="L78" s="5">
        <v>75</v>
      </c>
      <c r="M78" s="9">
        <v>361939.73063462652</v>
      </c>
      <c r="P78" s="5">
        <v>75</v>
      </c>
      <c r="Q78" s="9">
        <f>0.6*'Task e simulation procedure'!P79+0.4*$F$124</f>
        <v>583098.2270566402</v>
      </c>
      <c r="T78" s="5">
        <v>75</v>
      </c>
      <c r="U78" s="9">
        <f t="shared" si="8"/>
        <v>583098.2270566402</v>
      </c>
      <c r="V78" s="5" t="s">
        <v>39</v>
      </c>
    </row>
    <row r="79" spans="4:22" outlineLevel="1" x14ac:dyDescent="0.2">
      <c r="D79" s="9">
        <v>3554.2025500799996</v>
      </c>
      <c r="E79" s="48">
        <v>46874</v>
      </c>
      <c r="F79" s="9">
        <f>(1+'Task d'!C87)*F78+'Task g data'!D79</f>
        <v>207757.83431657281</v>
      </c>
      <c r="I79" s="5">
        <f t="shared" ca="1" si="7"/>
        <v>3.2070205999720776E-2</v>
      </c>
      <c r="J79" s="5">
        <f t="shared" ca="1" si="9"/>
        <v>6.4534970737076865E-3</v>
      </c>
      <c r="K79" s="9">
        <f t="shared" ca="1" si="10"/>
        <v>192504.59246645629</v>
      </c>
      <c r="L79" s="5">
        <v>76</v>
      </c>
      <c r="M79" s="9">
        <v>362719.05116037565</v>
      </c>
      <c r="P79" s="5">
        <v>76</v>
      </c>
      <c r="Q79" s="9">
        <f>0.6*'Task e simulation procedure'!P80+0.4*$F$124</f>
        <v>588029.35528424685</v>
      </c>
      <c r="T79" s="5">
        <v>76</v>
      </c>
      <c r="U79" s="9">
        <f t="shared" si="8"/>
        <v>588029.35528424685</v>
      </c>
      <c r="V79" s="5" t="s">
        <v>39</v>
      </c>
    </row>
    <row r="80" spans="4:22" outlineLevel="1" x14ac:dyDescent="0.2">
      <c r="D80" s="9">
        <v>3554.2025500799996</v>
      </c>
      <c r="E80" s="48">
        <v>46905</v>
      </c>
      <c r="F80" s="9">
        <f>(1+'Task d'!C88)*F79+'Task g data'!D80</f>
        <v>212098.62206178776</v>
      </c>
      <c r="I80" s="5">
        <f t="shared" ca="1" si="7"/>
        <v>2.1833962050049692E-2</v>
      </c>
      <c r="J80" s="5">
        <f t="shared" ca="1" si="9"/>
        <v>6.4755340081318171E-3</v>
      </c>
      <c r="K80" s="9">
        <f t="shared" ca="1" si="10"/>
        <v>196162.70388634381</v>
      </c>
      <c r="L80" s="5">
        <v>77</v>
      </c>
      <c r="M80" s="9">
        <v>362577.21575649385</v>
      </c>
      <c r="P80" s="5">
        <v>77</v>
      </c>
      <c r="Q80" s="9">
        <f>0.6*'Task e simulation procedure'!P81+0.4*$F$124</f>
        <v>586556.18438396417</v>
      </c>
      <c r="T80" s="5">
        <v>77</v>
      </c>
      <c r="U80" s="9">
        <f t="shared" si="8"/>
        <v>586556.18438396417</v>
      </c>
      <c r="V80" s="5" t="s">
        <v>39</v>
      </c>
    </row>
    <row r="81" spans="4:22" outlineLevel="1" x14ac:dyDescent="0.2">
      <c r="D81" s="9">
        <v>3554.2025500799996</v>
      </c>
      <c r="E81" s="48">
        <v>46935</v>
      </c>
      <c r="F81" s="9">
        <f>(1+'Task d'!C89)*F80+'Task g data'!D81</f>
        <v>216460.67735195687</v>
      </c>
      <c r="I81" s="5">
        <f t="shared" ca="1" si="7"/>
        <v>6.9906642167314695E-2</v>
      </c>
      <c r="J81" s="5">
        <f t="shared" ca="1" si="9"/>
        <v>6.4921832968143529E-3</v>
      </c>
      <c r="K81" s="9">
        <f t="shared" ca="1" si="10"/>
        <v>199823.06216890665</v>
      </c>
      <c r="L81" s="5">
        <v>78</v>
      </c>
      <c r="M81" s="9">
        <v>362199.59972110239</v>
      </c>
      <c r="P81" s="5">
        <v>78</v>
      </c>
      <c r="Q81" s="9">
        <f>0.6*'Task e simulation procedure'!P82+0.4*$F$124</f>
        <v>579801.48156601051</v>
      </c>
      <c r="T81" s="5">
        <v>78</v>
      </c>
      <c r="U81" s="9">
        <f t="shared" si="8"/>
        <v>579801.48156601051</v>
      </c>
      <c r="V81" s="5" t="s">
        <v>39</v>
      </c>
    </row>
    <row r="82" spans="4:22" outlineLevel="1" x14ac:dyDescent="0.2">
      <c r="D82" s="9">
        <v>3554.2025500799996</v>
      </c>
      <c r="E82" s="48">
        <v>46966</v>
      </c>
      <c r="F82" s="9">
        <f>(1+'Task d'!C90)*F81+'Task g data'!D82</f>
        <v>220844.08373186932</v>
      </c>
      <c r="I82" s="5">
        <f t="shared" ca="1" si="7"/>
        <v>2.3780785385097345E-2</v>
      </c>
      <c r="J82" s="5">
        <f t="shared" ca="1" si="9"/>
        <v>6.5338741815404123E-3</v>
      </c>
      <c r="K82" s="9">
        <f t="shared" ca="1" si="10"/>
        <v>203486.09590725019</v>
      </c>
      <c r="L82" s="5">
        <v>79</v>
      </c>
      <c r="M82" s="9">
        <v>362367.9844455148</v>
      </c>
      <c r="P82" s="5">
        <v>79</v>
      </c>
      <c r="Q82" s="9">
        <f>0.6*'Task e simulation procedure'!P83+0.4*$F$124</f>
        <v>582583.80683735595</v>
      </c>
      <c r="T82" s="5">
        <v>79</v>
      </c>
      <c r="U82" s="9">
        <f t="shared" si="8"/>
        <v>582583.80683735595</v>
      </c>
      <c r="V82" s="5" t="s">
        <v>39</v>
      </c>
    </row>
    <row r="83" spans="4:22" outlineLevel="1" x14ac:dyDescent="0.2">
      <c r="D83" s="9">
        <v>3554.2025500799996</v>
      </c>
      <c r="E83" s="48">
        <v>46997</v>
      </c>
      <c r="F83" s="9">
        <f>(1+'Task d'!C91)*F82+'Task g data'!D83</f>
        <v>225248.90678234524</v>
      </c>
      <c r="I83" s="5">
        <f t="shared" ca="1" si="7"/>
        <v>-1.7925803613079914E-2</v>
      </c>
      <c r="J83" s="5">
        <f t="shared" ca="1" si="9"/>
        <v>6.5513797283428864E-3</v>
      </c>
      <c r="K83" s="9">
        <f t="shared" ca="1" si="10"/>
        <v>207151.4216786481</v>
      </c>
      <c r="L83" s="5">
        <v>80</v>
      </c>
      <c r="M83" s="9">
        <v>362551.11258983461</v>
      </c>
      <c r="P83" s="5">
        <v>80</v>
      </c>
      <c r="Q83" s="9">
        <f>0.6*'Task e simulation procedure'!P84+0.4*$F$124</f>
        <v>575051.76692928025</v>
      </c>
      <c r="T83" s="5">
        <v>80</v>
      </c>
      <c r="U83" s="9">
        <f t="shared" si="8"/>
        <v>575051.76692928025</v>
      </c>
      <c r="V83" s="5" t="s">
        <v>39</v>
      </c>
    </row>
    <row r="84" spans="4:22" outlineLevel="1" x14ac:dyDescent="0.2">
      <c r="D84" s="9">
        <v>3554.2025500799996</v>
      </c>
      <c r="E84" s="48">
        <v>47027</v>
      </c>
      <c r="F84" s="9">
        <f>(1+'Task d'!C92)*F83+'Task g data'!D84</f>
        <v>229675.19331630674</v>
      </c>
      <c r="I84" s="5">
        <f t="shared" ca="1" si="7"/>
        <v>-0.1248207079149294</v>
      </c>
      <c r="J84" s="5">
        <f t="shared" ca="1" si="9"/>
        <v>6.5469729120046973E-3</v>
      </c>
      <c r="K84" s="9">
        <f t="shared" ca="1" si="10"/>
        <v>210818.67296008259</v>
      </c>
      <c r="L84" s="5">
        <v>81</v>
      </c>
      <c r="M84" s="9">
        <v>362344.33553265373</v>
      </c>
      <c r="P84" s="5">
        <v>81</v>
      </c>
      <c r="Q84" s="9">
        <f>0.6*'Task e simulation procedure'!P85+0.4*$F$124</f>
        <v>587260.03857026598</v>
      </c>
      <c r="T84" s="5">
        <v>81</v>
      </c>
      <c r="U84" s="9">
        <f t="shared" si="8"/>
        <v>587260.03857026598</v>
      </c>
      <c r="V84" s="5" t="s">
        <v>39</v>
      </c>
    </row>
    <row r="85" spans="4:22" outlineLevel="1" x14ac:dyDescent="0.2">
      <c r="D85" s="9">
        <v>3554.2025500799996</v>
      </c>
      <c r="E85" s="48">
        <v>47058</v>
      </c>
      <c r="F85" s="9">
        <f>(1+'Task d'!C93)*F84+'Task g data'!D85</f>
        <v>234122.97056165175</v>
      </c>
      <c r="I85" s="5">
        <f t="shared" ca="1" si="7"/>
        <v>6.0850539938008187E-2</v>
      </c>
      <c r="J85" s="5">
        <f t="shared" ca="1" si="9"/>
        <v>6.4865643925736578E-3</v>
      </c>
      <c r="K85" s="9">
        <f t="shared" ca="1" si="10"/>
        <v>214486.86372349164</v>
      </c>
      <c r="L85" s="5">
        <v>82</v>
      </c>
      <c r="M85" s="9">
        <v>362843.77839120833</v>
      </c>
      <c r="P85" s="5">
        <v>82</v>
      </c>
      <c r="Q85" s="9">
        <f>0.6*'Task e simulation procedure'!P86+0.4*$F$124</f>
        <v>590226.03051161673</v>
      </c>
      <c r="T85" s="5">
        <v>82</v>
      </c>
      <c r="U85" s="9">
        <f t="shared" si="8"/>
        <v>590226.03051161673</v>
      </c>
      <c r="V85" s="5" t="s">
        <v>39</v>
      </c>
    </row>
    <row r="86" spans="4:22" outlineLevel="1" x14ac:dyDescent="0.2">
      <c r="D86" s="9">
        <v>3554.2025500799996</v>
      </c>
      <c r="E86" s="48">
        <v>47088</v>
      </c>
      <c r="F86" s="9">
        <f>(1+'Task d'!C94)*F85+'Task g data'!D86</f>
        <v>238592.24533111404</v>
      </c>
      <c r="I86" s="5">
        <f t="shared" ca="1" si="7"/>
        <v>1.1231046441777988E-3</v>
      </c>
      <c r="J86" s="5">
        <f t="shared" ca="1" si="9"/>
        <v>6.5235359737339767E-3</v>
      </c>
      <c r="K86" s="9">
        <f t="shared" ca="1" si="10"/>
        <v>218157.69903739999</v>
      </c>
      <c r="L86" s="5">
        <v>83</v>
      </c>
      <c r="M86" s="9">
        <v>362857.40257438662</v>
      </c>
      <c r="P86" s="5">
        <v>83</v>
      </c>
      <c r="Q86" s="9">
        <f>0.6*'Task e simulation procedure'!P87+0.4*$F$124</f>
        <v>581636.56993779249</v>
      </c>
      <c r="T86" s="5">
        <v>83</v>
      </c>
      <c r="U86" s="9">
        <f t="shared" si="8"/>
        <v>581636.56993779249</v>
      </c>
      <c r="V86" s="5" t="s">
        <v>39</v>
      </c>
    </row>
    <row r="87" spans="4:22" outlineLevel="1" x14ac:dyDescent="0.2">
      <c r="D87" s="9">
        <v>3554.2025500799996</v>
      </c>
      <c r="E87" s="48">
        <v>47119</v>
      </c>
      <c r="F87" s="9">
        <f>(1+'Task d'!C95)*F86+'Task g data'!D87</f>
        <v>243083.00317918492</v>
      </c>
      <c r="I87" s="5">
        <f t="shared" ca="1" si="7"/>
        <v>-0.23832572993749634</v>
      </c>
      <c r="J87" s="5">
        <f t="shared" ca="1" si="9"/>
        <v>6.5292165448895554E-3</v>
      </c>
      <c r="K87" s="9">
        <f t="shared" ca="1" si="10"/>
        <v>221830.63379055768</v>
      </c>
      <c r="L87" s="5">
        <v>84</v>
      </c>
      <c r="M87" s="9">
        <v>362117.3933704464</v>
      </c>
      <c r="P87" s="5">
        <v>84</v>
      </c>
      <c r="Q87" s="9">
        <f>0.6*'Task e simulation procedure'!P88+0.4*$F$124</f>
        <v>583238.17695248383</v>
      </c>
      <c r="T87" s="5">
        <v>84</v>
      </c>
      <c r="U87" s="9">
        <f t="shared" si="8"/>
        <v>583238.17695248383</v>
      </c>
      <c r="V87" s="5" t="s">
        <v>39</v>
      </c>
    </row>
    <row r="88" spans="4:22" outlineLevel="1" x14ac:dyDescent="0.2">
      <c r="D88" s="9">
        <v>3696.3706520831997</v>
      </c>
      <c r="E88" s="48">
        <v>47150</v>
      </c>
      <c r="F88" s="9">
        <f>(1+'Task d'!C96)*F87+'Task g data'!D88</f>
        <v>247737.3756482816</v>
      </c>
      <c r="I88" s="5">
        <f t="shared" ca="1" si="7"/>
        <v>8.8028581209921991E-3</v>
      </c>
      <c r="J88" s="5">
        <f t="shared" ca="1" si="9"/>
        <v>6.4095574505294017E-3</v>
      </c>
      <c r="K88" s="9">
        <f t="shared" ca="1" si="10"/>
        <v>225645.52244111718</v>
      </c>
      <c r="L88" s="5">
        <v>85</v>
      </c>
      <c r="M88" s="9">
        <v>362438.85897548107</v>
      </c>
      <c r="P88" s="5">
        <v>85</v>
      </c>
      <c r="Q88" s="9">
        <f>0.6*'Task e simulation procedure'!P89+0.4*$F$124</f>
        <v>582521.91641198983</v>
      </c>
      <c r="T88" s="5">
        <v>85</v>
      </c>
      <c r="U88" s="9">
        <f t="shared" si="8"/>
        <v>582521.91641198983</v>
      </c>
      <c r="V88" s="5" t="s">
        <v>39</v>
      </c>
    </row>
    <row r="89" spans="4:22" outlineLevel="1" x14ac:dyDescent="0.2">
      <c r="D89" s="9">
        <v>3696.3706520831997</v>
      </c>
      <c r="E89" s="48">
        <v>47178</v>
      </c>
      <c r="F89" s="9">
        <f>(1+'Task d'!C97)*F88+'Task g data'!D89</f>
        <v>252413.69745523008</v>
      </c>
      <c r="I89" s="5">
        <f t="shared" ca="1" si="7"/>
        <v>-0.13691287555979414</v>
      </c>
      <c r="J89" s="5">
        <f t="shared" ca="1" si="9"/>
        <v>6.4196335642654669E-3</v>
      </c>
      <c r="K89" s="9">
        <f t="shared" ca="1" si="10"/>
        <v>229462.63885209171</v>
      </c>
      <c r="L89" s="5">
        <v>86</v>
      </c>
      <c r="M89" s="9">
        <v>362993.29708592081</v>
      </c>
      <c r="P89" s="5">
        <v>86</v>
      </c>
      <c r="Q89" s="9">
        <f>0.6*'Task e simulation procedure'!P90+0.4*$F$124</f>
        <v>582054.90481214528</v>
      </c>
      <c r="T89" s="5">
        <v>86</v>
      </c>
      <c r="U89" s="9">
        <f t="shared" si="8"/>
        <v>582054.90481214528</v>
      </c>
      <c r="V89" s="5" t="s">
        <v>39</v>
      </c>
    </row>
    <row r="90" spans="4:22" outlineLevel="1" x14ac:dyDescent="0.2">
      <c r="D90" s="9">
        <v>3696.3706520831997</v>
      </c>
      <c r="E90" s="48">
        <v>47209</v>
      </c>
      <c r="F90" s="9">
        <f>(1+'Task d'!C98)*F89+'Task g data'!D90</f>
        <v>257111.89122802191</v>
      </c>
      <c r="I90" s="5">
        <f t="shared" ca="1" si="7"/>
        <v>-0.10611313224976329</v>
      </c>
      <c r="J90" s="5">
        <f t="shared" ca="1" si="9"/>
        <v>6.3540564881855452E-3</v>
      </c>
      <c r="K90" s="9">
        <f t="shared" ca="1" si="10"/>
        <v>233280.54322510684</v>
      </c>
      <c r="L90" s="5">
        <v>87</v>
      </c>
      <c r="M90" s="9">
        <v>362635.54278389545</v>
      </c>
      <c r="P90" s="5">
        <v>87</v>
      </c>
      <c r="Q90" s="9">
        <f>0.6*'Task e simulation procedure'!P91+0.4*$F$124</f>
        <v>582411.46024684224</v>
      </c>
      <c r="T90" s="5">
        <v>87</v>
      </c>
      <c r="U90" s="9">
        <f t="shared" si="8"/>
        <v>582411.46024684224</v>
      </c>
      <c r="V90" s="5" t="s">
        <v>39</v>
      </c>
    </row>
    <row r="91" spans="4:22" outlineLevel="1" x14ac:dyDescent="0.2">
      <c r="D91" s="9">
        <v>3696.3706520831997</v>
      </c>
      <c r="E91" s="48">
        <v>47239</v>
      </c>
      <c r="F91" s="9">
        <f>(1+'Task d'!C99)*F90+'Task g data'!D91</f>
        <v>261831.8543614636</v>
      </c>
      <c r="I91" s="5">
        <f t="shared" ca="1" si="7"/>
        <v>8.793509647145778E-2</v>
      </c>
      <c r="J91" s="5">
        <f t="shared" ca="1" si="9"/>
        <v>6.3049857680306772E-3</v>
      </c>
      <c r="K91" s="9">
        <f t="shared" ca="1" si="10"/>
        <v>237099.51529145948</v>
      </c>
      <c r="L91" s="5">
        <v>88</v>
      </c>
      <c r="M91" s="9">
        <v>362571.8058729645</v>
      </c>
      <c r="P91" s="5">
        <v>88</v>
      </c>
      <c r="Q91" s="9">
        <f>0.6*'Task e simulation procedure'!P92+0.4*$F$124</f>
        <v>589176.74071003369</v>
      </c>
      <c r="T91" s="5">
        <v>88</v>
      </c>
      <c r="U91" s="9">
        <f t="shared" si="8"/>
        <v>589176.74071003369</v>
      </c>
      <c r="V91" s="5" t="s">
        <v>39</v>
      </c>
    </row>
    <row r="92" spans="4:22" outlineLevel="1" x14ac:dyDescent="0.2">
      <c r="D92" s="9">
        <v>3696.3706520831997</v>
      </c>
      <c r="E92" s="48">
        <v>47270</v>
      </c>
      <c r="F92" s="9">
        <f>(1+'Task d'!C100)*F91+'Task g data'!D92</f>
        <v>266573.45808695414</v>
      </c>
      <c r="I92" s="5">
        <f t="shared" ca="1" si="7"/>
        <v>-4.6327012710479218E-2</v>
      </c>
      <c r="J92" s="5">
        <f t="shared" ca="1" si="9"/>
        <v>6.3561060053262978E-3</v>
      </c>
      <c r="K92" s="9">
        <f t="shared" ca="1" si="10"/>
        <v>240921.50501369464</v>
      </c>
      <c r="L92" s="5">
        <v>89</v>
      </c>
      <c r="M92" s="9">
        <v>362397.02936109173</v>
      </c>
      <c r="P92" s="5">
        <v>89</v>
      </c>
      <c r="Q92" s="9">
        <f>0.6*'Task e simulation procedure'!P93+0.4*$F$124</f>
        <v>583696.52550088777</v>
      </c>
      <c r="T92" s="5">
        <v>89</v>
      </c>
      <c r="U92" s="9">
        <f t="shared" si="8"/>
        <v>583696.52550088777</v>
      </c>
      <c r="V92" s="5" t="s">
        <v>39</v>
      </c>
    </row>
    <row r="93" spans="4:22" outlineLevel="1" x14ac:dyDescent="0.2">
      <c r="D93" s="9">
        <v>3696.3706520831997</v>
      </c>
      <c r="E93" s="48">
        <v>47300</v>
      </c>
      <c r="F93" s="9">
        <f>(1+'Task d'!C101)*F92+'Task g data'!D93</f>
        <v>271336.54653069022</v>
      </c>
      <c r="I93" s="5">
        <f t="shared" ca="1" si="7"/>
        <v>-7.3123842058627223E-2</v>
      </c>
      <c r="J93" s="5">
        <f t="shared" ca="1" si="9"/>
        <v>6.3378912868970756E-3</v>
      </c>
      <c r="K93" s="9">
        <f t="shared" ca="1" si="10"/>
        <v>244745.15379989755</v>
      </c>
      <c r="L93" s="5">
        <v>90</v>
      </c>
      <c r="M93" s="9">
        <v>361891.79904891487</v>
      </c>
      <c r="P93" s="5">
        <v>90</v>
      </c>
      <c r="Q93" s="9">
        <f>0.6*'Task e simulation procedure'!P94+0.4*$F$124</f>
        <v>584426.06790752104</v>
      </c>
      <c r="T93" s="5">
        <v>90</v>
      </c>
      <c r="U93" s="9">
        <f t="shared" si="8"/>
        <v>584426.06790752104</v>
      </c>
      <c r="V93" s="5" t="s">
        <v>39</v>
      </c>
    </row>
    <row r="94" spans="4:22" outlineLevel="1" x14ac:dyDescent="0.2">
      <c r="D94" s="9">
        <v>3696.3706520831997</v>
      </c>
      <c r="E94" s="48">
        <v>47331</v>
      </c>
      <c r="F94" s="9">
        <f>(1+'Task d'!C102)*F93+'Task g data'!D94</f>
        <v>276120.93576076458</v>
      </c>
      <c r="I94" s="5">
        <f t="shared" ca="1" si="7"/>
        <v>-0.12115205439863987</v>
      </c>
      <c r="J94" s="5">
        <f t="shared" ca="1" si="9"/>
        <v>6.3059602246938922E-3</v>
      </c>
      <c r="K94" s="9">
        <f t="shared" ca="1" si="10"/>
        <v>248570.17101777965</v>
      </c>
      <c r="L94" s="5">
        <v>91</v>
      </c>
      <c r="M94" s="9">
        <v>362257.58534335822</v>
      </c>
      <c r="P94" s="5">
        <v>91</v>
      </c>
      <c r="Q94" s="9">
        <f>0.6*'Task e simulation procedure'!P95+0.4*$F$124</f>
        <v>585258.10472744307</v>
      </c>
      <c r="T94" s="5">
        <v>91</v>
      </c>
      <c r="U94" s="9">
        <f t="shared" si="8"/>
        <v>585258.10472744307</v>
      </c>
      <c r="V94" s="5" t="s">
        <v>39</v>
      </c>
    </row>
    <row r="95" spans="4:22" outlineLevel="1" x14ac:dyDescent="0.2">
      <c r="D95" s="9">
        <v>3696.3706520831997</v>
      </c>
      <c r="E95" s="48">
        <v>47362</v>
      </c>
      <c r="F95" s="9">
        <f>(1+'Task d'!C103)*F94+'Task g data'!D95</f>
        <v>280926.41282372852</v>
      </c>
      <c r="I95" s="5">
        <f t="shared" ca="1" si="7"/>
        <v>-6.4859783623146886E-3</v>
      </c>
      <c r="J95" s="5">
        <f t="shared" ca="1" si="9"/>
        <v>6.2495386901311742E-3</v>
      </c>
      <c r="K95" s="9">
        <f t="shared" ca="1" si="10"/>
        <v>252396.02946030829</v>
      </c>
      <c r="L95" s="5">
        <v>92</v>
      </c>
      <c r="M95" s="9">
        <v>362337.22078445839</v>
      </c>
      <c r="P95" s="5">
        <v>92</v>
      </c>
      <c r="Q95" s="9">
        <f>0.6*'Task e simulation procedure'!P96+0.4*$F$124</f>
        <v>576673.88756091497</v>
      </c>
      <c r="T95" s="5">
        <v>92</v>
      </c>
      <c r="U95" s="9">
        <f t="shared" si="8"/>
        <v>576673.88756091497</v>
      </c>
      <c r="V95" s="5" t="s">
        <v>39</v>
      </c>
    </row>
    <row r="96" spans="4:22" outlineLevel="1" x14ac:dyDescent="0.2">
      <c r="D96" s="9">
        <v>3696.3706520831997</v>
      </c>
      <c r="E96" s="48">
        <v>47392</v>
      </c>
      <c r="F96" s="9">
        <f>(1+'Task d'!C104)*F95+'Task g data'!D96</f>
        <v>285752.73477120785</v>
      </c>
      <c r="I96" s="5">
        <f t="shared" ca="1" si="7"/>
        <v>-0.11986309585446726</v>
      </c>
      <c r="J96" s="5">
        <f t="shared" ca="1" si="9"/>
        <v>6.2523164648423946E-3</v>
      </c>
      <c r="K96" s="9">
        <f t="shared" ca="1" si="10"/>
        <v>256223.93936468006</v>
      </c>
      <c r="L96" s="5">
        <v>93</v>
      </c>
      <c r="M96" s="9">
        <v>362431.36089441366</v>
      </c>
      <c r="P96" s="5">
        <v>93</v>
      </c>
      <c r="Q96" s="9">
        <f>0.6*'Task e simulation procedure'!P97+0.4*$F$124</f>
        <v>592452.70444336371</v>
      </c>
      <c r="T96" s="5">
        <v>93</v>
      </c>
      <c r="U96" s="9">
        <f t="shared" si="8"/>
        <v>592452.70444336371</v>
      </c>
      <c r="V96" s="5" t="s">
        <v>39</v>
      </c>
    </row>
    <row r="97" spans="4:22" outlineLevel="1" x14ac:dyDescent="0.2">
      <c r="D97" s="9">
        <v>3696.3706520831997</v>
      </c>
      <c r="E97" s="48">
        <v>47423</v>
      </c>
      <c r="F97" s="9">
        <f>(1+'Task d'!C105)*F96+'Task g data'!D97</f>
        <v>290599.62767722463</v>
      </c>
      <c r="I97" s="5">
        <f t="shared" ca="1" si="7"/>
        <v>-6.3840167691533514E-2</v>
      </c>
      <c r="J97" s="5">
        <f t="shared" ca="1" si="9"/>
        <v>6.1970175892345422E-3</v>
      </c>
      <c r="K97" s="9">
        <f t="shared" ca="1" si="10"/>
        <v>260052.66287678241</v>
      </c>
      <c r="L97" s="5">
        <v>94</v>
      </c>
      <c r="M97" s="9">
        <v>361564.2798578525</v>
      </c>
      <c r="P97" s="5">
        <v>94</v>
      </c>
      <c r="Q97" s="9">
        <f>0.6*'Task e simulation procedure'!P98+0.4*$F$124</f>
        <v>585372.31257805962</v>
      </c>
      <c r="T97" s="5">
        <v>94</v>
      </c>
      <c r="U97" s="9">
        <f t="shared" si="8"/>
        <v>585372.31257805962</v>
      </c>
      <c r="V97" s="5" t="s">
        <v>39</v>
      </c>
    </row>
    <row r="98" spans="4:22" outlineLevel="1" x14ac:dyDescent="0.2">
      <c r="D98" s="9">
        <v>3696.3706520831997</v>
      </c>
      <c r="E98" s="48">
        <v>47453</v>
      </c>
      <c r="F98" s="9">
        <f>(1+'Task d'!C106)*F97+'Task g data'!D98</f>
        <v>295466.78564693563</v>
      </c>
      <c r="I98" s="5">
        <f t="shared" ca="1" si="7"/>
        <v>-3.8414851548771847E-2</v>
      </c>
      <c r="J98" s="5">
        <f t="shared" ca="1" si="9"/>
        <v>6.1707585690079746E-3</v>
      </c>
      <c r="K98" s="9">
        <f t="shared" ca="1" si="10"/>
        <v>263882.79476775107</v>
      </c>
      <c r="L98" s="5">
        <v>95</v>
      </c>
      <c r="M98" s="9">
        <v>362146.75653437158</v>
      </c>
      <c r="P98" s="5">
        <v>95</v>
      </c>
      <c r="Q98" s="9">
        <f>0.6*'Task e simulation procedure'!P99+0.4*$F$124</f>
        <v>575437.68797190697</v>
      </c>
      <c r="T98" s="5">
        <v>95</v>
      </c>
      <c r="U98" s="9">
        <f t="shared" si="8"/>
        <v>575437.68797190697</v>
      </c>
      <c r="V98" s="5" t="s">
        <v>39</v>
      </c>
    </row>
    <row r="99" spans="4:22" outlineLevel="1" x14ac:dyDescent="0.2">
      <c r="D99" s="9">
        <v>3696.3706520831997</v>
      </c>
      <c r="E99" s="48">
        <v>47484</v>
      </c>
      <c r="F99" s="9">
        <f>(1+'Task d'!C107)*F98+'Task g data'!D99</f>
        <v>300353.86981765868</v>
      </c>
      <c r="I99" s="5">
        <f t="shared" ca="1" si="7"/>
        <v>-4.720921620958321E-2</v>
      </c>
      <c r="J99" s="5">
        <f t="shared" ca="1" si="9"/>
        <v>6.1576012605566452E-3</v>
      </c>
      <c r="K99" s="9">
        <f t="shared" ca="1" si="10"/>
        <v>267714.60725253745</v>
      </c>
      <c r="L99" s="5">
        <v>96</v>
      </c>
      <c r="M99" s="9">
        <v>362378.54254257923</v>
      </c>
      <c r="P99" s="5">
        <v>96</v>
      </c>
      <c r="Q99" s="9">
        <f>0.6*'Task e simulation procedure'!P100+0.4*$F$124</f>
        <v>586782.30366793158</v>
      </c>
      <c r="T99" s="5">
        <v>96</v>
      </c>
      <c r="U99" s="9">
        <f t="shared" si="8"/>
        <v>586782.30366793158</v>
      </c>
      <c r="V99" s="5" t="s">
        <v>39</v>
      </c>
    </row>
    <row r="100" spans="4:22" outlineLevel="1" x14ac:dyDescent="0.2">
      <c r="D100" s="9">
        <v>3844.2254781665279</v>
      </c>
      <c r="E100" s="48">
        <v>47515</v>
      </c>
      <c r="F100" s="9">
        <f>(1+'Task d'!C108)*F99+'Task g data'!D100</f>
        <v>305408.36217907903</v>
      </c>
      <c r="I100" s="5">
        <f t="shared" ref="I100:I123" ca="1" si="11">_xlfn.NORM.INV(RAND(),0,Deltat)</f>
        <v>0.13010214535460154</v>
      </c>
      <c r="J100" s="5">
        <f t="shared" ca="1" si="9"/>
        <v>6.1400433382679661E-3</v>
      </c>
      <c r="K100" s="9">
        <f t="shared" ca="1" si="10"/>
        <v>271695.84938895865</v>
      </c>
      <c r="L100" s="5">
        <v>97</v>
      </c>
      <c r="M100" s="9">
        <v>362391.92866719404</v>
      </c>
      <c r="P100" s="5">
        <v>97</v>
      </c>
      <c r="Q100" s="9">
        <f>0.6*'Task e simulation procedure'!P101+0.4*$F$124</f>
        <v>581394.56034429488</v>
      </c>
      <c r="T100" s="5">
        <v>97</v>
      </c>
      <c r="U100" s="9">
        <f t="shared" si="8"/>
        <v>581394.56034429488</v>
      </c>
      <c r="V100" s="5" t="s">
        <v>39</v>
      </c>
    </row>
    <row r="101" spans="4:22" outlineLevel="1" x14ac:dyDescent="0.2">
      <c r="D101" s="9">
        <v>3844.2254781665279</v>
      </c>
      <c r="E101" s="48">
        <v>47543</v>
      </c>
      <c r="F101" s="9">
        <f>(1+'Task d'!C109)*F100+'Task g data'!D101</f>
        <v>310482.59555674635</v>
      </c>
      <c r="I101" s="5">
        <f t="shared" ca="1" si="11"/>
        <v>-0.12144461582310064</v>
      </c>
      <c r="J101" s="5">
        <f t="shared" ref="J101:J123" ca="1" si="12">J100+Kappa*(Theta-J100)*Deltat+Sigma*SQRT(J100)*I100</f>
        <v>6.2125744995104037E-3</v>
      </c>
      <c r="K101" s="9">
        <f t="shared" ref="K101:K122" ca="1" si="13">EXP(J101*Deltat)*K100+D101</f>
        <v>275680.77217663225</v>
      </c>
      <c r="L101" s="5">
        <v>98</v>
      </c>
      <c r="M101" s="9">
        <v>362087.18646878214</v>
      </c>
      <c r="P101" s="5">
        <v>98</v>
      </c>
      <c r="Q101" s="9">
        <f>0.6*'Task e simulation procedure'!P102+0.4*$F$124</f>
        <v>580310.71940868651</v>
      </c>
      <c r="T101" s="5">
        <v>98</v>
      </c>
      <c r="U101" s="9">
        <f>Q101</f>
        <v>580310.71940868651</v>
      </c>
      <c r="V101" s="5" t="s">
        <v>39</v>
      </c>
    </row>
    <row r="102" spans="4:22" outlineLevel="1" x14ac:dyDescent="0.2">
      <c r="D102" s="9">
        <v>3844.2254781665279</v>
      </c>
      <c r="E102" s="48">
        <v>47574</v>
      </c>
      <c r="F102" s="9">
        <f>(1+'Task d'!C110)*F101+'Task g data'!D102</f>
        <v>315576.12743909861</v>
      </c>
      <c r="I102" s="5">
        <f t="shared" ca="1" si="11"/>
        <v>0.18381704445856167</v>
      </c>
      <c r="J102" s="5">
        <f t="shared" ca="1" si="12"/>
        <v>6.1568095262983791E-3</v>
      </c>
      <c r="K102" s="9">
        <f t="shared" ca="1" si="13"/>
        <v>279666.4767795591</v>
      </c>
      <c r="L102" s="5">
        <v>99</v>
      </c>
      <c r="M102" s="9">
        <v>362251.02810713864</v>
      </c>
      <c r="P102" s="5">
        <v>99</v>
      </c>
      <c r="Q102" s="9">
        <f>0.6*'Task e simulation procedure'!P103+0.4*$F$124</f>
        <v>583616.29548884113</v>
      </c>
      <c r="T102" s="5">
        <v>99</v>
      </c>
      <c r="U102" s="9">
        <f>Q102</f>
        <v>583616.29548884113</v>
      </c>
      <c r="V102" s="5" t="s">
        <v>39</v>
      </c>
    </row>
    <row r="103" spans="4:22" outlineLevel="1" x14ac:dyDescent="0.2">
      <c r="D103" s="9">
        <v>3844.2254781665279</v>
      </c>
      <c r="E103" s="48">
        <v>47604</v>
      </c>
      <c r="F103" s="9">
        <f>(1+'Task d'!C111)*F102+'Task g data'!D103</f>
        <v>320688.47755580052</v>
      </c>
      <c r="I103" s="5">
        <f t="shared" ca="1" si="11"/>
        <v>-4.0292062248033708E-3</v>
      </c>
      <c r="J103" s="5">
        <f t="shared" ca="1" si="12"/>
        <v>6.2566682202168577E-3</v>
      </c>
      <c r="K103" s="9">
        <f t="shared" ca="1" si="13"/>
        <v>283656.5553073046</v>
      </c>
      <c r="L103" s="5">
        <v>100</v>
      </c>
      <c r="M103" s="9">
        <v>362624.41740957351</v>
      </c>
      <c r="P103" s="5">
        <v>100</v>
      </c>
      <c r="Q103" s="9">
        <f>0.6*'Task e simulation procedure'!P104+0.4*$F$124</f>
        <v>592361.48811456142</v>
      </c>
      <c r="T103" s="5">
        <v>100</v>
      </c>
      <c r="U103" s="9">
        <f>Q103</f>
        <v>592361.48811456142</v>
      </c>
      <c r="V103" s="5" t="s">
        <v>39</v>
      </c>
    </row>
    <row r="104" spans="4:22" x14ac:dyDescent="0.2">
      <c r="D104" s="9">
        <v>3844.2254781665279</v>
      </c>
      <c r="E104" s="48">
        <v>47635</v>
      </c>
      <c r="F104" s="9">
        <f>(1+'Task d'!C112)*F103+'Task g data'!D104</f>
        <v>325819.12682462507</v>
      </c>
      <c r="I104" s="5">
        <f t="shared" ca="1" si="11"/>
        <v>-3.5489209931186101E-2</v>
      </c>
      <c r="J104" s="5">
        <f t="shared" ca="1" si="12"/>
        <v>6.2606765959404695E-3</v>
      </c>
      <c r="K104" s="9">
        <f t="shared" ca="1" si="13"/>
        <v>287648.80956021673</v>
      </c>
      <c r="L104" s="49"/>
      <c r="M104" s="9"/>
      <c r="T104" s="50">
        <v>1</v>
      </c>
      <c r="U104" s="9">
        <f t="shared" ref="U104:U135" ca="1" si="14">M4</f>
        <v>361805.43728144793</v>
      </c>
      <c r="V104" s="5" t="s">
        <v>40</v>
      </c>
    </row>
    <row r="105" spans="4:22" x14ac:dyDescent="0.2">
      <c r="D105" s="9">
        <v>3844.2254781665279</v>
      </c>
      <c r="E105" s="48">
        <v>47665</v>
      </c>
      <c r="F105" s="9">
        <f>(1+'Task d'!C113)*F104+'Task g data'!D105</f>
        <v>330967.5162967919</v>
      </c>
      <c r="I105" s="5">
        <f t="shared" ca="1" si="11"/>
        <v>-4.2347867777837368E-2</v>
      </c>
      <c r="J105" s="5">
        <f t="shared" ca="1" si="12"/>
        <v>6.248546691537368E-3</v>
      </c>
      <c r="K105" s="9">
        <f t="shared" ca="1" si="13"/>
        <v>291642.85629331938</v>
      </c>
      <c r="L105" s="49"/>
      <c r="M105" s="9"/>
      <c r="T105" s="50">
        <v>2</v>
      </c>
      <c r="U105" s="9">
        <f t="shared" si="14"/>
        <v>363046.49349401356</v>
      </c>
      <c r="V105" s="5" t="s">
        <v>40</v>
      </c>
    </row>
    <row r="106" spans="4:22" x14ac:dyDescent="0.2">
      <c r="D106" s="9">
        <v>3844.2254781665279</v>
      </c>
      <c r="E106" s="48">
        <v>47696</v>
      </c>
      <c r="F106" s="9">
        <f>(1+'Task d'!C114)*F105+'Task g data'!D106</f>
        <v>336133.04610190878</v>
      </c>
      <c r="I106" s="5">
        <f t="shared" ca="1" si="11"/>
        <v>0.1910794321377568</v>
      </c>
      <c r="J106" s="5">
        <f t="shared" ca="1" si="12"/>
        <v>6.2329673609339102E-3</v>
      </c>
      <c r="K106" s="9">
        <f t="shared" ca="1" si="13"/>
        <v>295638.6044866122</v>
      </c>
      <c r="L106" s="49"/>
      <c r="M106" s="9"/>
      <c r="T106" s="50">
        <v>3</v>
      </c>
      <c r="U106" s="9">
        <f t="shared" si="14"/>
        <v>362735.8833495577</v>
      </c>
      <c r="V106" s="5" t="s">
        <v>40</v>
      </c>
    </row>
    <row r="107" spans="4:22" x14ac:dyDescent="0.2">
      <c r="D107" s="9">
        <v>3844.2254781665279</v>
      </c>
      <c r="E107" s="48">
        <v>47727</v>
      </c>
      <c r="F107" s="9">
        <f>(1+'Task d'!C115)*F106+'Task g data'!D107</f>
        <v>341315.07439428294</v>
      </c>
      <c r="I107" s="5">
        <f t="shared" ca="1" si="11"/>
        <v>-3.8076702589893208E-2</v>
      </c>
      <c r="J107" s="5">
        <f t="shared" ca="1" si="12"/>
        <v>6.3368361560173694E-3</v>
      </c>
      <c r="K107" s="9">
        <f t="shared" ca="1" si="13"/>
        <v>299638.98897573812</v>
      </c>
      <c r="L107" s="49"/>
      <c r="M107" s="5"/>
      <c r="T107" s="50">
        <v>4</v>
      </c>
      <c r="U107" s="9">
        <f t="shared" si="14"/>
        <v>363295.76466738223</v>
      </c>
      <c r="V107" s="5" t="s">
        <v>40</v>
      </c>
    </row>
    <row r="108" spans="4:22" x14ac:dyDescent="0.2">
      <c r="D108" s="9">
        <v>3844.2254781665279</v>
      </c>
      <c r="E108" s="48">
        <v>47757</v>
      </c>
      <c r="F108" s="9">
        <f>(1+'Task d'!C116)*F107+'Task g data'!D108</f>
        <v>346512.91630189377</v>
      </c>
      <c r="I108" s="5">
        <f t="shared" ca="1" si="11"/>
        <v>-1.7670742249440794E-2</v>
      </c>
      <c r="J108" s="5">
        <f t="shared" ca="1" si="12"/>
        <v>6.3229822954235819E-3</v>
      </c>
      <c r="K108" s="9">
        <f t="shared" ca="1" si="13"/>
        <v>303641.14039223146</v>
      </c>
      <c r="L108" s="49"/>
      <c r="M108" s="5"/>
      <c r="T108" s="50">
        <v>5</v>
      </c>
      <c r="U108" s="9">
        <f t="shared" si="14"/>
        <v>361941.77208470704</v>
      </c>
      <c r="V108" s="5" t="s">
        <v>40</v>
      </c>
    </row>
    <row r="109" spans="4:22" x14ac:dyDescent="0.2">
      <c r="D109" s="9">
        <v>3844.2254781665279</v>
      </c>
      <c r="E109" s="48">
        <v>47788</v>
      </c>
      <c r="F109" s="9">
        <f>(1+'Task d'!C117)*F108+'Task g data'!D109</f>
        <v>351725.84287989332</v>
      </c>
      <c r="I109" s="5">
        <f t="shared" ca="1" si="11"/>
        <v>-5.1659396836757146E-2</v>
      </c>
      <c r="J109" s="5">
        <f t="shared" ca="1" si="12"/>
        <v>6.3197104997244173E-3</v>
      </c>
      <c r="K109" s="9">
        <f t="shared" ca="1" si="13"/>
        <v>307645.3183275091</v>
      </c>
      <c r="L109" s="49"/>
      <c r="M109" s="5"/>
      <c r="T109" s="50">
        <v>6</v>
      </c>
      <c r="U109" s="9">
        <f t="shared" si="14"/>
        <v>361956.83096232696</v>
      </c>
      <c r="V109" s="5" t="s">
        <v>40</v>
      </c>
    </row>
    <row r="110" spans="4:22" x14ac:dyDescent="0.2">
      <c r="D110" s="9">
        <v>3844.2254781665279</v>
      </c>
      <c r="E110" s="48">
        <v>47818</v>
      </c>
      <c r="F110" s="9">
        <f>(1+'Task d'!C118)*F109+'Task g data'!D110</f>
        <v>356953.08007032191</v>
      </c>
      <c r="I110" s="5">
        <f t="shared" ca="1" si="11"/>
        <v>-8.7114709283467873E-2</v>
      </c>
      <c r="J110" s="5">
        <f t="shared" ca="1" si="12"/>
        <v>6.2989523268921609E-3</v>
      </c>
      <c r="K110" s="9">
        <f t="shared" ca="1" si="13"/>
        <v>311651.0731291743</v>
      </c>
      <c r="L110" s="49"/>
      <c r="M110" s="5"/>
      <c r="T110" s="50">
        <v>7</v>
      </c>
      <c r="U110" s="9">
        <f t="shared" si="14"/>
        <v>361741.21146583615</v>
      </c>
      <c r="V110" s="5" t="s">
        <v>40</v>
      </c>
    </row>
    <row r="111" spans="4:22" x14ac:dyDescent="0.2">
      <c r="D111" s="9">
        <v>3844.2254781665279</v>
      </c>
      <c r="E111" s="48">
        <v>47849</v>
      </c>
      <c r="F111" s="9">
        <f>(1+'Task d'!C119)*F110+'Task g data'!D111</f>
        <v>362193.80766986351</v>
      </c>
      <c r="I111" s="5">
        <f t="shared" ca="1" si="11"/>
        <v>5.0848499654174345E-2</v>
      </c>
      <c r="J111" s="5">
        <f t="shared" ca="1" si="12"/>
        <v>6.260088156764607E-3</v>
      </c>
      <c r="K111" s="9">
        <f t="shared" ca="1" si="13"/>
        <v>315657.92128766078</v>
      </c>
      <c r="L111" s="49"/>
      <c r="M111" s="5"/>
      <c r="T111" s="50">
        <v>8</v>
      </c>
      <c r="U111" s="9">
        <f t="shared" si="14"/>
        <v>361975.22592216684</v>
      </c>
      <c r="V111" s="5" t="s">
        <v>40</v>
      </c>
    </row>
    <row r="112" spans="4:22" x14ac:dyDescent="0.2">
      <c r="D112" s="9">
        <v>3997.9944972931889</v>
      </c>
      <c r="E112" s="48">
        <v>47880</v>
      </c>
      <c r="F112" s="9">
        <f>(1+'Task d'!C120)*F111+'Task g data'!D112</f>
        <v>367600.92732686677</v>
      </c>
      <c r="I112" s="5">
        <f t="shared" ca="1" si="11"/>
        <v>-0.12537693735297001</v>
      </c>
      <c r="J112" s="5">
        <f t="shared" ca="1" si="12"/>
        <v>6.292206312511049E-3</v>
      </c>
      <c r="K112" s="9">
        <f t="shared" ca="1" si="13"/>
        <v>319821.47458365903</v>
      </c>
      <c r="L112" s="49"/>
      <c r="M112" s="5"/>
      <c r="T112" s="50">
        <v>9</v>
      </c>
      <c r="U112" s="9">
        <f t="shared" si="14"/>
        <v>362516.89049123105</v>
      </c>
      <c r="V112" s="5" t="s">
        <v>40</v>
      </c>
    </row>
    <row r="113" spans="4:22" x14ac:dyDescent="0.2">
      <c r="D113" s="9">
        <v>3997.9944972931889</v>
      </c>
      <c r="E113" s="48">
        <v>47908</v>
      </c>
      <c r="F113" s="9">
        <f>(1+'Task d'!C121)*F112+'Task g data'!D113</f>
        <v>373020.34906296234</v>
      </c>
      <c r="I113" s="5">
        <f t="shared" ca="1" si="11"/>
        <v>1.117025597896903E-2</v>
      </c>
      <c r="J113" s="5">
        <f t="shared" ca="1" si="12"/>
        <v>6.233732606560652E-3</v>
      </c>
      <c r="K113" s="9">
        <f t="shared" ca="1" si="13"/>
        <v>323985.65237100568</v>
      </c>
      <c r="L113" s="49"/>
      <c r="M113" s="5"/>
      <c r="T113" s="50">
        <v>10</v>
      </c>
      <c r="U113" s="9">
        <f t="shared" si="14"/>
        <v>361951.54547810205</v>
      </c>
      <c r="V113" s="5" t="s">
        <v>40</v>
      </c>
    </row>
    <row r="114" spans="4:22" x14ac:dyDescent="0.2">
      <c r="D114" s="9">
        <v>3997.9944972931889</v>
      </c>
      <c r="E114" s="48">
        <v>47939</v>
      </c>
      <c r="F114" s="9">
        <f>(1+'Task d'!C122)*F113+'Task g data'!D114</f>
        <v>378451.10250599834</v>
      </c>
      <c r="I114" s="5">
        <f t="shared" ca="1" si="11"/>
        <v>0.12616411989387685</v>
      </c>
      <c r="J114" s="5">
        <f t="shared" ca="1" si="12"/>
        <v>6.2456017371552101E-3</v>
      </c>
      <c r="K114" s="9">
        <f t="shared" ca="1" si="13"/>
        <v>328152.31453689176</v>
      </c>
      <c r="L114" s="49"/>
      <c r="M114" s="5"/>
      <c r="T114" s="50">
        <v>11</v>
      </c>
      <c r="U114" s="9">
        <f t="shared" si="14"/>
        <v>363124.34772833542</v>
      </c>
      <c r="V114" s="5" t="s">
        <v>40</v>
      </c>
    </row>
    <row r="115" spans="4:22" x14ac:dyDescent="0.2">
      <c r="D115" s="9">
        <v>3997.9944972931889</v>
      </c>
      <c r="E115" s="48">
        <v>47969</v>
      </c>
      <c r="F115" s="9">
        <f>(1+'Task d'!C123)*F114+'Task g data'!D115</f>
        <v>383892.16610330419</v>
      </c>
      <c r="I115" s="5">
        <f t="shared" ca="1" si="11"/>
        <v>4.0963589035843781E-2</v>
      </c>
      <c r="J115" s="5">
        <f t="shared" ca="1" si="12"/>
        <v>6.3162948286670014E-3</v>
      </c>
      <c r="K115" s="9">
        <f t="shared" ca="1" si="13"/>
        <v>332323.08006383816</v>
      </c>
      <c r="L115" s="49"/>
      <c r="M115" s="5"/>
      <c r="T115" s="50">
        <v>12</v>
      </c>
      <c r="U115" s="9">
        <f t="shared" si="14"/>
        <v>362413.76383749343</v>
      </c>
      <c r="V115" s="5" t="s">
        <v>40</v>
      </c>
    </row>
    <row r="116" spans="4:22" x14ac:dyDescent="0.2">
      <c r="D116" s="9">
        <v>3997.9944972931889</v>
      </c>
      <c r="E116" s="48">
        <v>48000</v>
      </c>
      <c r="F116" s="9">
        <f>(1+'Task d'!C124)*F115+'Task g data'!D116</f>
        <v>389342.46612909029</v>
      </c>
      <c r="I116" s="5">
        <f t="shared" ca="1" si="11"/>
        <v>8.9437118969301621E-2</v>
      </c>
      <c r="J116" s="5">
        <f t="shared" ca="1" si="12"/>
        <v>6.3432350244121945E-3</v>
      </c>
      <c r="K116" s="9">
        <f t="shared" ca="1" si="13"/>
        <v>336496.787948418</v>
      </c>
      <c r="L116" s="49"/>
      <c r="M116" s="5"/>
      <c r="T116" s="50">
        <v>13</v>
      </c>
      <c r="U116" s="9">
        <f t="shared" si="14"/>
        <v>362740.65649077081</v>
      </c>
      <c r="V116" s="5" t="s">
        <v>40</v>
      </c>
    </row>
    <row r="117" spans="4:22" x14ac:dyDescent="0.2">
      <c r="D117" s="9">
        <v>3997.9944972931889</v>
      </c>
      <c r="E117" s="48">
        <v>48030</v>
      </c>
      <c r="F117" s="9">
        <f>(1+'Task d'!C125)*F116+'Task g data'!D117</f>
        <v>394800.87571344874</v>
      </c>
      <c r="I117" s="5">
        <f t="shared" ca="1" si="11"/>
        <v>-2.0503670103661206E-2</v>
      </c>
      <c r="J117" s="5">
        <f t="shared" ca="1" si="12"/>
        <v>6.3951266584237661E-3</v>
      </c>
      <c r="K117" s="9">
        <f t="shared" ca="1" si="13"/>
        <v>340674.15853692364</v>
      </c>
      <c r="L117" s="49"/>
      <c r="M117" s="5"/>
      <c r="T117" s="50">
        <v>14</v>
      </c>
      <c r="U117" s="9">
        <f t="shared" si="14"/>
        <v>362634.59458353074</v>
      </c>
      <c r="V117" s="5" t="s">
        <v>40</v>
      </c>
    </row>
    <row r="118" spans="4:22" x14ac:dyDescent="0.2">
      <c r="D118" s="9">
        <v>3997.9944972931889</v>
      </c>
      <c r="E118" s="48">
        <v>48061</v>
      </c>
      <c r="F118" s="9">
        <f>(1+'Task d'!C126)*F117+'Task g data'!D118</f>
        <v>400266.21389540419</v>
      </c>
      <c r="I118" s="5">
        <f t="shared" ca="1" si="11"/>
        <v>2.8801070930503578E-2</v>
      </c>
      <c r="J118" s="5">
        <f t="shared" ca="1" si="12"/>
        <v>6.3900709145044395E-3</v>
      </c>
      <c r="K118" s="9">
        <f t="shared" ca="1" si="13"/>
        <v>344853.61234665621</v>
      </c>
      <c r="L118" s="49"/>
      <c r="M118" s="5"/>
      <c r="T118" s="50">
        <v>15</v>
      </c>
      <c r="U118" s="9">
        <f t="shared" si="14"/>
        <v>362179.75084172474</v>
      </c>
      <c r="V118" s="5" t="s">
        <v>40</v>
      </c>
    </row>
    <row r="119" spans="4:22" x14ac:dyDescent="0.2">
      <c r="D119" s="9">
        <v>3997.9944972931889</v>
      </c>
      <c r="E119" s="48">
        <v>48092</v>
      </c>
      <c r="F119" s="9">
        <f>(1+'Task d'!C127)*F118+'Task g data'!D119</f>
        <v>405737.2447029152</v>
      </c>
      <c r="I119" s="5">
        <f t="shared" ca="1" si="11"/>
        <v>9.2905000823948647E-2</v>
      </c>
      <c r="J119" s="5">
        <f t="shared" ca="1" si="12"/>
        <v>6.410565847010872E-3</v>
      </c>
      <c r="K119" s="9">
        <f t="shared" ca="1" si="13"/>
        <v>349035.88162642875</v>
      </c>
      <c r="L119" s="49"/>
      <c r="M119" s="5"/>
      <c r="T119" s="50">
        <v>16</v>
      </c>
      <c r="U119" s="9">
        <f t="shared" si="14"/>
        <v>362340.8131195968</v>
      </c>
      <c r="V119" s="5" t="s">
        <v>40</v>
      </c>
    </row>
    <row r="120" spans="4:22" x14ac:dyDescent="0.2">
      <c r="D120" s="9">
        <v>3997.9944972931889</v>
      </c>
      <c r="E120" s="48">
        <v>48122</v>
      </c>
      <c r="F120" s="9">
        <f>(1+'Task d'!C128)*F119+'Task g data'!D120</f>
        <v>411212.67626274884</v>
      </c>
      <c r="I120" s="5">
        <f t="shared" ca="1" si="11"/>
        <v>8.0658159445722216E-2</v>
      </c>
      <c r="J120" s="5">
        <f t="shared" ca="1" si="12"/>
        <v>6.4642529417233922E-3</v>
      </c>
      <c r="K120" s="9">
        <f t="shared" ca="1" si="13"/>
        <v>353221.94812726328</v>
      </c>
      <c r="L120" s="49"/>
      <c r="M120" s="5"/>
      <c r="T120" s="50">
        <v>17</v>
      </c>
      <c r="U120" s="9">
        <f t="shared" si="14"/>
        <v>363011.64112848468</v>
      </c>
      <c r="V120" s="5" t="s">
        <v>40</v>
      </c>
    </row>
    <row r="121" spans="4:22" x14ac:dyDescent="0.2">
      <c r="D121" s="9">
        <v>3997.9944972931889</v>
      </c>
      <c r="E121" s="48">
        <v>48153</v>
      </c>
      <c r="F121" s="9">
        <f>(1+'Task d'!C129)*F120+'Task g data'!D121</f>
        <v>416691.15994304803</v>
      </c>
      <c r="I121" s="5">
        <f t="shared" ca="1" si="11"/>
        <v>0.11161325241175188</v>
      </c>
      <c r="J121" s="5">
        <f t="shared" ca="1" si="12"/>
        <v>6.5115666915025999E-3</v>
      </c>
      <c r="K121" s="9">
        <f t="shared" ca="1" si="13"/>
        <v>357411.66365937592</v>
      </c>
      <c r="L121" s="49"/>
      <c r="M121" s="5"/>
      <c r="T121" s="50">
        <v>18</v>
      </c>
      <c r="U121" s="9">
        <f t="shared" si="14"/>
        <v>362590.52270691004</v>
      </c>
      <c r="V121" s="5" t="s">
        <v>40</v>
      </c>
    </row>
    <row r="122" spans="4:22" x14ac:dyDescent="0.2">
      <c r="D122" s="9">
        <v>3997.9944972931889</v>
      </c>
      <c r="E122" s="48">
        <v>48183</v>
      </c>
      <c r="F122" s="9">
        <f>(1+'Task d'!C130)*F121+'Task g data'!D122</f>
        <v>422171.28953197156</v>
      </c>
      <c r="I122" s="5">
        <f t="shared" ca="1" si="11"/>
        <v>9.8482558671599288E-2</v>
      </c>
      <c r="J122" s="5">
        <f t="shared" ca="1" si="12"/>
        <v>6.5750390918209419E-3</v>
      </c>
      <c r="K122" s="9">
        <f t="shared" ca="1" si="13"/>
        <v>361605.54478856549</v>
      </c>
      <c r="L122" s="49"/>
      <c r="M122" s="5"/>
      <c r="T122" s="50">
        <v>19</v>
      </c>
      <c r="U122" s="9">
        <f t="shared" si="14"/>
        <v>362475.48364985583</v>
      </c>
      <c r="V122" s="5" t="s">
        <v>40</v>
      </c>
    </row>
    <row r="123" spans="4:22" x14ac:dyDescent="0.2">
      <c r="D123" s="9">
        <v>3997.9944972931889</v>
      </c>
      <c r="E123" s="48">
        <v>48214</v>
      </c>
      <c r="F123" s="9">
        <f>(1+'Task d'!C131)*F122+'Task g data'!D123</f>
        <v>427651.60045536084</v>
      </c>
      <c r="I123" s="5">
        <f t="shared" ca="1" si="11"/>
        <v>-6.8977417796055734E-2</v>
      </c>
      <c r="J123" s="5">
        <f t="shared" ca="1" si="12"/>
        <v>6.6316659135425629E-3</v>
      </c>
      <c r="K123" s="9">
        <f ca="1">EXP(J123*Deltat)*K122</f>
        <v>361805.43728144793</v>
      </c>
      <c r="L123" s="49"/>
      <c r="M123" s="5"/>
      <c r="T123" s="50">
        <v>20</v>
      </c>
      <c r="U123" s="9">
        <f t="shared" si="14"/>
        <v>363108.54437079694</v>
      </c>
      <c r="V123" s="5" t="s">
        <v>40</v>
      </c>
    </row>
    <row r="124" spans="4:22" x14ac:dyDescent="0.2">
      <c r="D124" s="9"/>
      <c r="E124" s="48">
        <v>48245</v>
      </c>
      <c r="F124" s="9">
        <f>(1+'Task d'!C132)*F123+'Task g data'!D124</f>
        <v>429132.57453970669</v>
      </c>
      <c r="T124" s="5">
        <v>21</v>
      </c>
      <c r="U124" s="9">
        <f t="shared" si="14"/>
        <v>362113.1578712911</v>
      </c>
      <c r="V124" s="5" t="s">
        <v>40</v>
      </c>
    </row>
    <row r="125" spans="4:22" x14ac:dyDescent="0.2">
      <c r="T125" s="5">
        <v>22</v>
      </c>
      <c r="U125" s="9">
        <f t="shared" si="14"/>
        <v>362660.03071239049</v>
      </c>
      <c r="V125" s="5" t="s">
        <v>40</v>
      </c>
    </row>
    <row r="126" spans="4:22" x14ac:dyDescent="0.2">
      <c r="T126" s="5">
        <v>23</v>
      </c>
      <c r="U126" s="9">
        <f t="shared" si="14"/>
        <v>362884.67717971571</v>
      </c>
      <c r="V126" s="5" t="s">
        <v>40</v>
      </c>
    </row>
    <row r="127" spans="4:22" x14ac:dyDescent="0.2">
      <c r="T127" s="5">
        <v>24</v>
      </c>
      <c r="U127" s="9">
        <f t="shared" si="14"/>
        <v>362030.64522340649</v>
      </c>
      <c r="V127" s="5" t="s">
        <v>40</v>
      </c>
    </row>
    <row r="128" spans="4:22" x14ac:dyDescent="0.2">
      <c r="T128" s="5">
        <v>25</v>
      </c>
      <c r="U128" s="9">
        <f t="shared" si="14"/>
        <v>362829.17351243779</v>
      </c>
      <c r="V128" s="5" t="s">
        <v>40</v>
      </c>
    </row>
    <row r="129" spans="20:22" x14ac:dyDescent="0.2">
      <c r="T129" s="5">
        <v>26</v>
      </c>
      <c r="U129" s="9">
        <f t="shared" si="14"/>
        <v>363036.23282317235</v>
      </c>
      <c r="V129" s="5" t="s">
        <v>40</v>
      </c>
    </row>
    <row r="130" spans="20:22" x14ac:dyDescent="0.2">
      <c r="T130" s="5">
        <v>27</v>
      </c>
      <c r="U130" s="9">
        <f t="shared" si="14"/>
        <v>362853.0726935222</v>
      </c>
      <c r="V130" s="5" t="s">
        <v>40</v>
      </c>
    </row>
    <row r="131" spans="20:22" x14ac:dyDescent="0.2">
      <c r="T131" s="5">
        <v>28</v>
      </c>
      <c r="U131" s="9">
        <f t="shared" si="14"/>
        <v>362704.79689935473</v>
      </c>
      <c r="V131" s="5" t="s">
        <v>40</v>
      </c>
    </row>
    <row r="132" spans="20:22" x14ac:dyDescent="0.2">
      <c r="T132" s="5">
        <v>29</v>
      </c>
      <c r="U132" s="9">
        <f t="shared" si="14"/>
        <v>362518.76868189999</v>
      </c>
      <c r="V132" s="5" t="s">
        <v>40</v>
      </c>
    </row>
    <row r="133" spans="20:22" x14ac:dyDescent="0.2">
      <c r="T133" s="5">
        <v>30</v>
      </c>
      <c r="U133" s="9">
        <f t="shared" si="14"/>
        <v>362442.63678611652</v>
      </c>
      <c r="V133" s="5" t="s">
        <v>40</v>
      </c>
    </row>
    <row r="134" spans="20:22" x14ac:dyDescent="0.2">
      <c r="T134" s="5">
        <v>31</v>
      </c>
      <c r="U134" s="9">
        <f t="shared" si="14"/>
        <v>362279.47957353859</v>
      </c>
      <c r="V134" s="5" t="s">
        <v>40</v>
      </c>
    </row>
    <row r="135" spans="20:22" x14ac:dyDescent="0.2">
      <c r="T135" s="5">
        <v>32</v>
      </c>
      <c r="U135" s="9">
        <f t="shared" si="14"/>
        <v>362266.99152112514</v>
      </c>
      <c r="V135" s="5" t="s">
        <v>40</v>
      </c>
    </row>
    <row r="136" spans="20:22" x14ac:dyDescent="0.2">
      <c r="T136" s="5">
        <v>33</v>
      </c>
      <c r="U136" s="9">
        <f t="shared" ref="U136:U167" si="15">M36</f>
        <v>362348.31880480889</v>
      </c>
      <c r="V136" s="5" t="s">
        <v>40</v>
      </c>
    </row>
    <row r="137" spans="20:22" x14ac:dyDescent="0.2">
      <c r="T137" s="5">
        <v>34</v>
      </c>
      <c r="U137" s="9">
        <f t="shared" si="15"/>
        <v>361860.11356430495</v>
      </c>
      <c r="V137" s="5" t="s">
        <v>40</v>
      </c>
    </row>
    <row r="138" spans="20:22" x14ac:dyDescent="0.2">
      <c r="T138" s="5">
        <v>35</v>
      </c>
      <c r="U138" s="9">
        <f t="shared" si="15"/>
        <v>363009.55794426193</v>
      </c>
      <c r="V138" s="5" t="s">
        <v>40</v>
      </c>
    </row>
    <row r="139" spans="20:22" x14ac:dyDescent="0.2">
      <c r="T139" s="5">
        <v>36</v>
      </c>
      <c r="U139" s="9">
        <f t="shared" si="15"/>
        <v>362329.31947524328</v>
      </c>
      <c r="V139" s="5" t="s">
        <v>40</v>
      </c>
    </row>
    <row r="140" spans="20:22" x14ac:dyDescent="0.2">
      <c r="T140" s="5">
        <v>37</v>
      </c>
      <c r="U140" s="9">
        <f t="shared" si="15"/>
        <v>362856.07079159754</v>
      </c>
      <c r="V140" s="5" t="s">
        <v>40</v>
      </c>
    </row>
    <row r="141" spans="20:22" x14ac:dyDescent="0.2">
      <c r="T141" s="5">
        <v>38</v>
      </c>
      <c r="U141" s="9">
        <f t="shared" si="15"/>
        <v>361508.50023726351</v>
      </c>
      <c r="V141" s="5" t="s">
        <v>40</v>
      </c>
    </row>
    <row r="142" spans="20:22" x14ac:dyDescent="0.2">
      <c r="T142" s="5">
        <v>39</v>
      </c>
      <c r="U142" s="9">
        <f t="shared" si="15"/>
        <v>361993.41334756027</v>
      </c>
      <c r="V142" s="5" t="s">
        <v>40</v>
      </c>
    </row>
    <row r="143" spans="20:22" x14ac:dyDescent="0.2">
      <c r="T143" s="5">
        <v>40</v>
      </c>
      <c r="U143" s="9">
        <f t="shared" si="15"/>
        <v>362281.08622140455</v>
      </c>
      <c r="V143" s="5" t="s">
        <v>40</v>
      </c>
    </row>
    <row r="144" spans="20:22" x14ac:dyDescent="0.2">
      <c r="T144" s="5">
        <v>41</v>
      </c>
      <c r="U144" s="9">
        <f t="shared" si="15"/>
        <v>362777.67636200023</v>
      </c>
      <c r="V144" s="5" t="s">
        <v>40</v>
      </c>
    </row>
    <row r="145" spans="20:22" x14ac:dyDescent="0.2">
      <c r="T145" s="5">
        <v>42</v>
      </c>
      <c r="U145" s="9">
        <f t="shared" si="15"/>
        <v>362138.91051437234</v>
      </c>
      <c r="V145" s="5" t="s">
        <v>40</v>
      </c>
    </row>
    <row r="146" spans="20:22" x14ac:dyDescent="0.2">
      <c r="T146" s="5">
        <v>43</v>
      </c>
      <c r="U146" s="9">
        <f t="shared" si="15"/>
        <v>363188.66991240549</v>
      </c>
      <c r="V146" s="5" t="s">
        <v>40</v>
      </c>
    </row>
    <row r="147" spans="20:22" x14ac:dyDescent="0.2">
      <c r="T147" s="5">
        <v>44</v>
      </c>
      <c r="U147" s="9">
        <f t="shared" si="15"/>
        <v>362188.55923378677</v>
      </c>
      <c r="V147" s="5" t="s">
        <v>40</v>
      </c>
    </row>
    <row r="148" spans="20:22" x14ac:dyDescent="0.2">
      <c r="T148" s="5">
        <v>45</v>
      </c>
      <c r="U148" s="9">
        <f t="shared" si="15"/>
        <v>362144.23812690936</v>
      </c>
      <c r="V148" s="5" t="s">
        <v>40</v>
      </c>
    </row>
    <row r="149" spans="20:22" x14ac:dyDescent="0.2">
      <c r="T149" s="5">
        <v>46</v>
      </c>
      <c r="U149" s="9">
        <f t="shared" si="15"/>
        <v>361742.91566504986</v>
      </c>
      <c r="V149" s="5" t="s">
        <v>40</v>
      </c>
    </row>
    <row r="150" spans="20:22" x14ac:dyDescent="0.2">
      <c r="T150" s="5">
        <v>47</v>
      </c>
      <c r="U150" s="9">
        <f t="shared" si="15"/>
        <v>362887.4256626406</v>
      </c>
      <c r="V150" s="5" t="s">
        <v>40</v>
      </c>
    </row>
    <row r="151" spans="20:22" x14ac:dyDescent="0.2">
      <c r="T151" s="5">
        <v>48</v>
      </c>
      <c r="U151" s="9">
        <f t="shared" si="15"/>
        <v>362412.50659105327</v>
      </c>
      <c r="V151" s="5" t="s">
        <v>40</v>
      </c>
    </row>
    <row r="152" spans="20:22" x14ac:dyDescent="0.2">
      <c r="T152" s="5">
        <v>49</v>
      </c>
      <c r="U152" s="9">
        <f t="shared" si="15"/>
        <v>363058.77692387224</v>
      </c>
      <c r="V152" s="5" t="s">
        <v>40</v>
      </c>
    </row>
    <row r="153" spans="20:22" x14ac:dyDescent="0.2">
      <c r="T153" s="5">
        <v>50</v>
      </c>
      <c r="U153" s="9">
        <f t="shared" si="15"/>
        <v>362533.6599972822</v>
      </c>
      <c r="V153" s="5" t="s">
        <v>40</v>
      </c>
    </row>
    <row r="154" spans="20:22" x14ac:dyDescent="0.2">
      <c r="T154" s="5">
        <v>51</v>
      </c>
      <c r="U154" s="9">
        <f t="shared" si="15"/>
        <v>362251.30048033985</v>
      </c>
      <c r="V154" s="5" t="s">
        <v>40</v>
      </c>
    </row>
    <row r="155" spans="20:22" x14ac:dyDescent="0.2">
      <c r="T155" s="5">
        <v>52</v>
      </c>
      <c r="U155" s="9">
        <f t="shared" si="15"/>
        <v>362049.6632350352</v>
      </c>
      <c r="V155" s="5" t="s">
        <v>40</v>
      </c>
    </row>
    <row r="156" spans="20:22" x14ac:dyDescent="0.2">
      <c r="T156" s="5">
        <v>53</v>
      </c>
      <c r="U156" s="9">
        <f t="shared" si="15"/>
        <v>362668.37238661968</v>
      </c>
      <c r="V156" s="5" t="s">
        <v>40</v>
      </c>
    </row>
    <row r="157" spans="20:22" x14ac:dyDescent="0.2">
      <c r="T157" s="5">
        <v>54</v>
      </c>
      <c r="U157" s="9">
        <f t="shared" si="15"/>
        <v>364023.21514321392</v>
      </c>
      <c r="V157" s="5" t="s">
        <v>40</v>
      </c>
    </row>
    <row r="158" spans="20:22" x14ac:dyDescent="0.2">
      <c r="T158" s="5">
        <v>55</v>
      </c>
      <c r="U158" s="9">
        <f t="shared" si="15"/>
        <v>362218.89010432013</v>
      </c>
      <c r="V158" s="5" t="s">
        <v>40</v>
      </c>
    </row>
    <row r="159" spans="20:22" x14ac:dyDescent="0.2">
      <c r="T159" s="5">
        <v>56</v>
      </c>
      <c r="U159" s="9">
        <f t="shared" si="15"/>
        <v>362502.47711137688</v>
      </c>
      <c r="V159" s="5" t="s">
        <v>40</v>
      </c>
    </row>
    <row r="160" spans="20:22" x14ac:dyDescent="0.2">
      <c r="T160" s="5">
        <v>57</v>
      </c>
      <c r="U160" s="9">
        <f t="shared" si="15"/>
        <v>362635.11438089609</v>
      </c>
      <c r="V160" s="5" t="s">
        <v>40</v>
      </c>
    </row>
    <row r="161" spans="20:22" x14ac:dyDescent="0.2">
      <c r="T161" s="5">
        <v>58</v>
      </c>
      <c r="U161" s="9">
        <f t="shared" si="15"/>
        <v>361770.71945697849</v>
      </c>
      <c r="V161" s="5" t="s">
        <v>40</v>
      </c>
    </row>
    <row r="162" spans="20:22" x14ac:dyDescent="0.2">
      <c r="T162" s="5">
        <v>59</v>
      </c>
      <c r="U162" s="9">
        <f t="shared" si="15"/>
        <v>362890.85545715241</v>
      </c>
      <c r="V162" s="5" t="s">
        <v>40</v>
      </c>
    </row>
    <row r="163" spans="20:22" x14ac:dyDescent="0.2">
      <c r="T163" s="5">
        <v>60</v>
      </c>
      <c r="U163" s="9">
        <f t="shared" si="15"/>
        <v>362026.38503584947</v>
      </c>
      <c r="V163" s="5" t="s">
        <v>40</v>
      </c>
    </row>
    <row r="164" spans="20:22" x14ac:dyDescent="0.2">
      <c r="T164" s="5">
        <v>61</v>
      </c>
      <c r="U164" s="9">
        <f t="shared" si="15"/>
        <v>362873.54002187663</v>
      </c>
      <c r="V164" s="5" t="s">
        <v>40</v>
      </c>
    </row>
    <row r="165" spans="20:22" x14ac:dyDescent="0.2">
      <c r="T165" s="5">
        <v>62</v>
      </c>
      <c r="U165" s="9">
        <f t="shared" si="15"/>
        <v>362283.10036586103</v>
      </c>
      <c r="V165" s="5" t="s">
        <v>40</v>
      </c>
    </row>
    <row r="166" spans="20:22" x14ac:dyDescent="0.2">
      <c r="T166" s="5">
        <v>63</v>
      </c>
      <c r="U166" s="9">
        <f t="shared" si="15"/>
        <v>362173.37381266517</v>
      </c>
      <c r="V166" s="5" t="s">
        <v>40</v>
      </c>
    </row>
    <row r="167" spans="20:22" x14ac:dyDescent="0.2">
      <c r="T167" s="5">
        <v>64</v>
      </c>
      <c r="U167" s="9">
        <f t="shared" si="15"/>
        <v>362347.79114111816</v>
      </c>
      <c r="V167" s="5" t="s">
        <v>40</v>
      </c>
    </row>
    <row r="168" spans="20:22" x14ac:dyDescent="0.2">
      <c r="T168" s="5">
        <v>65</v>
      </c>
      <c r="U168" s="9">
        <f t="shared" ref="U168:U199" si="16">M68</f>
        <v>362793.64582750306</v>
      </c>
      <c r="V168" s="5" t="s">
        <v>40</v>
      </c>
    </row>
    <row r="169" spans="20:22" x14ac:dyDescent="0.2">
      <c r="T169" s="5">
        <v>66</v>
      </c>
      <c r="U169" s="9">
        <f t="shared" si="16"/>
        <v>361956.68937005405</v>
      </c>
      <c r="V169" s="5" t="s">
        <v>40</v>
      </c>
    </row>
    <row r="170" spans="20:22" x14ac:dyDescent="0.2">
      <c r="T170" s="5">
        <v>67</v>
      </c>
      <c r="U170" s="9">
        <f t="shared" si="16"/>
        <v>362205.61896999215</v>
      </c>
      <c r="V170" s="5" t="s">
        <v>40</v>
      </c>
    </row>
    <row r="171" spans="20:22" x14ac:dyDescent="0.2">
      <c r="T171" s="5">
        <v>68</v>
      </c>
      <c r="U171" s="9">
        <f t="shared" si="16"/>
        <v>363104.55991165299</v>
      </c>
      <c r="V171" s="5" t="s">
        <v>40</v>
      </c>
    </row>
    <row r="172" spans="20:22" x14ac:dyDescent="0.2">
      <c r="T172" s="5">
        <v>69</v>
      </c>
      <c r="U172" s="9">
        <f t="shared" si="16"/>
        <v>362479.06100106111</v>
      </c>
      <c r="V172" s="5" t="s">
        <v>40</v>
      </c>
    </row>
    <row r="173" spans="20:22" x14ac:dyDescent="0.2">
      <c r="T173" s="5">
        <v>70</v>
      </c>
      <c r="U173" s="9">
        <f t="shared" si="16"/>
        <v>363164.43998002628</v>
      </c>
      <c r="V173" s="5" t="s">
        <v>40</v>
      </c>
    </row>
    <row r="174" spans="20:22" x14ac:dyDescent="0.2">
      <c r="T174" s="5">
        <v>71</v>
      </c>
      <c r="U174" s="9">
        <f t="shared" si="16"/>
        <v>362224.05868903239</v>
      </c>
      <c r="V174" s="5" t="s">
        <v>40</v>
      </c>
    </row>
    <row r="175" spans="20:22" x14ac:dyDescent="0.2">
      <c r="T175" s="5">
        <v>72</v>
      </c>
      <c r="U175" s="9">
        <f t="shared" si="16"/>
        <v>362985.73241881706</v>
      </c>
      <c r="V175" s="5" t="s">
        <v>40</v>
      </c>
    </row>
    <row r="176" spans="20:22" x14ac:dyDescent="0.2">
      <c r="T176" s="5">
        <v>73</v>
      </c>
      <c r="U176" s="9">
        <f t="shared" si="16"/>
        <v>361631.56480799359</v>
      </c>
      <c r="V176" s="5" t="s">
        <v>40</v>
      </c>
    </row>
    <row r="177" spans="20:22" x14ac:dyDescent="0.2">
      <c r="T177" s="5">
        <v>74</v>
      </c>
      <c r="U177" s="9">
        <f t="shared" si="16"/>
        <v>362234.55897682032</v>
      </c>
      <c r="V177" s="5" t="s">
        <v>40</v>
      </c>
    </row>
    <row r="178" spans="20:22" x14ac:dyDescent="0.2">
      <c r="T178" s="5">
        <v>75</v>
      </c>
      <c r="U178" s="9">
        <f t="shared" si="16"/>
        <v>361939.73063462652</v>
      </c>
      <c r="V178" s="5" t="s">
        <v>40</v>
      </c>
    </row>
    <row r="179" spans="20:22" x14ac:dyDescent="0.2">
      <c r="T179" s="5">
        <v>76</v>
      </c>
      <c r="U179" s="9">
        <f t="shared" si="16"/>
        <v>362719.05116037565</v>
      </c>
      <c r="V179" s="5" t="s">
        <v>40</v>
      </c>
    </row>
    <row r="180" spans="20:22" x14ac:dyDescent="0.2">
      <c r="T180" s="5">
        <v>77</v>
      </c>
      <c r="U180" s="9">
        <f t="shared" si="16"/>
        <v>362577.21575649385</v>
      </c>
      <c r="V180" s="5" t="s">
        <v>40</v>
      </c>
    </row>
    <row r="181" spans="20:22" x14ac:dyDescent="0.2">
      <c r="T181" s="5">
        <v>78</v>
      </c>
      <c r="U181" s="9">
        <f t="shared" si="16"/>
        <v>362199.59972110239</v>
      </c>
      <c r="V181" s="5" t="s">
        <v>40</v>
      </c>
    </row>
    <row r="182" spans="20:22" x14ac:dyDescent="0.2">
      <c r="T182" s="5">
        <v>79</v>
      </c>
      <c r="U182" s="9">
        <f t="shared" si="16"/>
        <v>362367.9844455148</v>
      </c>
      <c r="V182" s="5" t="s">
        <v>40</v>
      </c>
    </row>
    <row r="183" spans="20:22" x14ac:dyDescent="0.2">
      <c r="T183" s="5">
        <v>80</v>
      </c>
      <c r="U183" s="9">
        <f t="shared" si="16"/>
        <v>362551.11258983461</v>
      </c>
      <c r="V183" s="5" t="s">
        <v>40</v>
      </c>
    </row>
    <row r="184" spans="20:22" x14ac:dyDescent="0.2">
      <c r="T184" s="5">
        <v>81</v>
      </c>
      <c r="U184" s="9">
        <f t="shared" si="16"/>
        <v>362344.33553265373</v>
      </c>
      <c r="V184" s="5" t="s">
        <v>40</v>
      </c>
    </row>
    <row r="185" spans="20:22" x14ac:dyDescent="0.2">
      <c r="T185" s="5">
        <v>82</v>
      </c>
      <c r="U185" s="9">
        <f t="shared" si="16"/>
        <v>362843.77839120833</v>
      </c>
      <c r="V185" s="5" t="s">
        <v>40</v>
      </c>
    </row>
    <row r="186" spans="20:22" x14ac:dyDescent="0.2">
      <c r="T186" s="5">
        <v>83</v>
      </c>
      <c r="U186" s="9">
        <f t="shared" si="16"/>
        <v>362857.40257438662</v>
      </c>
      <c r="V186" s="5" t="s">
        <v>40</v>
      </c>
    </row>
    <row r="187" spans="20:22" x14ac:dyDescent="0.2">
      <c r="T187" s="5">
        <v>84</v>
      </c>
      <c r="U187" s="9">
        <f t="shared" si="16"/>
        <v>362117.3933704464</v>
      </c>
      <c r="V187" s="5" t="s">
        <v>40</v>
      </c>
    </row>
    <row r="188" spans="20:22" x14ac:dyDescent="0.2">
      <c r="T188" s="5">
        <v>85</v>
      </c>
      <c r="U188" s="9">
        <f t="shared" si="16"/>
        <v>362438.85897548107</v>
      </c>
      <c r="V188" s="5" t="s">
        <v>40</v>
      </c>
    </row>
    <row r="189" spans="20:22" x14ac:dyDescent="0.2">
      <c r="T189" s="5">
        <v>86</v>
      </c>
      <c r="U189" s="9">
        <f t="shared" si="16"/>
        <v>362993.29708592081</v>
      </c>
      <c r="V189" s="5" t="s">
        <v>40</v>
      </c>
    </row>
    <row r="190" spans="20:22" x14ac:dyDescent="0.2">
      <c r="T190" s="5">
        <v>87</v>
      </c>
      <c r="U190" s="9">
        <f t="shared" si="16"/>
        <v>362635.54278389545</v>
      </c>
      <c r="V190" s="5" t="s">
        <v>40</v>
      </c>
    </row>
    <row r="191" spans="20:22" x14ac:dyDescent="0.2">
      <c r="T191" s="5">
        <v>88</v>
      </c>
      <c r="U191" s="9">
        <f t="shared" si="16"/>
        <v>362571.8058729645</v>
      </c>
      <c r="V191" s="5" t="s">
        <v>40</v>
      </c>
    </row>
    <row r="192" spans="20:22" x14ac:dyDescent="0.2">
      <c r="T192" s="5">
        <v>89</v>
      </c>
      <c r="U192" s="9">
        <f t="shared" si="16"/>
        <v>362397.02936109173</v>
      </c>
      <c r="V192" s="5" t="s">
        <v>40</v>
      </c>
    </row>
    <row r="193" spans="20:22" x14ac:dyDescent="0.2">
      <c r="T193" s="5">
        <v>90</v>
      </c>
      <c r="U193" s="9">
        <f t="shared" si="16"/>
        <v>361891.79904891487</v>
      </c>
      <c r="V193" s="5" t="s">
        <v>40</v>
      </c>
    </row>
    <row r="194" spans="20:22" x14ac:dyDescent="0.2">
      <c r="T194" s="5">
        <v>91</v>
      </c>
      <c r="U194" s="9">
        <f t="shared" si="16"/>
        <v>362257.58534335822</v>
      </c>
      <c r="V194" s="5" t="s">
        <v>40</v>
      </c>
    </row>
    <row r="195" spans="20:22" x14ac:dyDescent="0.2">
      <c r="T195" s="5">
        <v>92</v>
      </c>
      <c r="U195" s="9">
        <f t="shared" si="16"/>
        <v>362337.22078445839</v>
      </c>
      <c r="V195" s="5" t="s">
        <v>40</v>
      </c>
    </row>
    <row r="196" spans="20:22" x14ac:dyDescent="0.2">
      <c r="T196" s="5">
        <v>93</v>
      </c>
      <c r="U196" s="9">
        <f t="shared" si="16"/>
        <v>362431.36089441366</v>
      </c>
      <c r="V196" s="5" t="s">
        <v>40</v>
      </c>
    </row>
    <row r="197" spans="20:22" x14ac:dyDescent="0.2">
      <c r="T197" s="5">
        <v>94</v>
      </c>
      <c r="U197" s="9">
        <f t="shared" si="16"/>
        <v>361564.2798578525</v>
      </c>
      <c r="V197" s="5" t="s">
        <v>40</v>
      </c>
    </row>
    <row r="198" spans="20:22" x14ac:dyDescent="0.2">
      <c r="T198" s="5">
        <v>95</v>
      </c>
      <c r="U198" s="9">
        <f t="shared" si="16"/>
        <v>362146.75653437158</v>
      </c>
      <c r="V198" s="5" t="s">
        <v>40</v>
      </c>
    </row>
    <row r="199" spans="20:22" x14ac:dyDescent="0.2">
      <c r="T199" s="5">
        <v>96</v>
      </c>
      <c r="U199" s="9">
        <f t="shared" si="16"/>
        <v>362378.54254257923</v>
      </c>
      <c r="V199" s="5" t="s">
        <v>40</v>
      </c>
    </row>
    <row r="200" spans="20:22" x14ac:dyDescent="0.2">
      <c r="T200" s="5">
        <v>97</v>
      </c>
      <c r="U200" s="9">
        <f>M100</f>
        <v>362391.92866719404</v>
      </c>
      <c r="V200" s="5" t="s">
        <v>40</v>
      </c>
    </row>
    <row r="201" spans="20:22" x14ac:dyDescent="0.2">
      <c r="T201" s="5">
        <v>98</v>
      </c>
      <c r="U201" s="9">
        <f>M101</f>
        <v>362087.18646878214</v>
      </c>
      <c r="V201" s="5" t="s">
        <v>40</v>
      </c>
    </row>
    <row r="202" spans="20:22" x14ac:dyDescent="0.2">
      <c r="T202" s="5">
        <v>99</v>
      </c>
      <c r="U202" s="9">
        <f>M102</f>
        <v>362251.02810713864</v>
      </c>
      <c r="V202" s="5" t="s">
        <v>40</v>
      </c>
    </row>
    <row r="203" spans="20:22" x14ac:dyDescent="0.2">
      <c r="T203" s="5">
        <v>100</v>
      </c>
      <c r="U203" s="9">
        <f>M103</f>
        <v>362624.41740957351</v>
      </c>
      <c r="V203" s="5" t="s">
        <v>40</v>
      </c>
    </row>
    <row r="204" spans="20:22" x14ac:dyDescent="0.2">
      <c r="T204" s="5">
        <v>1</v>
      </c>
      <c r="U204" s="9">
        <f t="shared" ref="U204:U235" si="17">$F$124</f>
        <v>429132.57453970669</v>
      </c>
      <c r="V204" s="5" t="s">
        <v>51</v>
      </c>
    </row>
    <row r="205" spans="20:22" x14ac:dyDescent="0.2">
      <c r="T205" s="5">
        <v>2</v>
      </c>
      <c r="U205" s="9">
        <f t="shared" si="17"/>
        <v>429132.57453970669</v>
      </c>
      <c r="V205" s="5" t="s">
        <v>51</v>
      </c>
    </row>
    <row r="206" spans="20:22" x14ac:dyDescent="0.2">
      <c r="T206" s="5">
        <v>3</v>
      </c>
      <c r="U206" s="9">
        <f t="shared" si="17"/>
        <v>429132.57453970669</v>
      </c>
      <c r="V206" s="5" t="s">
        <v>51</v>
      </c>
    </row>
    <row r="207" spans="20:22" x14ac:dyDescent="0.2">
      <c r="T207" s="5">
        <v>4</v>
      </c>
      <c r="U207" s="9">
        <f t="shared" si="17"/>
        <v>429132.57453970669</v>
      </c>
      <c r="V207" s="5" t="s">
        <v>51</v>
      </c>
    </row>
    <row r="208" spans="20:22" x14ac:dyDescent="0.2">
      <c r="T208" s="5">
        <v>5</v>
      </c>
      <c r="U208" s="9">
        <f t="shared" si="17"/>
        <v>429132.57453970669</v>
      </c>
      <c r="V208" s="5" t="s">
        <v>51</v>
      </c>
    </row>
    <row r="209" spans="20:22" x14ac:dyDescent="0.2">
      <c r="T209" s="5">
        <v>6</v>
      </c>
      <c r="U209" s="9">
        <f t="shared" si="17"/>
        <v>429132.57453970669</v>
      </c>
      <c r="V209" s="5" t="s">
        <v>51</v>
      </c>
    </row>
    <row r="210" spans="20:22" x14ac:dyDescent="0.2">
      <c r="T210" s="5">
        <v>7</v>
      </c>
      <c r="U210" s="9">
        <f t="shared" si="17"/>
        <v>429132.57453970669</v>
      </c>
      <c r="V210" s="5" t="s">
        <v>51</v>
      </c>
    </row>
    <row r="211" spans="20:22" x14ac:dyDescent="0.2">
      <c r="T211" s="5">
        <v>8</v>
      </c>
      <c r="U211" s="9">
        <f t="shared" si="17"/>
        <v>429132.57453970669</v>
      </c>
      <c r="V211" s="5" t="s">
        <v>51</v>
      </c>
    </row>
    <row r="212" spans="20:22" x14ac:dyDescent="0.2">
      <c r="T212" s="5">
        <v>9</v>
      </c>
      <c r="U212" s="9">
        <f t="shared" si="17"/>
        <v>429132.57453970669</v>
      </c>
      <c r="V212" s="5" t="s">
        <v>51</v>
      </c>
    </row>
    <row r="213" spans="20:22" x14ac:dyDescent="0.2">
      <c r="T213" s="5">
        <v>10</v>
      </c>
      <c r="U213" s="9">
        <f t="shared" si="17"/>
        <v>429132.57453970669</v>
      </c>
      <c r="V213" s="5" t="s">
        <v>51</v>
      </c>
    </row>
    <row r="214" spans="20:22" x14ac:dyDescent="0.2">
      <c r="T214" s="5">
        <v>11</v>
      </c>
      <c r="U214" s="9">
        <f t="shared" si="17"/>
        <v>429132.57453970669</v>
      </c>
      <c r="V214" s="5" t="s">
        <v>51</v>
      </c>
    </row>
    <row r="215" spans="20:22" x14ac:dyDescent="0.2">
      <c r="T215" s="5">
        <v>12</v>
      </c>
      <c r="U215" s="9">
        <f t="shared" si="17"/>
        <v>429132.57453970669</v>
      </c>
      <c r="V215" s="5" t="s">
        <v>51</v>
      </c>
    </row>
    <row r="216" spans="20:22" x14ac:dyDescent="0.2">
      <c r="T216" s="5">
        <v>13</v>
      </c>
      <c r="U216" s="9">
        <f t="shared" si="17"/>
        <v>429132.57453970669</v>
      </c>
      <c r="V216" s="5" t="s">
        <v>51</v>
      </c>
    </row>
    <row r="217" spans="20:22" x14ac:dyDescent="0.2">
      <c r="T217" s="5">
        <v>14</v>
      </c>
      <c r="U217" s="9">
        <f t="shared" si="17"/>
        <v>429132.57453970669</v>
      </c>
      <c r="V217" s="5" t="s">
        <v>51</v>
      </c>
    </row>
    <row r="218" spans="20:22" x14ac:dyDescent="0.2">
      <c r="T218" s="5">
        <v>15</v>
      </c>
      <c r="U218" s="9">
        <f t="shared" si="17"/>
        <v>429132.57453970669</v>
      </c>
      <c r="V218" s="5" t="s">
        <v>51</v>
      </c>
    </row>
    <row r="219" spans="20:22" x14ac:dyDescent="0.2">
      <c r="T219" s="5">
        <v>16</v>
      </c>
      <c r="U219" s="9">
        <f t="shared" si="17"/>
        <v>429132.57453970669</v>
      </c>
      <c r="V219" s="5" t="s">
        <v>51</v>
      </c>
    </row>
    <row r="220" spans="20:22" x14ac:dyDescent="0.2">
      <c r="T220" s="5">
        <v>17</v>
      </c>
      <c r="U220" s="9">
        <f t="shared" si="17"/>
        <v>429132.57453970669</v>
      </c>
      <c r="V220" s="5" t="s">
        <v>51</v>
      </c>
    </row>
    <row r="221" spans="20:22" x14ac:dyDescent="0.2">
      <c r="T221" s="5">
        <v>18</v>
      </c>
      <c r="U221" s="9">
        <f t="shared" si="17"/>
        <v>429132.57453970669</v>
      </c>
      <c r="V221" s="5" t="s">
        <v>51</v>
      </c>
    </row>
    <row r="222" spans="20:22" x14ac:dyDescent="0.2">
      <c r="T222" s="5">
        <v>19</v>
      </c>
      <c r="U222" s="9">
        <f t="shared" si="17"/>
        <v>429132.57453970669</v>
      </c>
      <c r="V222" s="5" t="s">
        <v>51</v>
      </c>
    </row>
    <row r="223" spans="20:22" x14ac:dyDescent="0.2">
      <c r="T223" s="5">
        <v>20</v>
      </c>
      <c r="U223" s="9">
        <f t="shared" si="17"/>
        <v>429132.57453970669</v>
      </c>
      <c r="V223" s="5" t="s">
        <v>51</v>
      </c>
    </row>
    <row r="224" spans="20:22" x14ac:dyDescent="0.2">
      <c r="T224" s="5">
        <v>21</v>
      </c>
      <c r="U224" s="9">
        <f t="shared" si="17"/>
        <v>429132.57453970669</v>
      </c>
      <c r="V224" s="5" t="s">
        <v>51</v>
      </c>
    </row>
    <row r="225" spans="20:22" x14ac:dyDescent="0.2">
      <c r="T225" s="5">
        <v>22</v>
      </c>
      <c r="U225" s="9">
        <f t="shared" si="17"/>
        <v>429132.57453970669</v>
      </c>
      <c r="V225" s="5" t="s">
        <v>51</v>
      </c>
    </row>
    <row r="226" spans="20:22" x14ac:dyDescent="0.2">
      <c r="T226" s="5">
        <v>23</v>
      </c>
      <c r="U226" s="9">
        <f t="shared" si="17"/>
        <v>429132.57453970669</v>
      </c>
      <c r="V226" s="5" t="s">
        <v>51</v>
      </c>
    </row>
    <row r="227" spans="20:22" x14ac:dyDescent="0.2">
      <c r="T227" s="5">
        <v>24</v>
      </c>
      <c r="U227" s="9">
        <f t="shared" si="17"/>
        <v>429132.57453970669</v>
      </c>
      <c r="V227" s="5" t="s">
        <v>51</v>
      </c>
    </row>
    <row r="228" spans="20:22" x14ac:dyDescent="0.2">
      <c r="T228" s="5">
        <v>25</v>
      </c>
      <c r="U228" s="9">
        <f t="shared" si="17"/>
        <v>429132.57453970669</v>
      </c>
      <c r="V228" s="5" t="s">
        <v>51</v>
      </c>
    </row>
    <row r="229" spans="20:22" x14ac:dyDescent="0.2">
      <c r="T229" s="5">
        <v>26</v>
      </c>
      <c r="U229" s="9">
        <f t="shared" si="17"/>
        <v>429132.57453970669</v>
      </c>
      <c r="V229" s="5" t="s">
        <v>51</v>
      </c>
    </row>
    <row r="230" spans="20:22" x14ac:dyDescent="0.2">
      <c r="T230" s="5">
        <v>27</v>
      </c>
      <c r="U230" s="9">
        <f t="shared" si="17"/>
        <v>429132.57453970669</v>
      </c>
      <c r="V230" s="5" t="s">
        <v>51</v>
      </c>
    </row>
    <row r="231" spans="20:22" x14ac:dyDescent="0.2">
      <c r="T231" s="5">
        <v>28</v>
      </c>
      <c r="U231" s="9">
        <f t="shared" si="17"/>
        <v>429132.57453970669</v>
      </c>
      <c r="V231" s="5" t="s">
        <v>51</v>
      </c>
    </row>
    <row r="232" spans="20:22" x14ac:dyDescent="0.2">
      <c r="T232" s="5">
        <v>29</v>
      </c>
      <c r="U232" s="9">
        <f t="shared" si="17"/>
        <v>429132.57453970669</v>
      </c>
      <c r="V232" s="5" t="s">
        <v>51</v>
      </c>
    </row>
    <row r="233" spans="20:22" x14ac:dyDescent="0.2">
      <c r="T233" s="5">
        <v>30</v>
      </c>
      <c r="U233" s="9">
        <f t="shared" si="17"/>
        <v>429132.57453970669</v>
      </c>
      <c r="V233" s="5" t="s">
        <v>51</v>
      </c>
    </row>
    <row r="234" spans="20:22" x14ac:dyDescent="0.2">
      <c r="T234" s="5">
        <v>31</v>
      </c>
      <c r="U234" s="9">
        <f t="shared" si="17"/>
        <v>429132.57453970669</v>
      </c>
      <c r="V234" s="5" t="s">
        <v>51</v>
      </c>
    </row>
    <row r="235" spans="20:22" x14ac:dyDescent="0.2">
      <c r="T235" s="5">
        <v>32</v>
      </c>
      <c r="U235" s="9">
        <f t="shared" si="17"/>
        <v>429132.57453970669</v>
      </c>
      <c r="V235" s="5" t="s">
        <v>51</v>
      </c>
    </row>
    <row r="236" spans="20:22" x14ac:dyDescent="0.2">
      <c r="T236" s="5">
        <v>33</v>
      </c>
      <c r="U236" s="9">
        <f t="shared" ref="U236:U267" si="18">$F$124</f>
        <v>429132.57453970669</v>
      </c>
      <c r="V236" s="5" t="s">
        <v>51</v>
      </c>
    </row>
    <row r="237" spans="20:22" x14ac:dyDescent="0.2">
      <c r="T237" s="5">
        <v>34</v>
      </c>
      <c r="U237" s="9">
        <f t="shared" si="18"/>
        <v>429132.57453970669</v>
      </c>
      <c r="V237" s="5" t="s">
        <v>51</v>
      </c>
    </row>
    <row r="238" spans="20:22" x14ac:dyDescent="0.2">
      <c r="T238" s="5">
        <v>35</v>
      </c>
      <c r="U238" s="9">
        <f t="shared" si="18"/>
        <v>429132.57453970669</v>
      </c>
      <c r="V238" s="5" t="s">
        <v>51</v>
      </c>
    </row>
    <row r="239" spans="20:22" x14ac:dyDescent="0.2">
      <c r="T239" s="5">
        <v>36</v>
      </c>
      <c r="U239" s="9">
        <f t="shared" si="18"/>
        <v>429132.57453970669</v>
      </c>
      <c r="V239" s="5" t="s">
        <v>51</v>
      </c>
    </row>
    <row r="240" spans="20:22" x14ac:dyDescent="0.2">
      <c r="T240" s="5">
        <v>37</v>
      </c>
      <c r="U240" s="9">
        <f t="shared" si="18"/>
        <v>429132.57453970669</v>
      </c>
      <c r="V240" s="5" t="s">
        <v>51</v>
      </c>
    </row>
    <row r="241" spans="20:22" x14ac:dyDescent="0.2">
      <c r="T241" s="5">
        <v>38</v>
      </c>
      <c r="U241" s="9">
        <f t="shared" si="18"/>
        <v>429132.57453970669</v>
      </c>
      <c r="V241" s="5" t="s">
        <v>51</v>
      </c>
    </row>
    <row r="242" spans="20:22" x14ac:dyDescent="0.2">
      <c r="T242" s="5">
        <v>39</v>
      </c>
      <c r="U242" s="9">
        <f t="shared" si="18"/>
        <v>429132.57453970669</v>
      </c>
      <c r="V242" s="5" t="s">
        <v>51</v>
      </c>
    </row>
    <row r="243" spans="20:22" x14ac:dyDescent="0.2">
      <c r="T243" s="5">
        <v>40</v>
      </c>
      <c r="U243" s="9">
        <f t="shared" si="18"/>
        <v>429132.57453970669</v>
      </c>
      <c r="V243" s="5" t="s">
        <v>51</v>
      </c>
    </row>
    <row r="244" spans="20:22" x14ac:dyDescent="0.2">
      <c r="T244" s="5">
        <v>41</v>
      </c>
      <c r="U244" s="9">
        <f t="shared" si="18"/>
        <v>429132.57453970669</v>
      </c>
      <c r="V244" s="5" t="s">
        <v>51</v>
      </c>
    </row>
    <row r="245" spans="20:22" x14ac:dyDescent="0.2">
      <c r="T245" s="5">
        <v>42</v>
      </c>
      <c r="U245" s="9">
        <f t="shared" si="18"/>
        <v>429132.57453970669</v>
      </c>
      <c r="V245" s="5" t="s">
        <v>51</v>
      </c>
    </row>
    <row r="246" spans="20:22" x14ac:dyDescent="0.2">
      <c r="T246" s="5">
        <v>43</v>
      </c>
      <c r="U246" s="9">
        <f t="shared" si="18"/>
        <v>429132.57453970669</v>
      </c>
      <c r="V246" s="5" t="s">
        <v>51</v>
      </c>
    </row>
    <row r="247" spans="20:22" x14ac:dyDescent="0.2">
      <c r="T247" s="5">
        <v>44</v>
      </c>
      <c r="U247" s="9">
        <f t="shared" si="18"/>
        <v>429132.57453970669</v>
      </c>
      <c r="V247" s="5" t="s">
        <v>51</v>
      </c>
    </row>
    <row r="248" spans="20:22" x14ac:dyDescent="0.2">
      <c r="T248" s="5">
        <v>45</v>
      </c>
      <c r="U248" s="9">
        <f t="shared" si="18"/>
        <v>429132.57453970669</v>
      </c>
      <c r="V248" s="5" t="s">
        <v>51</v>
      </c>
    </row>
    <row r="249" spans="20:22" x14ac:dyDescent="0.2">
      <c r="T249" s="5">
        <v>46</v>
      </c>
      <c r="U249" s="9">
        <f t="shared" si="18"/>
        <v>429132.57453970669</v>
      </c>
      <c r="V249" s="5" t="s">
        <v>51</v>
      </c>
    </row>
    <row r="250" spans="20:22" x14ac:dyDescent="0.2">
      <c r="T250" s="5">
        <v>47</v>
      </c>
      <c r="U250" s="9">
        <f t="shared" si="18"/>
        <v>429132.57453970669</v>
      </c>
      <c r="V250" s="5" t="s">
        <v>51</v>
      </c>
    </row>
    <row r="251" spans="20:22" x14ac:dyDescent="0.2">
      <c r="T251" s="5">
        <v>48</v>
      </c>
      <c r="U251" s="9">
        <f t="shared" si="18"/>
        <v>429132.57453970669</v>
      </c>
      <c r="V251" s="5" t="s">
        <v>51</v>
      </c>
    </row>
    <row r="252" spans="20:22" x14ac:dyDescent="0.2">
      <c r="T252" s="5">
        <v>49</v>
      </c>
      <c r="U252" s="9">
        <f t="shared" si="18"/>
        <v>429132.57453970669</v>
      </c>
      <c r="V252" s="5" t="s">
        <v>51</v>
      </c>
    </row>
    <row r="253" spans="20:22" x14ac:dyDescent="0.2">
      <c r="T253" s="5">
        <v>50</v>
      </c>
      <c r="U253" s="9">
        <f t="shared" si="18"/>
        <v>429132.57453970669</v>
      </c>
      <c r="V253" s="5" t="s">
        <v>51</v>
      </c>
    </row>
    <row r="254" spans="20:22" x14ac:dyDescent="0.2">
      <c r="T254" s="5">
        <v>51</v>
      </c>
      <c r="U254" s="9">
        <f t="shared" si="18"/>
        <v>429132.57453970669</v>
      </c>
      <c r="V254" s="5" t="s">
        <v>51</v>
      </c>
    </row>
    <row r="255" spans="20:22" x14ac:dyDescent="0.2">
      <c r="T255" s="5">
        <v>52</v>
      </c>
      <c r="U255" s="9">
        <f t="shared" si="18"/>
        <v>429132.57453970669</v>
      </c>
      <c r="V255" s="5" t="s">
        <v>51</v>
      </c>
    </row>
    <row r="256" spans="20:22" x14ac:dyDescent="0.2">
      <c r="T256" s="5">
        <v>53</v>
      </c>
      <c r="U256" s="9">
        <f t="shared" si="18"/>
        <v>429132.57453970669</v>
      </c>
      <c r="V256" s="5" t="s">
        <v>51</v>
      </c>
    </row>
    <row r="257" spans="20:22" x14ac:dyDescent="0.2">
      <c r="T257" s="5">
        <v>54</v>
      </c>
      <c r="U257" s="9">
        <f t="shared" si="18"/>
        <v>429132.57453970669</v>
      </c>
      <c r="V257" s="5" t="s">
        <v>51</v>
      </c>
    </row>
    <row r="258" spans="20:22" x14ac:dyDescent="0.2">
      <c r="T258" s="5">
        <v>55</v>
      </c>
      <c r="U258" s="9">
        <f t="shared" si="18"/>
        <v>429132.57453970669</v>
      </c>
      <c r="V258" s="5" t="s">
        <v>51</v>
      </c>
    </row>
    <row r="259" spans="20:22" x14ac:dyDescent="0.2">
      <c r="T259" s="5">
        <v>56</v>
      </c>
      <c r="U259" s="9">
        <f t="shared" si="18"/>
        <v>429132.57453970669</v>
      </c>
      <c r="V259" s="5" t="s">
        <v>51</v>
      </c>
    </row>
    <row r="260" spans="20:22" x14ac:dyDescent="0.2">
      <c r="T260" s="5">
        <v>57</v>
      </c>
      <c r="U260" s="9">
        <f t="shared" si="18"/>
        <v>429132.57453970669</v>
      </c>
      <c r="V260" s="5" t="s">
        <v>51</v>
      </c>
    </row>
    <row r="261" spans="20:22" x14ac:dyDescent="0.2">
      <c r="T261" s="5">
        <v>58</v>
      </c>
      <c r="U261" s="9">
        <f t="shared" si="18"/>
        <v>429132.57453970669</v>
      </c>
      <c r="V261" s="5" t="s">
        <v>51</v>
      </c>
    </row>
    <row r="262" spans="20:22" x14ac:dyDescent="0.2">
      <c r="T262" s="5">
        <v>59</v>
      </c>
      <c r="U262" s="9">
        <f t="shared" si="18"/>
        <v>429132.57453970669</v>
      </c>
      <c r="V262" s="5" t="s">
        <v>51</v>
      </c>
    </row>
    <row r="263" spans="20:22" x14ac:dyDescent="0.2">
      <c r="T263" s="5">
        <v>60</v>
      </c>
      <c r="U263" s="9">
        <f t="shared" si="18"/>
        <v>429132.57453970669</v>
      </c>
      <c r="V263" s="5" t="s">
        <v>51</v>
      </c>
    </row>
    <row r="264" spans="20:22" x14ac:dyDescent="0.2">
      <c r="T264" s="5">
        <v>61</v>
      </c>
      <c r="U264" s="9">
        <f t="shared" si="18"/>
        <v>429132.57453970669</v>
      </c>
      <c r="V264" s="5" t="s">
        <v>51</v>
      </c>
    </row>
    <row r="265" spans="20:22" x14ac:dyDescent="0.2">
      <c r="T265" s="5">
        <v>62</v>
      </c>
      <c r="U265" s="9">
        <f t="shared" si="18"/>
        <v>429132.57453970669</v>
      </c>
      <c r="V265" s="5" t="s">
        <v>51</v>
      </c>
    </row>
    <row r="266" spans="20:22" x14ac:dyDescent="0.2">
      <c r="T266" s="5">
        <v>63</v>
      </c>
      <c r="U266" s="9">
        <f t="shared" si="18"/>
        <v>429132.57453970669</v>
      </c>
      <c r="V266" s="5" t="s">
        <v>51</v>
      </c>
    </row>
    <row r="267" spans="20:22" x14ac:dyDescent="0.2">
      <c r="T267" s="5">
        <v>64</v>
      </c>
      <c r="U267" s="9">
        <f t="shared" si="18"/>
        <v>429132.57453970669</v>
      </c>
      <c r="V267" s="5" t="s">
        <v>51</v>
      </c>
    </row>
    <row r="268" spans="20:22" x14ac:dyDescent="0.2">
      <c r="T268" s="5">
        <v>65</v>
      </c>
      <c r="U268" s="9">
        <f t="shared" ref="U268:U303" si="19">$F$124</f>
        <v>429132.57453970669</v>
      </c>
      <c r="V268" s="5" t="s">
        <v>51</v>
      </c>
    </row>
    <row r="269" spans="20:22" x14ac:dyDescent="0.2">
      <c r="T269" s="5">
        <v>66</v>
      </c>
      <c r="U269" s="9">
        <f t="shared" si="19"/>
        <v>429132.57453970669</v>
      </c>
      <c r="V269" s="5" t="s">
        <v>51</v>
      </c>
    </row>
    <row r="270" spans="20:22" x14ac:dyDescent="0.2">
      <c r="T270" s="5">
        <v>67</v>
      </c>
      <c r="U270" s="9">
        <f t="shared" si="19"/>
        <v>429132.57453970669</v>
      </c>
      <c r="V270" s="5" t="s">
        <v>51</v>
      </c>
    </row>
    <row r="271" spans="20:22" x14ac:dyDescent="0.2">
      <c r="T271" s="5">
        <v>68</v>
      </c>
      <c r="U271" s="9">
        <f t="shared" si="19"/>
        <v>429132.57453970669</v>
      </c>
      <c r="V271" s="5" t="s">
        <v>51</v>
      </c>
    </row>
    <row r="272" spans="20:22" x14ac:dyDescent="0.2">
      <c r="T272" s="5">
        <v>69</v>
      </c>
      <c r="U272" s="9">
        <f t="shared" si="19"/>
        <v>429132.57453970669</v>
      </c>
      <c r="V272" s="5" t="s">
        <v>51</v>
      </c>
    </row>
    <row r="273" spans="20:22" x14ac:dyDescent="0.2">
      <c r="T273" s="5">
        <v>70</v>
      </c>
      <c r="U273" s="9">
        <f t="shared" si="19"/>
        <v>429132.57453970669</v>
      </c>
      <c r="V273" s="5" t="s">
        <v>51</v>
      </c>
    </row>
    <row r="274" spans="20:22" x14ac:dyDescent="0.2">
      <c r="T274" s="5">
        <v>71</v>
      </c>
      <c r="U274" s="9">
        <f t="shared" si="19"/>
        <v>429132.57453970669</v>
      </c>
      <c r="V274" s="5" t="s">
        <v>51</v>
      </c>
    </row>
    <row r="275" spans="20:22" x14ac:dyDescent="0.2">
      <c r="T275" s="5">
        <v>72</v>
      </c>
      <c r="U275" s="9">
        <f t="shared" si="19"/>
        <v>429132.57453970669</v>
      </c>
      <c r="V275" s="5" t="s">
        <v>51</v>
      </c>
    </row>
    <row r="276" spans="20:22" x14ac:dyDescent="0.2">
      <c r="T276" s="5">
        <v>73</v>
      </c>
      <c r="U276" s="9">
        <f t="shared" si="19"/>
        <v>429132.57453970669</v>
      </c>
      <c r="V276" s="5" t="s">
        <v>51</v>
      </c>
    </row>
    <row r="277" spans="20:22" x14ac:dyDescent="0.2">
      <c r="T277" s="5">
        <v>74</v>
      </c>
      <c r="U277" s="9">
        <f t="shared" si="19"/>
        <v>429132.57453970669</v>
      </c>
      <c r="V277" s="5" t="s">
        <v>51</v>
      </c>
    </row>
    <row r="278" spans="20:22" x14ac:dyDescent="0.2">
      <c r="T278" s="5">
        <v>75</v>
      </c>
      <c r="U278" s="9">
        <f t="shared" si="19"/>
        <v>429132.57453970669</v>
      </c>
      <c r="V278" s="5" t="s">
        <v>51</v>
      </c>
    </row>
    <row r="279" spans="20:22" x14ac:dyDescent="0.2">
      <c r="T279" s="5">
        <v>76</v>
      </c>
      <c r="U279" s="9">
        <f t="shared" si="19"/>
        <v>429132.57453970669</v>
      </c>
      <c r="V279" s="5" t="s">
        <v>51</v>
      </c>
    </row>
    <row r="280" spans="20:22" x14ac:dyDescent="0.2">
      <c r="T280" s="5">
        <v>77</v>
      </c>
      <c r="U280" s="9">
        <f t="shared" si="19"/>
        <v>429132.57453970669</v>
      </c>
      <c r="V280" s="5" t="s">
        <v>51</v>
      </c>
    </row>
    <row r="281" spans="20:22" x14ac:dyDescent="0.2">
      <c r="T281" s="5">
        <v>78</v>
      </c>
      <c r="U281" s="9">
        <f t="shared" si="19"/>
        <v>429132.57453970669</v>
      </c>
      <c r="V281" s="5" t="s">
        <v>51</v>
      </c>
    </row>
    <row r="282" spans="20:22" x14ac:dyDescent="0.2">
      <c r="T282" s="5">
        <v>79</v>
      </c>
      <c r="U282" s="9">
        <f t="shared" si="19"/>
        <v>429132.57453970669</v>
      </c>
      <c r="V282" s="5" t="s">
        <v>51</v>
      </c>
    </row>
    <row r="283" spans="20:22" x14ac:dyDescent="0.2">
      <c r="T283" s="5">
        <v>80</v>
      </c>
      <c r="U283" s="9">
        <f t="shared" si="19"/>
        <v>429132.57453970669</v>
      </c>
      <c r="V283" s="5" t="s">
        <v>51</v>
      </c>
    </row>
    <row r="284" spans="20:22" x14ac:dyDescent="0.2">
      <c r="T284" s="5">
        <v>81</v>
      </c>
      <c r="U284" s="9">
        <f t="shared" si="19"/>
        <v>429132.57453970669</v>
      </c>
      <c r="V284" s="5" t="s">
        <v>51</v>
      </c>
    </row>
    <row r="285" spans="20:22" x14ac:dyDescent="0.2">
      <c r="T285" s="5">
        <v>82</v>
      </c>
      <c r="U285" s="9">
        <f t="shared" si="19"/>
        <v>429132.57453970669</v>
      </c>
      <c r="V285" s="5" t="s">
        <v>51</v>
      </c>
    </row>
    <row r="286" spans="20:22" x14ac:dyDescent="0.2">
      <c r="T286" s="5">
        <v>83</v>
      </c>
      <c r="U286" s="9">
        <f t="shared" si="19"/>
        <v>429132.57453970669</v>
      </c>
      <c r="V286" s="5" t="s">
        <v>51</v>
      </c>
    </row>
    <row r="287" spans="20:22" x14ac:dyDescent="0.2">
      <c r="T287" s="5">
        <v>84</v>
      </c>
      <c r="U287" s="9">
        <f t="shared" si="19"/>
        <v>429132.57453970669</v>
      </c>
      <c r="V287" s="5" t="s">
        <v>51</v>
      </c>
    </row>
    <row r="288" spans="20:22" x14ac:dyDescent="0.2">
      <c r="T288" s="5">
        <v>85</v>
      </c>
      <c r="U288" s="9">
        <f t="shared" si="19"/>
        <v>429132.57453970669</v>
      </c>
      <c r="V288" s="5" t="s">
        <v>51</v>
      </c>
    </row>
    <row r="289" spans="20:22" x14ac:dyDescent="0.2">
      <c r="T289" s="5">
        <v>86</v>
      </c>
      <c r="U289" s="9">
        <f t="shared" si="19"/>
        <v>429132.57453970669</v>
      </c>
      <c r="V289" s="5" t="s">
        <v>51</v>
      </c>
    </row>
    <row r="290" spans="20:22" x14ac:dyDescent="0.2">
      <c r="T290" s="5">
        <v>87</v>
      </c>
      <c r="U290" s="9">
        <f t="shared" si="19"/>
        <v>429132.57453970669</v>
      </c>
      <c r="V290" s="5" t="s">
        <v>51</v>
      </c>
    </row>
    <row r="291" spans="20:22" x14ac:dyDescent="0.2">
      <c r="T291" s="5">
        <v>88</v>
      </c>
      <c r="U291" s="9">
        <f t="shared" si="19"/>
        <v>429132.57453970669</v>
      </c>
      <c r="V291" s="5" t="s">
        <v>51</v>
      </c>
    </row>
    <row r="292" spans="20:22" x14ac:dyDescent="0.2">
      <c r="T292" s="5">
        <v>89</v>
      </c>
      <c r="U292" s="9">
        <f t="shared" si="19"/>
        <v>429132.57453970669</v>
      </c>
      <c r="V292" s="5" t="s">
        <v>51</v>
      </c>
    </row>
    <row r="293" spans="20:22" x14ac:dyDescent="0.2">
      <c r="T293" s="5">
        <v>90</v>
      </c>
      <c r="U293" s="9">
        <f t="shared" si="19"/>
        <v>429132.57453970669</v>
      </c>
      <c r="V293" s="5" t="s">
        <v>51</v>
      </c>
    </row>
    <row r="294" spans="20:22" x14ac:dyDescent="0.2">
      <c r="T294" s="5">
        <v>91</v>
      </c>
      <c r="U294" s="9">
        <f t="shared" si="19"/>
        <v>429132.57453970669</v>
      </c>
      <c r="V294" s="5" t="s">
        <v>51</v>
      </c>
    </row>
    <row r="295" spans="20:22" x14ac:dyDescent="0.2">
      <c r="T295" s="5">
        <v>92</v>
      </c>
      <c r="U295" s="9">
        <f t="shared" si="19"/>
        <v>429132.57453970669</v>
      </c>
      <c r="V295" s="5" t="s">
        <v>51</v>
      </c>
    </row>
    <row r="296" spans="20:22" x14ac:dyDescent="0.2">
      <c r="T296" s="5">
        <v>93</v>
      </c>
      <c r="U296" s="9">
        <f t="shared" si="19"/>
        <v>429132.57453970669</v>
      </c>
      <c r="V296" s="5" t="s">
        <v>51</v>
      </c>
    </row>
    <row r="297" spans="20:22" x14ac:dyDescent="0.2">
      <c r="T297" s="5">
        <v>94</v>
      </c>
      <c r="U297" s="9">
        <f t="shared" si="19"/>
        <v>429132.57453970669</v>
      </c>
      <c r="V297" s="5" t="s">
        <v>51</v>
      </c>
    </row>
    <row r="298" spans="20:22" x14ac:dyDescent="0.2">
      <c r="T298" s="5">
        <v>95</v>
      </c>
      <c r="U298" s="9">
        <f t="shared" si="19"/>
        <v>429132.57453970669</v>
      </c>
      <c r="V298" s="5" t="s">
        <v>51</v>
      </c>
    </row>
    <row r="299" spans="20:22" x14ac:dyDescent="0.2">
      <c r="T299" s="5">
        <v>96</v>
      </c>
      <c r="U299" s="9">
        <f t="shared" si="19"/>
        <v>429132.57453970669</v>
      </c>
      <c r="V299" s="5" t="s">
        <v>51</v>
      </c>
    </row>
    <row r="300" spans="20:22" x14ac:dyDescent="0.2">
      <c r="T300" s="5">
        <v>97</v>
      </c>
      <c r="U300" s="9">
        <f t="shared" si="19"/>
        <v>429132.57453970669</v>
      </c>
      <c r="V300" s="5" t="s">
        <v>51</v>
      </c>
    </row>
    <row r="301" spans="20:22" x14ac:dyDescent="0.2">
      <c r="T301" s="5">
        <v>98</v>
      </c>
      <c r="U301" s="9">
        <f t="shared" si="19"/>
        <v>429132.57453970669</v>
      </c>
      <c r="V301" s="5" t="s">
        <v>51</v>
      </c>
    </row>
    <row r="302" spans="20:22" x14ac:dyDescent="0.2">
      <c r="T302" s="5">
        <v>99</v>
      </c>
      <c r="U302" s="9">
        <f t="shared" si="19"/>
        <v>429132.57453970669</v>
      </c>
      <c r="V302" s="5" t="s">
        <v>51</v>
      </c>
    </row>
    <row r="303" spans="20:22" x14ac:dyDescent="0.2">
      <c r="T303" s="5">
        <v>100</v>
      </c>
      <c r="U303" s="9">
        <f t="shared" si="19"/>
        <v>429132.57453970669</v>
      </c>
      <c r="V303" s="5" t="s">
        <v>51</v>
      </c>
    </row>
  </sheetData>
  <dataConsolidate/>
  <mergeCells count="4">
    <mergeCell ref="D1:F1"/>
    <mergeCell ref="I1:M1"/>
    <mergeCell ref="P1:Q1"/>
    <mergeCell ref="T1:V1"/>
  </mergeCells>
  <phoneticPr fontId="5" type="noConversion"/>
  <hyperlinks>
    <hyperlink ref="G1" location="'Task g histogram and answers'!A1" display="Back to Task g" xr:uid="{4E85D536-AB53-B949-94C9-8D17598CFA46}"/>
    <hyperlink ref="N1" location="'Task g histogram and answers'!A1" display="Back to Task g" xr:uid="{EC34245A-58A9-8445-9A85-B05CF7F0F339}"/>
    <hyperlink ref="R1" location="'Task g histogram and answers'!A1" display="Back to Task g" xr:uid="{DA5F4ED4-AE75-6943-AF51-D8671D9D0C0C}"/>
    <hyperlink ref="W1" location="'Task g histogram and answers'!A1" display="Back to Task g" xr:uid="{3D036B11-3620-F94F-AC58-E90469BC2406}"/>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E6228-ADF6-ED45-8D74-7298104017B8}">
  <dimension ref="A1:O103"/>
  <sheetViews>
    <sheetView showGridLines="0" showRowColHeaders="0" zoomScale="111" workbookViewId="0"/>
  </sheetViews>
  <sheetFormatPr baseColWidth="10" defaultRowHeight="16" x14ac:dyDescent="0.2"/>
  <cols>
    <col min="3" max="3" width="11.33203125" bestFit="1" customWidth="1"/>
    <col min="5" max="5" width="11" bestFit="1" customWidth="1"/>
    <col min="12" max="12" width="11" bestFit="1" customWidth="1"/>
    <col min="13" max="15" width="11.1640625" bestFit="1" customWidth="1"/>
    <col min="19" max="19" width="11.33203125" bestFit="1" customWidth="1"/>
    <col min="20" max="20" width="11.1640625" bestFit="1" customWidth="1"/>
  </cols>
  <sheetData>
    <row r="1" spans="1:15" x14ac:dyDescent="0.2">
      <c r="A1" s="7" t="s">
        <v>162</v>
      </c>
      <c r="B1" s="7"/>
      <c r="C1" s="7"/>
      <c r="D1" s="7"/>
      <c r="E1" s="7"/>
      <c r="F1" s="7"/>
      <c r="G1" s="7"/>
      <c r="H1" s="7"/>
      <c r="I1" s="7"/>
      <c r="M1" t="s">
        <v>118</v>
      </c>
      <c r="N1" t="s">
        <v>39</v>
      </c>
      <c r="O1" t="s">
        <v>51</v>
      </c>
    </row>
    <row r="2" spans="1:15" x14ac:dyDescent="0.2">
      <c r="A2" t="s">
        <v>163</v>
      </c>
      <c r="L2" t="s">
        <v>54</v>
      </c>
      <c r="M2" s="1">
        <v>362505.27862980159</v>
      </c>
      <c r="N2" s="1">
        <v>582979.62373358104</v>
      </c>
      <c r="O2" s="1">
        <v>429132.57453970669</v>
      </c>
    </row>
    <row r="3" spans="1:15" x14ac:dyDescent="0.2">
      <c r="A3" t="s">
        <v>164</v>
      </c>
      <c r="L3" t="s">
        <v>38</v>
      </c>
      <c r="M3" t="s">
        <v>50</v>
      </c>
    </row>
    <row r="4" spans="1:15" x14ac:dyDescent="0.2">
      <c r="L4">
        <v>1</v>
      </c>
      <c r="M4" s="1">
        <v>362351.63937799027</v>
      </c>
      <c r="N4" s="1">
        <v>584541.26891964045</v>
      </c>
    </row>
    <row r="5" spans="1:15" x14ac:dyDescent="0.2">
      <c r="A5" s="7" t="s">
        <v>180</v>
      </c>
      <c r="B5" s="7"/>
      <c r="C5" s="7"/>
      <c r="D5" s="7"/>
      <c r="E5" s="7"/>
      <c r="F5" s="7"/>
      <c r="L5">
        <v>2</v>
      </c>
      <c r="M5" s="1">
        <v>362669.57399656344</v>
      </c>
      <c r="N5" s="1">
        <v>587216.22456674103</v>
      </c>
    </row>
    <row r="6" spans="1:15" ht="17" thickBot="1" x14ac:dyDescent="0.25">
      <c r="A6" s="7" t="s">
        <v>118</v>
      </c>
      <c r="B6" s="7"/>
      <c r="C6" s="7"/>
      <c r="D6" s="7"/>
      <c r="E6" s="7"/>
      <c r="F6" s="7"/>
      <c r="L6">
        <v>3</v>
      </c>
      <c r="M6" s="1">
        <v>363081.03036395326</v>
      </c>
      <c r="N6" s="1">
        <v>586858.65979557869</v>
      </c>
    </row>
    <row r="7" spans="1:15" ht="17" thickBot="1" x14ac:dyDescent="0.25">
      <c r="A7" s="6" t="s">
        <v>159</v>
      </c>
      <c r="B7" s="6"/>
      <c r="C7" s="56"/>
      <c r="D7" s="6"/>
      <c r="E7" s="6" t="s">
        <v>165</v>
      </c>
      <c r="F7" s="6"/>
      <c r="L7">
        <v>4</v>
      </c>
      <c r="M7" s="1">
        <v>362266.61428455455</v>
      </c>
      <c r="N7" s="1">
        <v>582180.77588117903</v>
      </c>
    </row>
    <row r="8" spans="1:15" ht="17" thickBot="1" x14ac:dyDescent="0.25">
      <c r="A8" s="5" t="s">
        <v>160</v>
      </c>
      <c r="B8" s="5"/>
      <c r="C8" s="55"/>
      <c r="D8" s="5"/>
      <c r="E8" s="5">
        <f>SQRT(_xlfn.VAR.S(M4:M103))</f>
        <v>434.45274923970652</v>
      </c>
      <c r="F8" s="5"/>
      <c r="L8">
        <v>5</v>
      </c>
      <c r="M8" s="1">
        <v>362342.01710914302</v>
      </c>
      <c r="N8" s="1">
        <v>577809.97460629849</v>
      </c>
    </row>
    <row r="9" spans="1:15" ht="17" thickBot="1" x14ac:dyDescent="0.25">
      <c r="A9" s="7" t="s">
        <v>125</v>
      </c>
      <c r="B9" s="7"/>
      <c r="C9" s="7"/>
      <c r="D9" s="7"/>
      <c r="E9" s="7"/>
      <c r="F9" s="7"/>
      <c r="L9">
        <v>6</v>
      </c>
      <c r="M9" s="1">
        <v>363125.19292562752</v>
      </c>
      <c r="N9" s="1">
        <v>578960.86876832868</v>
      </c>
    </row>
    <row r="10" spans="1:15" ht="17" thickBot="1" x14ac:dyDescent="0.25">
      <c r="A10" s="6" t="s">
        <v>159</v>
      </c>
      <c r="B10" s="6"/>
      <c r="C10" s="56"/>
      <c r="D10" s="6"/>
      <c r="E10" s="6" t="s">
        <v>165</v>
      </c>
      <c r="F10" s="6"/>
      <c r="L10">
        <v>7</v>
      </c>
      <c r="M10" s="1">
        <v>362058.66803749686</v>
      </c>
      <c r="N10" s="1">
        <v>576472.38076225936</v>
      </c>
    </row>
    <row r="11" spans="1:15" ht="17" thickBot="1" x14ac:dyDescent="0.25">
      <c r="A11" s="5" t="s">
        <v>161</v>
      </c>
      <c r="B11" s="5"/>
      <c r="C11" s="55"/>
      <c r="D11" s="5"/>
      <c r="E11" s="5">
        <f>SQRT(_xlfn.VAR.S(N4:N103))</f>
        <v>3804.71085487145</v>
      </c>
      <c r="F11" s="5"/>
      <c r="L11">
        <v>8</v>
      </c>
      <c r="M11" s="1">
        <v>362417.01003662718</v>
      </c>
      <c r="N11" s="1">
        <v>587000.28250032128</v>
      </c>
    </row>
    <row r="12" spans="1:15" ht="17" thickBot="1" x14ac:dyDescent="0.25">
      <c r="A12" s="7" t="s">
        <v>124</v>
      </c>
      <c r="B12" s="7"/>
      <c r="C12" s="7"/>
      <c r="D12" s="7"/>
      <c r="E12" s="7"/>
      <c r="F12" s="7"/>
      <c r="L12">
        <v>9</v>
      </c>
      <c r="M12" s="1">
        <v>362136.60194251698</v>
      </c>
      <c r="N12" s="1">
        <v>584101.24045458483</v>
      </c>
    </row>
    <row r="13" spans="1:15" ht="17" thickBot="1" x14ac:dyDescent="0.25">
      <c r="A13" s="6" t="s">
        <v>121</v>
      </c>
      <c r="B13" s="6"/>
      <c r="C13" s="54">
        <f>O2</f>
        <v>429132.57453970669</v>
      </c>
      <c r="D13" s="5"/>
      <c r="E13" s="5"/>
      <c r="F13" s="5"/>
      <c r="L13">
        <v>10</v>
      </c>
      <c r="M13" s="1">
        <v>362445.40638159</v>
      </c>
      <c r="N13" s="1">
        <v>582219.79103071592</v>
      </c>
    </row>
    <row r="14" spans="1:15" x14ac:dyDescent="0.2">
      <c r="L14">
        <v>11</v>
      </c>
      <c r="M14" s="1">
        <v>362293.71962380188</v>
      </c>
      <c r="N14" s="1">
        <v>580314.98854145571</v>
      </c>
    </row>
    <row r="15" spans="1:15" x14ac:dyDescent="0.2">
      <c r="A15" s="7" t="s">
        <v>132</v>
      </c>
      <c r="B15" s="7"/>
      <c r="C15" s="7"/>
      <c r="D15" s="7"/>
      <c r="E15" s="7"/>
      <c r="F15" s="7"/>
      <c r="L15">
        <v>12</v>
      </c>
      <c r="M15" s="1">
        <v>362788.56402511842</v>
      </c>
      <c r="N15" s="1">
        <v>581232.75480532029</v>
      </c>
    </row>
    <row r="16" spans="1:15" ht="16" customHeight="1" x14ac:dyDescent="0.2">
      <c r="A16" s="59" t="s">
        <v>167</v>
      </c>
      <c r="B16" s="59"/>
      <c r="C16" s="59"/>
      <c r="D16" s="59"/>
      <c r="E16" s="59"/>
      <c r="F16" s="59"/>
      <c r="L16">
        <v>13</v>
      </c>
      <c r="M16" s="1">
        <v>361923.38523498521</v>
      </c>
      <c r="N16" s="1">
        <v>583154.52073753183</v>
      </c>
    </row>
    <row r="17" spans="1:14" ht="16" customHeight="1" x14ac:dyDescent="0.2">
      <c r="A17" s="59"/>
      <c r="B17" s="59"/>
      <c r="C17" s="59"/>
      <c r="D17" s="59"/>
      <c r="E17" s="59"/>
      <c r="F17" s="59"/>
      <c r="L17">
        <v>14</v>
      </c>
      <c r="M17" s="1">
        <v>362662.5232190009</v>
      </c>
      <c r="N17" s="1">
        <v>583866.6157977439</v>
      </c>
    </row>
    <row r="18" spans="1:14" ht="17" customHeight="1" x14ac:dyDescent="0.2">
      <c r="A18" s="59"/>
      <c r="B18" s="59"/>
      <c r="C18" s="59"/>
      <c r="D18" s="59"/>
      <c r="E18" s="59"/>
      <c r="F18" s="59"/>
      <c r="L18">
        <v>15</v>
      </c>
      <c r="M18" s="1">
        <v>362791.88899864804</v>
      </c>
      <c r="N18" s="1">
        <v>581511.35452958173</v>
      </c>
    </row>
    <row r="19" spans="1:14" ht="17" customHeight="1" x14ac:dyDescent="0.2">
      <c r="A19" s="59"/>
      <c r="B19" s="59"/>
      <c r="C19" s="59"/>
      <c r="D19" s="59"/>
      <c r="E19" s="59"/>
      <c r="F19" s="59"/>
      <c r="L19">
        <v>16</v>
      </c>
      <c r="M19" s="1">
        <v>362646.43651356117</v>
      </c>
      <c r="N19" s="1">
        <v>585881.81245891831</v>
      </c>
    </row>
    <row r="20" spans="1:14" ht="17" customHeight="1" x14ac:dyDescent="0.2">
      <c r="A20" s="59"/>
      <c r="B20" s="59"/>
      <c r="C20" s="59"/>
      <c r="D20" s="59"/>
      <c r="E20" s="59"/>
      <c r="F20" s="59"/>
      <c r="L20">
        <v>17</v>
      </c>
      <c r="M20" s="1">
        <v>362094.47034076962</v>
      </c>
      <c r="N20" s="1">
        <v>587758.17480506725</v>
      </c>
    </row>
    <row r="21" spans="1:14" ht="17" customHeight="1" x14ac:dyDescent="0.2">
      <c r="A21" s="59"/>
      <c r="B21" s="59"/>
      <c r="C21" s="59"/>
      <c r="D21" s="59"/>
      <c r="E21" s="59"/>
      <c r="F21" s="59"/>
      <c r="L21">
        <v>18</v>
      </c>
      <c r="M21" s="1">
        <v>362765.18840230419</v>
      </c>
      <c r="N21" s="1">
        <v>583226.06131019967</v>
      </c>
    </row>
    <row r="22" spans="1:14" ht="16" customHeight="1" x14ac:dyDescent="0.2">
      <c r="A22" s="59"/>
      <c r="B22" s="59"/>
      <c r="C22" s="59"/>
      <c r="D22" s="59"/>
      <c r="E22" s="59"/>
      <c r="F22" s="59"/>
      <c r="L22">
        <v>19</v>
      </c>
      <c r="M22" s="1">
        <v>362622.56437410129</v>
      </c>
      <c r="N22" s="1">
        <v>584625.50138026266</v>
      </c>
    </row>
    <row r="23" spans="1:14" ht="16" customHeight="1" x14ac:dyDescent="0.2">
      <c r="A23" s="59"/>
      <c r="B23" s="59"/>
      <c r="C23" s="59"/>
      <c r="D23" s="59"/>
      <c r="E23" s="59"/>
      <c r="F23" s="59"/>
      <c r="L23">
        <v>20</v>
      </c>
      <c r="M23" s="1">
        <v>362285.59756888484</v>
      </c>
      <c r="N23" s="1">
        <v>586326.39017171552</v>
      </c>
    </row>
    <row r="24" spans="1:14" ht="16" customHeight="1" x14ac:dyDescent="0.2">
      <c r="A24" s="59"/>
      <c r="B24" s="59"/>
      <c r="C24" s="59"/>
      <c r="D24" s="59"/>
      <c r="E24" s="59"/>
      <c r="F24" s="59"/>
      <c r="L24">
        <v>21</v>
      </c>
      <c r="M24" s="1">
        <v>362708.37303672644</v>
      </c>
      <c r="N24" s="1">
        <v>585743.81486801489</v>
      </c>
    </row>
    <row r="25" spans="1:14" ht="16" customHeight="1" x14ac:dyDescent="0.2">
      <c r="A25" s="59"/>
      <c r="B25" s="59"/>
      <c r="C25" s="59"/>
      <c r="D25" s="59"/>
      <c r="E25" s="59"/>
      <c r="F25" s="59"/>
      <c r="L25">
        <v>22</v>
      </c>
      <c r="M25" s="1">
        <v>362183.73927465512</v>
      </c>
      <c r="N25" s="1">
        <v>582616.22701881814</v>
      </c>
    </row>
    <row r="26" spans="1:14" ht="16" customHeight="1" x14ac:dyDescent="0.2">
      <c r="A26" s="59"/>
      <c r="B26" s="59"/>
      <c r="C26" s="59"/>
      <c r="D26" s="59"/>
      <c r="E26" s="59"/>
      <c r="F26" s="59"/>
      <c r="L26">
        <v>23</v>
      </c>
      <c r="M26" s="1">
        <v>362387.91701438418</v>
      </c>
      <c r="N26" s="1">
        <v>578547.52809541347</v>
      </c>
    </row>
    <row r="27" spans="1:14" ht="16" customHeight="1" x14ac:dyDescent="0.2">
      <c r="A27" s="59"/>
      <c r="B27" s="59"/>
      <c r="C27" s="59"/>
      <c r="D27" s="59"/>
      <c r="E27" s="59"/>
      <c r="F27" s="59"/>
      <c r="L27">
        <v>24</v>
      </c>
      <c r="M27" s="1">
        <v>362472.26941871096</v>
      </c>
      <c r="N27" s="1">
        <v>589458.64630279597</v>
      </c>
    </row>
    <row r="28" spans="1:14" ht="16" customHeight="1" x14ac:dyDescent="0.2">
      <c r="A28" s="59"/>
      <c r="B28" s="59"/>
      <c r="C28" s="59"/>
      <c r="D28" s="59"/>
      <c r="E28" s="59"/>
      <c r="F28" s="59"/>
      <c r="L28">
        <v>25</v>
      </c>
      <c r="M28" s="1">
        <v>362184.25284210488</v>
      </c>
      <c r="N28" s="1">
        <v>591053.5839186029</v>
      </c>
    </row>
    <row r="29" spans="1:14" x14ac:dyDescent="0.2">
      <c r="A29" s="59"/>
      <c r="B29" s="59"/>
      <c r="C29" s="59"/>
      <c r="D29" s="59"/>
      <c r="E29" s="59"/>
      <c r="F29" s="59"/>
      <c r="L29">
        <v>26</v>
      </c>
      <c r="M29" s="1">
        <v>362790.0506261969</v>
      </c>
      <c r="N29" s="1">
        <v>586966.77590759262</v>
      </c>
    </row>
    <row r="30" spans="1:14" x14ac:dyDescent="0.2">
      <c r="A30" s="59"/>
      <c r="B30" s="59"/>
      <c r="C30" s="59"/>
      <c r="D30" s="59"/>
      <c r="E30" s="59"/>
      <c r="F30" s="59"/>
      <c r="L30">
        <v>27</v>
      </c>
      <c r="M30" s="1">
        <v>363264.59615447605</v>
      </c>
      <c r="N30" s="1">
        <v>581237.73516606307</v>
      </c>
    </row>
    <row r="31" spans="1:14" x14ac:dyDescent="0.2">
      <c r="A31" s="59"/>
      <c r="B31" s="59"/>
      <c r="C31" s="59"/>
      <c r="D31" s="59"/>
      <c r="E31" s="59"/>
      <c r="F31" s="59"/>
      <c r="L31">
        <v>28</v>
      </c>
      <c r="M31" s="1">
        <v>362842.30906618503</v>
      </c>
      <c r="N31" s="1">
        <v>583997.0828631639</v>
      </c>
    </row>
    <row r="32" spans="1:14" x14ac:dyDescent="0.2">
      <c r="A32" s="59"/>
      <c r="B32" s="59"/>
      <c r="C32" s="59"/>
      <c r="D32" s="59"/>
      <c r="E32" s="59"/>
      <c r="F32" s="59"/>
      <c r="L32">
        <v>29</v>
      </c>
      <c r="M32" s="1">
        <v>362124.77096648444</v>
      </c>
      <c r="N32" s="1">
        <v>582445.9382251089</v>
      </c>
    </row>
    <row r="33" spans="1:14" x14ac:dyDescent="0.2">
      <c r="A33" s="59"/>
      <c r="B33" s="59"/>
      <c r="C33" s="59"/>
      <c r="D33" s="59"/>
      <c r="E33" s="59"/>
      <c r="F33" s="59"/>
      <c r="L33">
        <v>30</v>
      </c>
      <c r="M33" s="1">
        <v>362520.71570075658</v>
      </c>
      <c r="N33" s="1">
        <v>577967.58656641259</v>
      </c>
    </row>
    <row r="34" spans="1:14" x14ac:dyDescent="0.2">
      <c r="A34" s="59"/>
      <c r="B34" s="59"/>
      <c r="C34" s="59"/>
      <c r="D34" s="59"/>
      <c r="E34" s="59"/>
      <c r="F34" s="59"/>
      <c r="L34">
        <v>31</v>
      </c>
      <c r="M34" s="1">
        <v>362214.51137883245</v>
      </c>
      <c r="N34" s="1">
        <v>585622.31869634683</v>
      </c>
    </row>
    <row r="35" spans="1:14" x14ac:dyDescent="0.2">
      <c r="A35" s="59"/>
      <c r="B35" s="59"/>
      <c r="C35" s="59"/>
      <c r="D35" s="59"/>
      <c r="E35" s="59"/>
      <c r="F35" s="59"/>
      <c r="L35">
        <v>32</v>
      </c>
      <c r="M35" s="1">
        <v>363128.43040797312</v>
      </c>
      <c r="N35" s="1">
        <v>593323.25448040524</v>
      </c>
    </row>
    <row r="36" spans="1:14" x14ac:dyDescent="0.2">
      <c r="A36" s="59"/>
      <c r="B36" s="59"/>
      <c r="C36" s="59"/>
      <c r="D36" s="59"/>
      <c r="E36" s="59"/>
      <c r="F36" s="59"/>
      <c r="L36">
        <v>33</v>
      </c>
      <c r="M36" s="1">
        <v>363753.35976783937</v>
      </c>
      <c r="N36" s="1">
        <v>580622.94425354619</v>
      </c>
    </row>
    <row r="37" spans="1:14" x14ac:dyDescent="0.2">
      <c r="A37" s="59"/>
      <c r="B37" s="59"/>
      <c r="C37" s="59"/>
      <c r="D37" s="59"/>
      <c r="E37" s="59"/>
      <c r="F37" s="59"/>
      <c r="L37">
        <v>34</v>
      </c>
      <c r="M37" s="1">
        <v>362744.7179194112</v>
      </c>
      <c r="N37" s="1">
        <v>579939.05211526854</v>
      </c>
    </row>
    <row r="38" spans="1:14" x14ac:dyDescent="0.2">
      <c r="A38" s="59"/>
      <c r="B38" s="59"/>
      <c r="C38" s="59"/>
      <c r="D38" s="59"/>
      <c r="E38" s="59"/>
      <c r="F38" s="59"/>
      <c r="L38">
        <v>35</v>
      </c>
      <c r="M38" s="1">
        <v>362588.9813706018</v>
      </c>
      <c r="N38" s="1">
        <v>575388.19517682074</v>
      </c>
    </row>
    <row r="39" spans="1:14" x14ac:dyDescent="0.2">
      <c r="A39" s="59"/>
      <c r="B39" s="59"/>
      <c r="C39" s="59"/>
      <c r="D39" s="59"/>
      <c r="E39" s="59"/>
      <c r="F39" s="59"/>
      <c r="L39">
        <v>36</v>
      </c>
      <c r="M39" s="1">
        <v>362860.40316724096</v>
      </c>
      <c r="N39" s="1">
        <v>577161.06372283911</v>
      </c>
    </row>
    <row r="40" spans="1:14" x14ac:dyDescent="0.2">
      <c r="A40" s="59"/>
      <c r="B40" s="59"/>
      <c r="C40" s="59"/>
      <c r="D40" s="59"/>
      <c r="E40" s="59"/>
      <c r="F40" s="59"/>
      <c r="L40">
        <v>37</v>
      </c>
      <c r="M40" s="1">
        <v>362122.54455348803</v>
      </c>
      <c r="N40" s="1">
        <v>578604.09974277683</v>
      </c>
    </row>
    <row r="41" spans="1:14" x14ac:dyDescent="0.2">
      <c r="A41" s="59"/>
      <c r="B41" s="59"/>
      <c r="C41" s="59"/>
      <c r="D41" s="59"/>
      <c r="E41" s="59"/>
      <c r="F41" s="59"/>
      <c r="L41">
        <v>38</v>
      </c>
      <c r="M41" s="1">
        <v>363112.45796545479</v>
      </c>
      <c r="N41" s="1">
        <v>584929.48638730915</v>
      </c>
    </row>
    <row r="42" spans="1:14" x14ac:dyDescent="0.2">
      <c r="A42" s="59"/>
      <c r="B42" s="59"/>
      <c r="C42" s="59"/>
      <c r="D42" s="59"/>
      <c r="E42" s="59"/>
      <c r="F42" s="59"/>
      <c r="L42">
        <v>39</v>
      </c>
      <c r="M42" s="1">
        <v>362570.07658557745</v>
      </c>
      <c r="N42" s="1">
        <v>583800.84498333</v>
      </c>
    </row>
    <row r="43" spans="1:14" x14ac:dyDescent="0.2">
      <c r="A43" s="59"/>
      <c r="B43" s="59"/>
      <c r="C43" s="59"/>
      <c r="D43" s="59"/>
      <c r="E43" s="59"/>
      <c r="F43" s="59"/>
      <c r="L43">
        <v>40</v>
      </c>
      <c r="M43" s="1">
        <v>362046.80854981672</v>
      </c>
      <c r="N43" s="1">
        <v>584165.86095870216</v>
      </c>
    </row>
    <row r="44" spans="1:14" x14ac:dyDescent="0.2">
      <c r="A44" s="59"/>
      <c r="B44" s="59"/>
      <c r="C44" s="59"/>
      <c r="D44" s="59"/>
      <c r="E44" s="59"/>
      <c r="F44" s="59"/>
      <c r="L44">
        <v>41</v>
      </c>
      <c r="M44" s="1">
        <v>362579.47529913438</v>
      </c>
      <c r="N44" s="1">
        <v>579073.22358568734</v>
      </c>
    </row>
    <row r="45" spans="1:14" x14ac:dyDescent="0.2">
      <c r="A45" s="59"/>
      <c r="B45" s="59"/>
      <c r="C45" s="59"/>
      <c r="D45" s="59"/>
      <c r="E45" s="59"/>
      <c r="F45" s="59"/>
      <c r="L45">
        <v>42</v>
      </c>
      <c r="M45" s="1">
        <v>361351.40846268943</v>
      </c>
      <c r="N45" s="1">
        <v>589101.83033878962</v>
      </c>
    </row>
    <row r="46" spans="1:14" x14ac:dyDescent="0.2">
      <c r="A46" s="59"/>
      <c r="B46" s="59"/>
      <c r="C46" s="59"/>
      <c r="D46" s="59"/>
      <c r="E46" s="59"/>
      <c r="F46" s="59"/>
      <c r="L46">
        <v>43</v>
      </c>
      <c r="M46" s="1">
        <v>363224.65899423033</v>
      </c>
      <c r="N46" s="1">
        <v>580794.57785741123</v>
      </c>
    </row>
    <row r="47" spans="1:14" x14ac:dyDescent="0.2">
      <c r="A47" s="59"/>
      <c r="B47" s="59"/>
      <c r="C47" s="59"/>
      <c r="D47" s="59"/>
      <c r="E47" s="59"/>
      <c r="F47" s="59"/>
      <c r="L47">
        <v>44</v>
      </c>
      <c r="M47" s="1">
        <v>362197.49403751205</v>
      </c>
      <c r="N47" s="1">
        <v>585752.02167141647</v>
      </c>
    </row>
    <row r="48" spans="1:14" x14ac:dyDescent="0.2">
      <c r="A48" s="59"/>
      <c r="B48" s="59"/>
      <c r="C48" s="59"/>
      <c r="D48" s="59"/>
      <c r="E48" s="59"/>
      <c r="F48" s="59"/>
      <c r="L48">
        <v>45</v>
      </c>
      <c r="M48" s="1">
        <v>362163.64158051118</v>
      </c>
      <c r="N48" s="1">
        <v>583760.08435896318</v>
      </c>
    </row>
    <row r="49" spans="1:14" x14ac:dyDescent="0.2">
      <c r="L49">
        <v>46</v>
      </c>
      <c r="M49" s="1">
        <v>362269.08454481751</v>
      </c>
      <c r="N49" s="1">
        <v>579978.93539509713</v>
      </c>
    </row>
    <row r="50" spans="1:14" x14ac:dyDescent="0.2">
      <c r="A50" s="75" t="s">
        <v>67</v>
      </c>
      <c r="B50" s="75"/>
      <c r="L50">
        <v>47</v>
      </c>
      <c r="M50" s="1">
        <v>362140.7717849412</v>
      </c>
      <c r="N50" s="1">
        <v>582331.19466396002</v>
      </c>
    </row>
    <row r="51" spans="1:14" x14ac:dyDescent="0.2">
      <c r="L51">
        <v>48</v>
      </c>
      <c r="M51" s="1">
        <v>362246.16021131258</v>
      </c>
      <c r="N51" s="1">
        <v>590499.68843463343</v>
      </c>
    </row>
    <row r="52" spans="1:14" x14ac:dyDescent="0.2">
      <c r="L52">
        <v>49</v>
      </c>
      <c r="M52" s="1">
        <v>362169.58620259922</v>
      </c>
      <c r="N52" s="1">
        <v>579022.44798850827</v>
      </c>
    </row>
    <row r="53" spans="1:14" x14ac:dyDescent="0.2">
      <c r="L53">
        <v>50</v>
      </c>
      <c r="M53" s="1">
        <v>362442.88114232034</v>
      </c>
      <c r="N53" s="1">
        <v>580115.01053634752</v>
      </c>
    </row>
    <row r="54" spans="1:14" x14ac:dyDescent="0.2">
      <c r="L54">
        <v>51</v>
      </c>
      <c r="M54" s="1">
        <v>362635.61478892906</v>
      </c>
      <c r="N54" s="1">
        <v>580852.86943237786</v>
      </c>
    </row>
    <row r="55" spans="1:14" x14ac:dyDescent="0.2">
      <c r="L55">
        <v>52</v>
      </c>
      <c r="M55" s="1">
        <v>362382.91030397086</v>
      </c>
      <c r="N55" s="1">
        <v>588318.58229626785</v>
      </c>
    </row>
    <row r="56" spans="1:14" x14ac:dyDescent="0.2">
      <c r="L56">
        <v>53</v>
      </c>
      <c r="M56" s="1">
        <v>362470.73098461208</v>
      </c>
      <c r="N56" s="1">
        <v>580096.99907186208</v>
      </c>
    </row>
    <row r="57" spans="1:14" x14ac:dyDescent="0.2">
      <c r="L57">
        <v>54</v>
      </c>
      <c r="M57" s="1">
        <v>362290.81715856213</v>
      </c>
      <c r="N57" s="1">
        <v>577403.24648224935</v>
      </c>
    </row>
    <row r="58" spans="1:14" x14ac:dyDescent="0.2">
      <c r="L58">
        <v>55</v>
      </c>
      <c r="M58" s="1">
        <v>362888.43501770828</v>
      </c>
      <c r="N58" s="1">
        <v>575315.24454865954</v>
      </c>
    </row>
    <row r="59" spans="1:14" x14ac:dyDescent="0.2">
      <c r="L59">
        <v>56</v>
      </c>
      <c r="M59" s="1">
        <v>362708.44524388557</v>
      </c>
      <c r="N59" s="1">
        <v>582938.8507078439</v>
      </c>
    </row>
    <row r="60" spans="1:14" x14ac:dyDescent="0.2">
      <c r="L60">
        <v>57</v>
      </c>
      <c r="M60" s="1">
        <v>363723.57343803829</v>
      </c>
      <c r="N60" s="1">
        <v>577298.20440377737</v>
      </c>
    </row>
    <row r="61" spans="1:14" x14ac:dyDescent="0.2">
      <c r="L61">
        <v>58</v>
      </c>
      <c r="M61" s="1">
        <v>362298.61025154736</v>
      </c>
      <c r="N61" s="1">
        <v>586422.90391128254</v>
      </c>
    </row>
    <row r="62" spans="1:14" x14ac:dyDescent="0.2">
      <c r="L62">
        <v>59</v>
      </c>
      <c r="M62" s="1">
        <v>363226.44081025623</v>
      </c>
      <c r="N62" s="1">
        <v>587930.67037313432</v>
      </c>
    </row>
    <row r="63" spans="1:14" x14ac:dyDescent="0.2">
      <c r="L63">
        <v>60</v>
      </c>
      <c r="M63" s="1">
        <v>362633.03755365551</v>
      </c>
      <c r="N63" s="1">
        <v>590524.40510006447</v>
      </c>
    </row>
    <row r="64" spans="1:14" x14ac:dyDescent="0.2">
      <c r="L64">
        <v>61</v>
      </c>
      <c r="M64" s="1">
        <v>362326.3756473416</v>
      </c>
      <c r="N64" s="1">
        <v>581234.96246117842</v>
      </c>
    </row>
    <row r="65" spans="12:14" x14ac:dyDescent="0.2">
      <c r="L65">
        <v>62</v>
      </c>
      <c r="M65" s="1">
        <v>362581.49065965001</v>
      </c>
      <c r="N65" s="1">
        <v>586173.93722985312</v>
      </c>
    </row>
    <row r="66" spans="12:14" x14ac:dyDescent="0.2">
      <c r="L66">
        <v>63</v>
      </c>
      <c r="M66" s="1">
        <v>362038.58327574376</v>
      </c>
      <c r="N66" s="1">
        <v>581197.61419731518</v>
      </c>
    </row>
    <row r="67" spans="12:14" x14ac:dyDescent="0.2">
      <c r="L67">
        <v>64</v>
      </c>
      <c r="M67" s="1">
        <v>362153.18180392322</v>
      </c>
      <c r="N67" s="1">
        <v>582091.72461407515</v>
      </c>
    </row>
    <row r="68" spans="12:14" x14ac:dyDescent="0.2">
      <c r="L68">
        <v>65</v>
      </c>
      <c r="M68" s="1">
        <v>362026.92582839564</v>
      </c>
      <c r="N68" s="1">
        <v>585179.91547025868</v>
      </c>
    </row>
    <row r="69" spans="12:14" x14ac:dyDescent="0.2">
      <c r="L69">
        <v>66</v>
      </c>
      <c r="M69" s="1">
        <v>361955.78963766166</v>
      </c>
      <c r="N69" s="1">
        <v>582046.73788133729</v>
      </c>
    </row>
    <row r="70" spans="12:14" x14ac:dyDescent="0.2">
      <c r="L70">
        <v>67</v>
      </c>
      <c r="M70" s="1">
        <v>362681.22298952064</v>
      </c>
      <c r="N70" s="1">
        <v>580236.56715135765</v>
      </c>
    </row>
    <row r="71" spans="12:14" x14ac:dyDescent="0.2">
      <c r="L71">
        <v>68</v>
      </c>
      <c r="M71" s="1">
        <v>362639.26174291165</v>
      </c>
      <c r="N71" s="1">
        <v>585415.83495867299</v>
      </c>
    </row>
    <row r="72" spans="12:14" x14ac:dyDescent="0.2">
      <c r="L72">
        <v>69</v>
      </c>
      <c r="M72" s="1">
        <v>362304.97950145288</v>
      </c>
      <c r="N72" s="1">
        <v>586438.40652931575</v>
      </c>
    </row>
    <row r="73" spans="12:14" x14ac:dyDescent="0.2">
      <c r="L73">
        <v>70</v>
      </c>
      <c r="M73" s="1">
        <v>362052.30428094347</v>
      </c>
      <c r="N73" s="1">
        <v>580741.13117031963</v>
      </c>
    </row>
    <row r="74" spans="12:14" x14ac:dyDescent="0.2">
      <c r="L74">
        <v>71</v>
      </c>
      <c r="M74" s="1">
        <v>363080.82920293254</v>
      </c>
      <c r="N74" s="1">
        <v>580155.31380802277</v>
      </c>
    </row>
    <row r="75" spans="12:14" x14ac:dyDescent="0.2">
      <c r="L75">
        <v>72</v>
      </c>
      <c r="M75" s="1">
        <v>362353.69979521056</v>
      </c>
      <c r="N75" s="1">
        <v>579912.84966485528</v>
      </c>
    </row>
    <row r="76" spans="12:14" x14ac:dyDescent="0.2">
      <c r="L76">
        <v>73</v>
      </c>
      <c r="M76" s="1">
        <v>361685.17640642315</v>
      </c>
      <c r="N76" s="1">
        <v>582624.5828949539</v>
      </c>
    </row>
    <row r="77" spans="12:14" x14ac:dyDescent="0.2">
      <c r="L77">
        <v>74</v>
      </c>
      <c r="M77" s="1">
        <v>363304.46301246103</v>
      </c>
      <c r="N77" s="1">
        <v>587313.68243790604</v>
      </c>
    </row>
    <row r="78" spans="12:14" x14ac:dyDescent="0.2">
      <c r="L78">
        <v>75</v>
      </c>
      <c r="M78" s="1">
        <v>361905.43739594036</v>
      </c>
      <c r="N78" s="1">
        <v>585086.99877220578</v>
      </c>
    </row>
    <row r="79" spans="12:14" x14ac:dyDescent="0.2">
      <c r="L79">
        <v>76</v>
      </c>
      <c r="M79" s="1">
        <v>363022.91374742024</v>
      </c>
      <c r="N79" s="1">
        <v>579678.96025654522</v>
      </c>
    </row>
    <row r="80" spans="12:14" x14ac:dyDescent="0.2">
      <c r="L80">
        <v>77</v>
      </c>
      <c r="M80" s="1">
        <v>363490.5910126958</v>
      </c>
      <c r="N80" s="1">
        <v>583356.54596522741</v>
      </c>
    </row>
    <row r="81" spans="12:14" x14ac:dyDescent="0.2">
      <c r="L81">
        <v>78</v>
      </c>
      <c r="M81" s="1">
        <v>362181.55129695748</v>
      </c>
      <c r="N81" s="1">
        <v>587059.25597035349</v>
      </c>
    </row>
    <row r="82" spans="12:14" x14ac:dyDescent="0.2">
      <c r="L82">
        <v>79</v>
      </c>
      <c r="M82" s="1">
        <v>362063.4992340621</v>
      </c>
      <c r="N82" s="1">
        <v>586855.95384542178</v>
      </c>
    </row>
    <row r="83" spans="12:14" x14ac:dyDescent="0.2">
      <c r="L83">
        <v>80</v>
      </c>
      <c r="M83" s="1">
        <v>362663.67503893463</v>
      </c>
      <c r="N83" s="1">
        <v>590747.50112327537</v>
      </c>
    </row>
    <row r="84" spans="12:14" x14ac:dyDescent="0.2">
      <c r="L84">
        <v>81</v>
      </c>
      <c r="M84" s="1">
        <v>362388.3492317964</v>
      </c>
      <c r="N84" s="1">
        <v>584742.38851967105</v>
      </c>
    </row>
    <row r="85" spans="12:14" x14ac:dyDescent="0.2">
      <c r="L85">
        <v>82</v>
      </c>
      <c r="M85" s="1">
        <v>361979.10861213482</v>
      </c>
      <c r="N85" s="1">
        <v>585869.38928339619</v>
      </c>
    </row>
    <row r="86" spans="12:14" x14ac:dyDescent="0.2">
      <c r="L86">
        <v>83</v>
      </c>
      <c r="M86" s="1">
        <v>362398.38667708199</v>
      </c>
      <c r="N86" s="1">
        <v>584530.37620315165</v>
      </c>
    </row>
    <row r="87" spans="12:14" x14ac:dyDescent="0.2">
      <c r="L87">
        <v>84</v>
      </c>
      <c r="M87" s="1">
        <v>363112.59732476086</v>
      </c>
      <c r="N87" s="1">
        <v>582916.67945401045</v>
      </c>
    </row>
    <row r="88" spans="12:14" x14ac:dyDescent="0.2">
      <c r="L88">
        <v>85</v>
      </c>
      <c r="M88" s="1">
        <v>362675.61188103934</v>
      </c>
      <c r="N88" s="1">
        <v>579484.47170753963</v>
      </c>
    </row>
    <row r="89" spans="12:14" x14ac:dyDescent="0.2">
      <c r="L89">
        <v>86</v>
      </c>
      <c r="M89" s="1">
        <v>363230.81515528029</v>
      </c>
      <c r="N89" s="1">
        <v>582473.68519862462</v>
      </c>
    </row>
    <row r="90" spans="12:14" x14ac:dyDescent="0.2">
      <c r="L90">
        <v>87</v>
      </c>
      <c r="M90" s="1">
        <v>362430.13693806971</v>
      </c>
      <c r="N90" s="1">
        <v>580851.06659051613</v>
      </c>
    </row>
    <row r="91" spans="12:14" x14ac:dyDescent="0.2">
      <c r="L91">
        <v>88</v>
      </c>
      <c r="M91" s="1">
        <v>362355.36006581417</v>
      </c>
      <c r="N91" s="1">
        <v>583718.55354035413</v>
      </c>
    </row>
    <row r="92" spans="12:14" x14ac:dyDescent="0.2">
      <c r="L92">
        <v>89</v>
      </c>
      <c r="M92" s="1">
        <v>362141.24272802571</v>
      </c>
      <c r="N92" s="1">
        <v>582911.84011926292</v>
      </c>
    </row>
    <row r="93" spans="12:14" x14ac:dyDescent="0.2">
      <c r="L93">
        <v>90</v>
      </c>
      <c r="M93" s="1">
        <v>362693.64118825144</v>
      </c>
      <c r="N93" s="1">
        <v>578064.37737068732</v>
      </c>
    </row>
    <row r="94" spans="12:14" x14ac:dyDescent="0.2">
      <c r="L94">
        <v>91</v>
      </c>
      <c r="M94" s="1">
        <v>361619.4828602121</v>
      </c>
      <c r="N94" s="1">
        <v>584516.6193226045</v>
      </c>
    </row>
    <row r="95" spans="12:14" x14ac:dyDescent="0.2">
      <c r="L95">
        <v>92</v>
      </c>
      <c r="M95" s="1">
        <v>362339.06143208052</v>
      </c>
      <c r="N95" s="1">
        <v>582354.0063217245</v>
      </c>
    </row>
    <row r="96" spans="12:14" x14ac:dyDescent="0.2">
      <c r="L96">
        <v>93</v>
      </c>
      <c r="M96" s="1">
        <v>362690.38669313036</v>
      </c>
      <c r="N96" s="1">
        <v>580854.53340748907</v>
      </c>
    </row>
    <row r="97" spans="12:14" x14ac:dyDescent="0.2">
      <c r="L97">
        <v>94</v>
      </c>
      <c r="M97" s="1">
        <v>362118.19745714462</v>
      </c>
      <c r="N97" s="1">
        <v>577306.08909940347</v>
      </c>
    </row>
    <row r="98" spans="12:14" x14ac:dyDescent="0.2">
      <c r="L98">
        <v>95</v>
      </c>
      <c r="M98" s="1">
        <v>362594.68035300373</v>
      </c>
      <c r="N98" s="1">
        <v>587243.17835791025</v>
      </c>
    </row>
    <row r="99" spans="12:14" x14ac:dyDescent="0.2">
      <c r="L99">
        <v>96</v>
      </c>
      <c r="M99" s="1">
        <v>362316.78958926781</v>
      </c>
      <c r="N99" s="1">
        <v>576406.444444875</v>
      </c>
    </row>
    <row r="100" spans="12:14" x14ac:dyDescent="0.2">
      <c r="L100">
        <v>97</v>
      </c>
      <c r="M100" s="1">
        <v>363088.1037735687</v>
      </c>
      <c r="N100" s="1">
        <v>578113.21429120027</v>
      </c>
    </row>
    <row r="101" spans="12:14" x14ac:dyDescent="0.2">
      <c r="L101">
        <v>98</v>
      </c>
      <c r="M101" s="1">
        <v>362225.51492303738</v>
      </c>
      <c r="N101" s="1">
        <v>580107.91757763783</v>
      </c>
    </row>
    <row r="102" spans="12:14" x14ac:dyDescent="0.2">
      <c r="L102">
        <v>99</v>
      </c>
      <c r="M102" s="1">
        <v>362674.18189840618</v>
      </c>
      <c r="N102" s="1">
        <v>585258.31072280603</v>
      </c>
    </row>
    <row r="103" spans="12:14" x14ac:dyDescent="0.2">
      <c r="L103">
        <v>100</v>
      </c>
      <c r="M103" s="1">
        <v>362511.10635207611</v>
      </c>
      <c r="N103" s="1">
        <v>580308.0829917026</v>
      </c>
    </row>
  </sheetData>
  <mergeCells count="2">
    <mergeCell ref="A16:F48"/>
    <mergeCell ref="A50:B50"/>
  </mergeCells>
  <hyperlinks>
    <hyperlink ref="A50:B50" location="Answers!A87" display="Back to answers" xr:uid="{7AE8EEB6-052B-4245-A5FD-43036930F7B5}"/>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1AC52-A7F3-8840-A34F-959495A4F78E}">
  <dimension ref="A1"/>
  <sheetViews>
    <sheetView workbookViewId="0"/>
  </sheetViews>
  <sheetFormatPr baseColWidth="10"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Answers</vt:lpstr>
      <vt:lpstr>Task a</vt:lpstr>
      <vt:lpstr>Task b</vt:lpstr>
      <vt:lpstr>Task c</vt:lpstr>
      <vt:lpstr>Task d</vt:lpstr>
      <vt:lpstr>Task e</vt:lpstr>
      <vt:lpstr>Task e simulation procedure</vt:lpstr>
      <vt:lpstr>Task f </vt:lpstr>
      <vt:lpstr>Task g histogram and answers</vt:lpstr>
      <vt:lpstr>Task g data</vt:lpstr>
      <vt:lpstr>Task h</vt:lpstr>
      <vt:lpstr>Sheet1</vt:lpstr>
      <vt:lpstr>'Task f '!Deltat</vt:lpstr>
      <vt:lpstr>Deltat</vt:lpstr>
      <vt:lpstr>'Task f '!Kappa</vt:lpstr>
      <vt:lpstr>Kappa</vt:lpstr>
      <vt:lpstr>'Task f '!Sigma</vt:lpstr>
      <vt:lpstr>Sigma</vt:lpstr>
      <vt:lpstr>'Task f '!Theta</vt:lpstr>
      <vt:lpstr>Theta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2022-04-10T06:55:11Z</dcterms:created>
  <dcterms:modified xsi:type="dcterms:W3CDTF">2022-04-13T01:31:23Z</dcterms:modified>
</cp:coreProperties>
</file>